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66925"/>
  <mc:AlternateContent xmlns:mc="http://schemas.openxmlformats.org/markup-compatibility/2006">
    <mc:Choice Requires="x15">
      <x15ac:absPath xmlns:x15ac="http://schemas.microsoft.com/office/spreadsheetml/2010/11/ac" url="https://electroingenierias-my.sharepoint.com/personal/admin_ei_com_co/Documents/Copia Drive/HSEQ/MEJORAMIENTO CONTINUO/CALIDAD/1. SISTEMA DE GESTIÓN/LIBRO MAESTRO/Dashboard/"/>
    </mc:Choice>
  </mc:AlternateContent>
  <xr:revisionPtr revIDLastSave="3560" documentId="13_ncr:1_{DA6B9E7F-2F2A-412D-BC55-34A0B346D186}" xr6:coauthVersionLast="47" xr6:coauthVersionMax="47" xr10:uidLastSave="{2F1E7F52-A77A-4F72-BBCB-C4CADFE6277B}"/>
  <bookViews>
    <workbookView xWindow="-120" yWindow="-120" windowWidth="20730" windowHeight="11040" firstSheet="1" activeTab="1" autoFilterDateGrouping="0" xr2:uid="{5255F473-5319-4D64-BD15-8A3E0EA3DF20}"/>
  </bookViews>
  <sheets>
    <sheet name="DATOS" sheetId="1" state="hidden" r:id="rId1"/>
    <sheet name="LIBRO MAESTRO" sheetId="3" r:id="rId2"/>
    <sheet name="Doc.pdte.GH" sheetId="13" state="hidden" r:id="rId3"/>
    <sheet name="Binaps" sheetId="12" r:id="rId4"/>
    <sheet name="Registro Binaps" sheetId="11" r:id="rId5"/>
    <sheet name="ESQUEMA DE PROCESOS ACTUAL" sheetId="9" state="hidden" r:id="rId6"/>
    <sheet name="ESQUEMA DE PROCESOS - PROPUESTO" sheetId="5" state="hidden" r:id="rId7"/>
  </sheets>
  <externalReferences>
    <externalReference r:id="rId8"/>
  </externalReferences>
  <definedNames>
    <definedName name="_xlnm._FilterDatabase" localSheetId="2" hidden="1">'Doc.pdte.GH'!$A$3:$A$88</definedName>
    <definedName name="_xlnm._FilterDatabase" localSheetId="1" hidden="1">'LIBRO MAESTRO'!$A$3:$T$631</definedName>
    <definedName name="DatosExternos_1" localSheetId="3" hidden="1">Binaps!$A$1:$T$391</definedName>
    <definedName name="PROCESOS">DATOS!$E$2:$E$25</definedName>
    <definedName name="SIGLAS" localSheetId="5">#REF!</definedName>
    <definedName name="SIGLAS">#REF!</definedName>
    <definedName name="SIGLAS_DOC">DATOS!#REF!</definedName>
    <definedName name="SUBPROCESOS">'[1]DATOS '!$E$2:$E$23</definedName>
    <definedName name="TIPO_DOCUMENTO">DATOS!$G$2:$G$11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31" i="3" l="1"/>
  <c r="E631" i="3"/>
  <c r="F631" i="3"/>
  <c r="A630" i="3"/>
  <c r="E630" i="3"/>
  <c r="F630" i="3"/>
  <c r="A629" i="3"/>
  <c r="E629" i="3"/>
  <c r="F629" i="3"/>
  <c r="A628" i="3"/>
  <c r="E628" i="3"/>
  <c r="F628" i="3"/>
  <c r="A627" i="3"/>
  <c r="A428" i="3"/>
  <c r="A426" i="3"/>
  <c r="E627" i="3"/>
  <c r="F627" i="3"/>
  <c r="A626" i="3"/>
  <c r="E626" i="3"/>
  <c r="F626" i="3"/>
  <c r="F625" i="3"/>
  <c r="E625" i="3"/>
  <c r="A625" i="3"/>
  <c r="F624" i="3"/>
  <c r="E624" i="3"/>
  <c r="A624" i="3"/>
  <c r="F623" i="3"/>
  <c r="E623" i="3"/>
  <c r="A623" i="3"/>
  <c r="F622" i="3"/>
  <c r="E622" i="3"/>
  <c r="A622" i="3"/>
  <c r="F621" i="3"/>
  <c r="E621" i="3"/>
  <c r="A621" i="3"/>
  <c r="A620" i="3"/>
  <c r="E620" i="3"/>
  <c r="F620" i="3"/>
  <c r="A619" i="3"/>
  <c r="E619" i="3"/>
  <c r="F619" i="3"/>
  <c r="A618" i="3"/>
  <c r="E618" i="3"/>
  <c r="F618" i="3"/>
  <c r="A528" i="3"/>
  <c r="E528" i="3"/>
  <c r="F528" i="3"/>
  <c r="F616" i="3"/>
  <c r="E616" i="3"/>
  <c r="A616" i="3"/>
  <c r="F615" i="3"/>
  <c r="E615" i="3"/>
  <c r="A615" i="3"/>
  <c r="H631" i="3" l="1"/>
  <c r="P631" i="3" s="1"/>
  <c r="H630" i="3"/>
  <c r="H629" i="3"/>
  <c r="L629" i="3" s="1"/>
  <c r="H628" i="3"/>
  <c r="H627" i="3"/>
  <c r="H626" i="3"/>
  <c r="H625" i="3"/>
  <c r="H624" i="3"/>
  <c r="H623" i="3"/>
  <c r="H622" i="3"/>
  <c r="H621" i="3"/>
  <c r="H620" i="3"/>
  <c r="H619" i="3"/>
  <c r="H618" i="3"/>
  <c r="L618" i="3" s="1"/>
  <c r="H528" i="3"/>
  <c r="H616" i="3"/>
  <c r="H615" i="3"/>
  <c r="K631" i="3" l="1"/>
  <c r="L631" i="3"/>
  <c r="O631" i="3" s="1"/>
  <c r="K621" i="3"/>
  <c r="L621" i="3"/>
  <c r="O621" i="3" s="1"/>
  <c r="K622" i="3"/>
  <c r="L622" i="3"/>
  <c r="O622" i="3" s="1"/>
  <c r="K615" i="3"/>
  <c r="L615" i="3"/>
  <c r="O615" i="3" s="1"/>
  <c r="K623" i="3"/>
  <c r="L623" i="3"/>
  <c r="O623" i="3" s="1"/>
  <c r="K616" i="3"/>
  <c r="L616" i="3"/>
  <c r="K624" i="3"/>
  <c r="L624" i="3"/>
  <c r="O624" i="3" s="1"/>
  <c r="K619" i="3"/>
  <c r="L619" i="3"/>
  <c r="O619" i="3" s="1"/>
  <c r="K629" i="3"/>
  <c r="O629" i="3"/>
  <c r="K630" i="3"/>
  <c r="L630" i="3"/>
  <c r="O630" i="3" s="1"/>
  <c r="L528" i="3"/>
  <c r="O528" i="3" s="1"/>
  <c r="K528" i="3"/>
  <c r="K625" i="3"/>
  <c r="L625" i="3"/>
  <c r="O625" i="3" s="1"/>
  <c r="K618" i="3"/>
  <c r="O618" i="3"/>
  <c r="K626" i="3"/>
  <c r="L626" i="3"/>
  <c r="O626" i="3" s="1"/>
  <c r="K627" i="3"/>
  <c r="L627" i="3"/>
  <c r="O627" i="3" s="1"/>
  <c r="L628" i="3"/>
  <c r="O628" i="3" s="1"/>
  <c r="K628" i="3"/>
  <c r="K620" i="3"/>
  <c r="L620" i="3"/>
  <c r="O620" i="3" s="1"/>
  <c r="P616" i="3"/>
  <c r="O616" i="3"/>
  <c r="P627" i="3"/>
  <c r="P630" i="3"/>
  <c r="P629" i="3"/>
  <c r="P628" i="3"/>
  <c r="P626" i="3"/>
  <c r="P625" i="3"/>
  <c r="P624" i="3"/>
  <c r="P623" i="3"/>
  <c r="P622" i="3"/>
  <c r="P621" i="3"/>
  <c r="P620" i="3"/>
  <c r="P619" i="3"/>
  <c r="P618" i="3"/>
  <c r="P528" i="3"/>
  <c r="P615" i="3"/>
  <c r="F318" i="3" l="1"/>
  <c r="E318" i="3"/>
  <c r="A318" i="3"/>
  <c r="E432" i="3"/>
  <c r="F432" i="3"/>
  <c r="A432" i="3"/>
  <c r="F614" i="3"/>
  <c r="E614" i="3"/>
  <c r="A614" i="3"/>
  <c r="F317" i="3"/>
  <c r="E317" i="3"/>
  <c r="A317" i="3"/>
  <c r="F428" i="3"/>
  <c r="E428" i="3"/>
  <c r="E426" i="3"/>
  <c r="F426" i="3"/>
  <c r="A288" i="3"/>
  <c r="E288" i="3"/>
  <c r="F288" i="3"/>
  <c r="A607" i="3"/>
  <c r="E607" i="3"/>
  <c r="F607" i="3"/>
  <c r="A606" i="3"/>
  <c r="E606" i="3"/>
  <c r="F606" i="3"/>
  <c r="A605" i="3"/>
  <c r="E605" i="3"/>
  <c r="F605" i="3"/>
  <c r="A604" i="3"/>
  <c r="E604" i="3"/>
  <c r="F604" i="3"/>
  <c r="A424" i="3"/>
  <c r="E424" i="3"/>
  <c r="F424" i="3"/>
  <c r="H317" i="3" l="1"/>
  <c r="H318" i="3"/>
  <c r="H428" i="3"/>
  <c r="H432" i="3"/>
  <c r="H614" i="3"/>
  <c r="H426" i="3"/>
  <c r="H288" i="3"/>
  <c r="H607" i="3"/>
  <c r="H606" i="3"/>
  <c r="H605" i="3"/>
  <c r="H604" i="3"/>
  <c r="H424" i="3"/>
  <c r="A602" i="3"/>
  <c r="E602" i="3"/>
  <c r="F602" i="3"/>
  <c r="A601" i="3"/>
  <c r="E601" i="3"/>
  <c r="F601" i="3"/>
  <c r="A600" i="3"/>
  <c r="E600" i="3"/>
  <c r="F600" i="3"/>
  <c r="A422" i="3"/>
  <c r="E422" i="3"/>
  <c r="F422" i="3"/>
  <c r="A420" i="3"/>
  <c r="E420" i="3"/>
  <c r="F420" i="3"/>
  <c r="A597" i="3"/>
  <c r="E597" i="3"/>
  <c r="F597" i="3"/>
  <c r="A596" i="3"/>
  <c r="E596" i="3"/>
  <c r="F596" i="3"/>
  <c r="A595" i="3"/>
  <c r="E595" i="3"/>
  <c r="F595" i="3"/>
  <c r="A594" i="3"/>
  <c r="E594" i="3"/>
  <c r="F594" i="3"/>
  <c r="A593" i="3"/>
  <c r="E593" i="3"/>
  <c r="F593" i="3"/>
  <c r="A592" i="3"/>
  <c r="E592" i="3"/>
  <c r="F592" i="3"/>
  <c r="K607" i="3" l="1"/>
  <c r="L607" i="3"/>
  <c r="O607" i="3" s="1"/>
  <c r="L288" i="3"/>
  <c r="K288" i="3"/>
  <c r="K426" i="3"/>
  <c r="L426" i="3"/>
  <c r="O426" i="3" s="1"/>
  <c r="K614" i="3"/>
  <c r="L614" i="3"/>
  <c r="O614" i="3" s="1"/>
  <c r="L424" i="3"/>
  <c r="O424" i="3" s="1"/>
  <c r="K424" i="3"/>
  <c r="L432" i="3"/>
  <c r="O432" i="3" s="1"/>
  <c r="K432" i="3"/>
  <c r="K604" i="3"/>
  <c r="L604" i="3"/>
  <c r="O604" i="3" s="1"/>
  <c r="K428" i="3"/>
  <c r="L428" i="3"/>
  <c r="O428" i="3" s="1"/>
  <c r="P605" i="3"/>
  <c r="K605" i="3"/>
  <c r="L605" i="3"/>
  <c r="O605" i="3" s="1"/>
  <c r="K318" i="3"/>
  <c r="L318" i="3"/>
  <c r="O318" i="3" s="1"/>
  <c r="P606" i="3"/>
  <c r="K606" i="3"/>
  <c r="L606" i="3"/>
  <c r="O606" i="3" s="1"/>
  <c r="K317" i="3"/>
  <c r="L317" i="3"/>
  <c r="O317" i="3" s="1"/>
  <c r="O288" i="3"/>
  <c r="P428" i="3"/>
  <c r="P318" i="3"/>
  <c r="P432" i="3"/>
  <c r="P614" i="3"/>
  <c r="P317" i="3"/>
  <c r="P426" i="3"/>
  <c r="P288" i="3"/>
  <c r="P607" i="3"/>
  <c r="P604" i="3"/>
  <c r="P424" i="3"/>
  <c r="H601" i="3"/>
  <c r="H602" i="3"/>
  <c r="H600" i="3"/>
  <c r="H422" i="3"/>
  <c r="H420" i="3"/>
  <c r="H597" i="3"/>
  <c r="H596" i="3"/>
  <c r="L596" i="3" s="1"/>
  <c r="H594" i="3"/>
  <c r="H593" i="3"/>
  <c r="H595" i="3"/>
  <c r="H592" i="3"/>
  <c r="A613" i="3"/>
  <c r="E613" i="3"/>
  <c r="F613" i="3"/>
  <c r="A590" i="3"/>
  <c r="A589" i="3"/>
  <c r="A588" i="3"/>
  <c r="A587" i="3"/>
  <c r="A586" i="3"/>
  <c r="A585" i="3"/>
  <c r="A584" i="3"/>
  <c r="E586" i="3"/>
  <c r="E587" i="3"/>
  <c r="E588" i="3"/>
  <c r="E589" i="3"/>
  <c r="E590" i="3"/>
  <c r="F586" i="3"/>
  <c r="F587" i="3"/>
  <c r="F588" i="3"/>
  <c r="F589" i="3"/>
  <c r="F590" i="3"/>
  <c r="E584" i="3"/>
  <c r="E585" i="3"/>
  <c r="F584" i="3"/>
  <c r="F585" i="3"/>
  <c r="A583" i="3"/>
  <c r="A582" i="3"/>
  <c r="A581" i="3"/>
  <c r="A580" i="3"/>
  <c r="A579" i="3"/>
  <c r="A578" i="3"/>
  <c r="A577" i="3"/>
  <c r="A576" i="3"/>
  <c r="A575" i="3"/>
  <c r="A574" i="3"/>
  <c r="E583" i="3"/>
  <c r="F583" i="3"/>
  <c r="E582" i="3"/>
  <c r="F582" i="3"/>
  <c r="E581" i="3"/>
  <c r="F581" i="3"/>
  <c r="E580" i="3"/>
  <c r="F580" i="3"/>
  <c r="E579" i="3"/>
  <c r="F579" i="3"/>
  <c r="E578" i="3"/>
  <c r="F578" i="3"/>
  <c r="E577" i="3"/>
  <c r="F577" i="3"/>
  <c r="E576" i="3"/>
  <c r="F576" i="3"/>
  <c r="E575" i="3"/>
  <c r="F575" i="3"/>
  <c r="E574" i="3"/>
  <c r="F574" i="3"/>
  <c r="A573" i="3"/>
  <c r="E573" i="3"/>
  <c r="F573" i="3"/>
  <c r="A572" i="3"/>
  <c r="E572" i="3"/>
  <c r="F572" i="3"/>
  <c r="A571" i="3"/>
  <c r="E571" i="3"/>
  <c r="F571" i="3"/>
  <c r="A570" i="3"/>
  <c r="E570" i="3"/>
  <c r="F570" i="3"/>
  <c r="P595" i="3" l="1"/>
  <c r="K595" i="3"/>
  <c r="L595" i="3"/>
  <c r="O595" i="3" s="1"/>
  <c r="K602" i="3"/>
  <c r="L602" i="3"/>
  <c r="O602" i="3" s="1"/>
  <c r="K422" i="3"/>
  <c r="L422" i="3"/>
  <c r="O422" i="3" s="1"/>
  <c r="P593" i="3"/>
  <c r="K593" i="3"/>
  <c r="L593" i="3"/>
  <c r="O593" i="3" s="1"/>
  <c r="K601" i="3"/>
  <c r="L601" i="3"/>
  <c r="O601" i="3" s="1"/>
  <c r="K594" i="3"/>
  <c r="L594" i="3"/>
  <c r="O594" i="3" s="1"/>
  <c r="P592" i="3"/>
  <c r="K592" i="3"/>
  <c r="L592" i="3"/>
  <c r="O592" i="3" s="1"/>
  <c r="K600" i="3"/>
  <c r="L600" i="3"/>
  <c r="O600" i="3" s="1"/>
  <c r="P596" i="3"/>
  <c r="O596" i="3"/>
  <c r="K596" i="3"/>
  <c r="L597" i="3"/>
  <c r="O597" i="3" s="1"/>
  <c r="K597" i="3"/>
  <c r="P420" i="3"/>
  <c r="K420" i="3"/>
  <c r="L420" i="3"/>
  <c r="O420" i="3" s="1"/>
  <c r="P601" i="3"/>
  <c r="P602" i="3"/>
  <c r="P600" i="3"/>
  <c r="P422" i="3"/>
  <c r="P597" i="3"/>
  <c r="P594" i="3"/>
  <c r="H613" i="3"/>
  <c r="H588" i="3"/>
  <c r="H590" i="3"/>
  <c r="H589" i="3"/>
  <c r="H587" i="3"/>
  <c r="H586" i="3"/>
  <c r="H584" i="3"/>
  <c r="H585" i="3"/>
  <c r="H583" i="3"/>
  <c r="H580" i="3"/>
  <c r="H581" i="3"/>
  <c r="H582" i="3"/>
  <c r="H579" i="3"/>
  <c r="H578" i="3"/>
  <c r="H577" i="3"/>
  <c r="H576" i="3"/>
  <c r="H575" i="3"/>
  <c r="H574" i="3"/>
  <c r="H573" i="3"/>
  <c r="H572" i="3"/>
  <c r="H571" i="3"/>
  <c r="H570" i="3"/>
  <c r="A569" i="3"/>
  <c r="E569" i="3"/>
  <c r="F569" i="3"/>
  <c r="A568" i="3"/>
  <c r="E568" i="3"/>
  <c r="F568" i="3"/>
  <c r="A567" i="3"/>
  <c r="E567" i="3"/>
  <c r="F567" i="3"/>
  <c r="A565" i="3"/>
  <c r="A566" i="3"/>
  <c r="E565" i="3"/>
  <c r="E566" i="3"/>
  <c r="F565" i="3"/>
  <c r="F566" i="3"/>
  <c r="E564" i="3"/>
  <c r="F564" i="3"/>
  <c r="A564" i="3"/>
  <c r="F563" i="3"/>
  <c r="E563" i="3"/>
  <c r="A563" i="3"/>
  <c r="K578" i="3" l="1"/>
  <c r="L578" i="3"/>
  <c r="O578" i="3" s="1"/>
  <c r="K571" i="3"/>
  <c r="L571" i="3"/>
  <c r="O571" i="3" s="1"/>
  <c r="K587" i="3"/>
  <c r="L587" i="3"/>
  <c r="O587" i="3" s="1"/>
  <c r="K572" i="3"/>
  <c r="L572" i="3"/>
  <c r="O572" i="3" s="1"/>
  <c r="K582" i="3"/>
  <c r="L582" i="3"/>
  <c r="O582" i="3" s="1"/>
  <c r="P589" i="3"/>
  <c r="K589" i="3"/>
  <c r="L589" i="3"/>
  <c r="O589" i="3" s="1"/>
  <c r="K575" i="3"/>
  <c r="L575" i="3"/>
  <c r="O575" i="3" s="1"/>
  <c r="K583" i="3"/>
  <c r="L583" i="3"/>
  <c r="O583" i="3" s="1"/>
  <c r="K613" i="3"/>
  <c r="L613" i="3"/>
  <c r="K576" i="3"/>
  <c r="L576" i="3"/>
  <c r="O576" i="3" s="1"/>
  <c r="K585" i="3"/>
  <c r="L585" i="3"/>
  <c r="O585" i="3" s="1"/>
  <c r="P577" i="3"/>
  <c r="K577" i="3"/>
  <c r="L577" i="3"/>
  <c r="O577" i="3" s="1"/>
  <c r="K584" i="3"/>
  <c r="L584" i="3"/>
  <c r="O584" i="3" s="1"/>
  <c r="K570" i="3"/>
  <c r="L570" i="3"/>
  <c r="O570" i="3" s="1"/>
  <c r="K586" i="3"/>
  <c r="L586" i="3"/>
  <c r="O586" i="3" s="1"/>
  <c r="K579" i="3"/>
  <c r="L579" i="3"/>
  <c r="O579" i="3" s="1"/>
  <c r="K573" i="3"/>
  <c r="L573" i="3"/>
  <c r="O573" i="3" s="1"/>
  <c r="K581" i="3"/>
  <c r="L581" i="3"/>
  <c r="O581" i="3" s="1"/>
  <c r="P590" i="3"/>
  <c r="K590" i="3"/>
  <c r="L590" i="3"/>
  <c r="O590" i="3" s="1"/>
  <c r="K574" i="3"/>
  <c r="L574" i="3"/>
  <c r="O574" i="3" s="1"/>
  <c r="P580" i="3"/>
  <c r="K580" i="3"/>
  <c r="L580" i="3"/>
  <c r="O580" i="3" s="1"/>
  <c r="K588" i="3"/>
  <c r="L588" i="3"/>
  <c r="O588" i="3" s="1"/>
  <c r="O613" i="3"/>
  <c r="P613" i="3"/>
  <c r="P588" i="3"/>
  <c r="P587" i="3"/>
  <c r="P584" i="3"/>
  <c r="P586" i="3"/>
  <c r="P585" i="3"/>
  <c r="P581" i="3"/>
  <c r="P583" i="3"/>
  <c r="P582" i="3"/>
  <c r="P579" i="3"/>
  <c r="P578" i="3"/>
  <c r="P575" i="3"/>
  <c r="P576" i="3"/>
  <c r="P574" i="3"/>
  <c r="P573" i="3"/>
  <c r="P572" i="3"/>
  <c r="P571" i="3"/>
  <c r="P570" i="3"/>
  <c r="H569" i="3"/>
  <c r="H568" i="3"/>
  <c r="H567" i="3"/>
  <c r="H566" i="3"/>
  <c r="H565" i="3"/>
  <c r="H564" i="3"/>
  <c r="H563" i="3"/>
  <c r="K563" i="3" l="1"/>
  <c r="L563" i="3"/>
  <c r="O563" i="3" s="1"/>
  <c r="L565" i="3"/>
  <c r="O565" i="3" s="1"/>
  <c r="K565" i="3"/>
  <c r="K566" i="3"/>
  <c r="L566" i="3"/>
  <c r="O566" i="3" s="1"/>
  <c r="P567" i="3"/>
  <c r="K567" i="3"/>
  <c r="L567" i="3"/>
  <c r="O567" i="3" s="1"/>
  <c r="K568" i="3"/>
  <c r="L568" i="3"/>
  <c r="O568" i="3" s="1"/>
  <c r="K569" i="3"/>
  <c r="L569" i="3"/>
  <c r="O569" i="3" s="1"/>
  <c r="L564" i="3"/>
  <c r="O564" i="3" s="1"/>
  <c r="K564" i="3"/>
  <c r="P569" i="3"/>
  <c r="P568" i="3"/>
  <c r="P565" i="3"/>
  <c r="P566" i="3"/>
  <c r="P564" i="3"/>
  <c r="P563" i="3"/>
  <c r="A5" i="3" l="1"/>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3" i="3"/>
  <c r="A289" i="3"/>
  <c r="A319" i="3"/>
  <c r="A462" i="3"/>
  <c r="A529" i="3"/>
  <c r="A617" i="3"/>
  <c r="A56" i="3"/>
  <c r="A57" i="3"/>
  <c r="A58" i="3"/>
  <c r="A59" i="3"/>
  <c r="A60" i="3"/>
  <c r="A61" i="3"/>
  <c r="A62" i="3"/>
  <c r="A63" i="3"/>
  <c r="A64" i="3"/>
  <c r="A65" i="3"/>
  <c r="A66" i="3"/>
  <c r="A67" i="3"/>
  <c r="A68" i="3"/>
  <c r="A69" i="3"/>
  <c r="A70" i="3"/>
  <c r="A71" i="3"/>
  <c r="A72" i="3"/>
  <c r="A73" i="3"/>
  <c r="A219" i="3"/>
  <c r="A75" i="3"/>
  <c r="A76" i="3"/>
  <c r="A77" i="3"/>
  <c r="A78" i="3"/>
  <c r="A79" i="3"/>
  <c r="A80" i="3"/>
  <c r="A81" i="3"/>
  <c r="A82" i="3"/>
  <c r="A83" i="3"/>
  <c r="A84" i="3"/>
  <c r="A85" i="3"/>
  <c r="A86" i="3"/>
  <c r="A87" i="3"/>
  <c r="A88" i="3"/>
  <c r="A89" i="3"/>
  <c r="A90" i="3"/>
  <c r="A91" i="3"/>
  <c r="A92" i="3"/>
  <c r="A93" i="3"/>
  <c r="A50" i="3"/>
  <c r="A54" i="3"/>
  <c r="A300" i="3"/>
  <c r="A326" i="3"/>
  <c r="A471" i="3"/>
  <c r="A430" i="3"/>
  <c r="A100" i="3"/>
  <c r="A101" i="3"/>
  <c r="A102" i="3"/>
  <c r="A103" i="3"/>
  <c r="A104" i="3"/>
  <c r="A105" i="3"/>
  <c r="A106" i="3"/>
  <c r="A107" i="3"/>
  <c r="A108" i="3"/>
  <c r="A175" i="3"/>
  <c r="A110" i="3"/>
  <c r="A111" i="3"/>
  <c r="A112" i="3"/>
  <c r="A113" i="3"/>
  <c r="A114" i="3"/>
  <c r="A115" i="3"/>
  <c r="A116" i="3"/>
  <c r="A117" i="3"/>
  <c r="A118" i="3"/>
  <c r="A119" i="3"/>
  <c r="A120" i="3"/>
  <c r="A121" i="3"/>
  <c r="A122" i="3"/>
  <c r="A123" i="3"/>
  <c r="A124" i="3"/>
  <c r="A125" i="3"/>
  <c r="A126" i="3"/>
  <c r="A127" i="3"/>
  <c r="A128" i="3"/>
  <c r="A51" i="3"/>
  <c r="A55" i="3"/>
  <c r="A301" i="3"/>
  <c r="A327" i="3"/>
  <c r="A472" i="3"/>
  <c r="A473" i="3"/>
  <c r="A135" i="3"/>
  <c r="A74" i="3"/>
  <c r="A137" i="3"/>
  <c r="A138" i="3"/>
  <c r="A139" i="3"/>
  <c r="A140" i="3"/>
  <c r="A141" i="3"/>
  <c r="A142" i="3"/>
  <c r="A143" i="3"/>
  <c r="A144" i="3"/>
  <c r="A145" i="3"/>
  <c r="A146" i="3"/>
  <c r="A147" i="3"/>
  <c r="A148" i="3"/>
  <c r="A149" i="3"/>
  <c r="A150" i="3"/>
  <c r="A151" i="3"/>
  <c r="A152" i="3"/>
  <c r="A153" i="3"/>
  <c r="A154" i="3"/>
  <c r="A155" i="3"/>
  <c r="A156" i="3"/>
  <c r="A157" i="3"/>
  <c r="A158" i="3"/>
  <c r="A52" i="3"/>
  <c r="A94" i="3"/>
  <c r="A310" i="3"/>
  <c r="A336" i="3"/>
  <c r="A489" i="3"/>
  <c r="A164" i="3"/>
  <c r="A165" i="3"/>
  <c r="A166" i="3"/>
  <c r="A167" i="3"/>
  <c r="A168" i="3"/>
  <c r="A169" i="3"/>
  <c r="A170" i="3"/>
  <c r="A171" i="3"/>
  <c r="A172" i="3"/>
  <c r="A173" i="3"/>
  <c r="A174" i="3"/>
  <c r="A231" i="3"/>
  <c r="A176" i="3"/>
  <c r="A177" i="3"/>
  <c r="A178" i="3"/>
  <c r="A179" i="3"/>
  <c r="A180" i="3"/>
  <c r="A181" i="3"/>
  <c r="A182" i="3"/>
  <c r="A183" i="3"/>
  <c r="A184" i="3"/>
  <c r="A95" i="3"/>
  <c r="A337" i="3"/>
  <c r="A525" i="3"/>
  <c r="A188" i="3"/>
  <c r="A109" i="3"/>
  <c r="A190" i="3"/>
  <c r="A191" i="3"/>
  <c r="A192" i="3"/>
  <c r="A193" i="3"/>
  <c r="A189" i="3"/>
  <c r="A195" i="3"/>
  <c r="A196" i="3"/>
  <c r="A197" i="3"/>
  <c r="A198" i="3"/>
  <c r="A199" i="3"/>
  <c r="A247" i="3"/>
  <c r="A201" i="3"/>
  <c r="A202" i="3"/>
  <c r="A203" i="3"/>
  <c r="A204" i="3"/>
  <c r="A205" i="3"/>
  <c r="A206" i="3"/>
  <c r="A207" i="3"/>
  <c r="A96" i="3"/>
  <c r="A341" i="3"/>
  <c r="A526" i="3"/>
  <c r="A598" i="3"/>
  <c r="A212" i="3"/>
  <c r="A213" i="3"/>
  <c r="A214" i="3"/>
  <c r="A194" i="3"/>
  <c r="A216" i="3"/>
  <c r="A217" i="3"/>
  <c r="A218" i="3"/>
  <c r="A253" i="3"/>
  <c r="A220" i="3"/>
  <c r="A221" i="3"/>
  <c r="A222" i="3"/>
  <c r="A223" i="3"/>
  <c r="A224" i="3"/>
  <c r="A225" i="3"/>
  <c r="A226" i="3"/>
  <c r="A227" i="3"/>
  <c r="A97" i="3"/>
  <c r="A342" i="3"/>
  <c r="A527" i="3"/>
  <c r="A599" i="3"/>
  <c r="A232" i="3"/>
  <c r="A233" i="3"/>
  <c r="A234" i="3"/>
  <c r="A235" i="3"/>
  <c r="A236" i="3"/>
  <c r="A237" i="3"/>
  <c r="A238" i="3"/>
  <c r="A239" i="3"/>
  <c r="A240" i="3"/>
  <c r="A241" i="3"/>
  <c r="A242" i="3"/>
  <c r="A243" i="3"/>
  <c r="A244" i="3"/>
  <c r="A98" i="3"/>
  <c r="A349" i="3"/>
  <c r="A603" i="3"/>
  <c r="A248" i="3"/>
  <c r="A249" i="3"/>
  <c r="A250" i="3"/>
  <c r="A251" i="3"/>
  <c r="A252" i="3"/>
  <c r="A200" i="3"/>
  <c r="A254" i="3"/>
  <c r="A255" i="3"/>
  <c r="A256" i="3"/>
  <c r="A257" i="3"/>
  <c r="A258" i="3"/>
  <c r="A259" i="3"/>
  <c r="A264" i="3"/>
  <c r="A261" i="3"/>
  <c r="A99" i="3"/>
  <c r="A350" i="3"/>
  <c r="A608" i="3"/>
  <c r="A265" i="3"/>
  <c r="A266" i="3"/>
  <c r="A267" i="3"/>
  <c r="A268" i="3"/>
  <c r="A269" i="3"/>
  <c r="A211" i="3"/>
  <c r="A271" i="3"/>
  <c r="A272" i="3"/>
  <c r="A273" i="3"/>
  <c r="A274" i="3"/>
  <c r="A275" i="3"/>
  <c r="A129" i="3"/>
  <c r="A357" i="3"/>
  <c r="A530" i="3"/>
  <c r="A279" i="3"/>
  <c r="A280" i="3"/>
  <c r="A281" i="3"/>
  <c r="A282" i="3"/>
  <c r="A283" i="3"/>
  <c r="A284" i="3"/>
  <c r="A285" i="3"/>
  <c r="A286" i="3"/>
  <c r="A287" i="3"/>
  <c r="A130" i="3"/>
  <c r="A358" i="3"/>
  <c r="A609" i="3"/>
  <c r="A291" i="3"/>
  <c r="A292" i="3"/>
  <c r="A293" i="3"/>
  <c r="A215" i="3"/>
  <c r="A295" i="3"/>
  <c r="A296" i="3"/>
  <c r="A297" i="3"/>
  <c r="A298" i="3"/>
  <c r="A299" i="3"/>
  <c r="A131" i="3"/>
  <c r="A364" i="3"/>
  <c r="A302" i="3"/>
  <c r="A303" i="3"/>
  <c r="A304" i="3"/>
  <c r="A305" i="3"/>
  <c r="A306" i="3"/>
  <c r="A307" i="3"/>
  <c r="A308" i="3"/>
  <c r="A309" i="3"/>
  <c r="A132" i="3"/>
  <c r="A365" i="3"/>
  <c r="A312" i="3"/>
  <c r="A313" i="3"/>
  <c r="A314" i="3"/>
  <c r="A270" i="3"/>
  <c r="A316" i="3"/>
  <c r="A133" i="3"/>
  <c r="A370" i="3"/>
  <c r="A591" i="3"/>
  <c r="A320" i="3"/>
  <c r="A321" i="3"/>
  <c r="A322" i="3"/>
  <c r="A323" i="3"/>
  <c r="A324" i="3"/>
  <c r="A325" i="3"/>
  <c r="A134" i="3"/>
  <c r="A371" i="3"/>
  <c r="A610" i="3"/>
  <c r="A329" i="3"/>
  <c r="A330" i="3"/>
  <c r="A331" i="3"/>
  <c r="A332" i="3"/>
  <c r="A333" i="3"/>
  <c r="A290" i="3"/>
  <c r="A335" i="3"/>
  <c r="A159" i="3"/>
  <c r="A377" i="3"/>
  <c r="A338" i="3"/>
  <c r="A339" i="3"/>
  <c r="A340" i="3"/>
  <c r="A160" i="3"/>
  <c r="A383" i="3"/>
  <c r="A343" i="3"/>
  <c r="A344" i="3"/>
  <c r="A345" i="3"/>
  <c r="A346" i="3"/>
  <c r="A347" i="3"/>
  <c r="A348" i="3"/>
  <c r="A161" i="3"/>
  <c r="A388" i="3"/>
  <c r="A351" i="3"/>
  <c r="A352" i="3"/>
  <c r="A260" i="3"/>
  <c r="A354" i="3"/>
  <c r="A355" i="3"/>
  <c r="A356" i="3"/>
  <c r="A162" i="3"/>
  <c r="A394" i="3"/>
  <c r="A359" i="3"/>
  <c r="A360" i="3"/>
  <c r="A361" i="3"/>
  <c r="A294" i="3"/>
  <c r="A363" i="3"/>
  <c r="A163" i="3"/>
  <c r="A399" i="3"/>
  <c r="A366" i="3"/>
  <c r="A367" i="3"/>
  <c r="A368" i="3"/>
  <c r="A315" i="3"/>
  <c r="A185" i="3"/>
  <c r="A403" i="3"/>
  <c r="A372" i="3"/>
  <c r="A373" i="3"/>
  <c r="A374" i="3"/>
  <c r="A375" i="3"/>
  <c r="A376" i="3"/>
  <c r="A186" i="3"/>
  <c r="A378" i="3"/>
  <c r="A379" i="3"/>
  <c r="A380" i="3"/>
  <c r="A381" i="3"/>
  <c r="A382" i="3"/>
  <c r="A187" i="3"/>
  <c r="A384" i="3"/>
  <c r="A385" i="3"/>
  <c r="A386" i="3"/>
  <c r="A387" i="3"/>
  <c r="A208" i="3"/>
  <c r="A389" i="3"/>
  <c r="A390" i="3"/>
  <c r="A391" i="3"/>
  <c r="A392" i="3"/>
  <c r="A393" i="3"/>
  <c r="A209" i="3"/>
  <c r="A395" i="3"/>
  <c r="A396" i="3"/>
  <c r="A397" i="3"/>
  <c r="A328" i="3"/>
  <c r="A210" i="3"/>
  <c r="A400" i="3"/>
  <c r="A401" i="3"/>
  <c r="A402" i="3"/>
  <c r="A334" i="3"/>
  <c r="A404" i="3"/>
  <c r="A405" i="3"/>
  <c r="A406" i="3"/>
  <c r="A228" i="3"/>
  <c r="A408" i="3"/>
  <c r="A409" i="3"/>
  <c r="A410" i="3"/>
  <c r="A411" i="3"/>
  <c r="A412" i="3"/>
  <c r="A413" i="3"/>
  <c r="A414" i="3"/>
  <c r="A229" i="3"/>
  <c r="A416" i="3"/>
  <c r="A230" i="3"/>
  <c r="A418" i="3"/>
  <c r="A419" i="3"/>
  <c r="A245" i="3"/>
  <c r="A421" i="3"/>
  <c r="A246" i="3"/>
  <c r="A423" i="3"/>
  <c r="A262" i="3"/>
  <c r="A425" i="3"/>
  <c r="A263" i="3"/>
  <c r="A427" i="3"/>
  <c r="A276" i="3"/>
  <c r="A429" i="3"/>
  <c r="A277" i="3"/>
  <c r="A431" i="3"/>
  <c r="A278"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353" i="3"/>
  <c r="A463" i="3"/>
  <c r="A464" i="3"/>
  <c r="A465" i="3"/>
  <c r="A466" i="3"/>
  <c r="A467" i="3"/>
  <c r="A468" i="3"/>
  <c r="A469" i="3"/>
  <c r="A470" i="3"/>
  <c r="A362" i="3"/>
  <c r="A369" i="3"/>
  <c r="A398" i="3"/>
  <c r="A474" i="3"/>
  <c r="A475" i="3"/>
  <c r="A476" i="3"/>
  <c r="A477" i="3"/>
  <c r="A478" i="3"/>
  <c r="A479" i="3"/>
  <c r="A480" i="3"/>
  <c r="A481" i="3"/>
  <c r="A482" i="3"/>
  <c r="A483" i="3"/>
  <c r="A484" i="3"/>
  <c r="A485" i="3"/>
  <c r="A486" i="3"/>
  <c r="A487" i="3"/>
  <c r="A488" i="3"/>
  <c r="A136"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407" i="3"/>
  <c r="A415" i="3"/>
  <c r="A611" i="3"/>
  <c r="A311" i="3"/>
  <c r="A612" i="3"/>
  <c r="A417"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2" i="3"/>
  <c r="A561" i="3"/>
  <c r="A4" i="3"/>
  <c r="F561" i="3"/>
  <c r="E561" i="3"/>
  <c r="F562" i="3"/>
  <c r="E562" i="3"/>
  <c r="F560" i="3"/>
  <c r="E560" i="3"/>
  <c r="F559" i="3"/>
  <c r="E559" i="3"/>
  <c r="F558" i="3"/>
  <c r="E558" i="3"/>
  <c r="E557" i="3"/>
  <c r="F557" i="3"/>
  <c r="E556" i="3"/>
  <c r="F556" i="3"/>
  <c r="E555" i="3"/>
  <c r="F555" i="3"/>
  <c r="E554" i="3"/>
  <c r="F554" i="3"/>
  <c r="E553" i="3"/>
  <c r="F553" i="3"/>
  <c r="E552" i="3"/>
  <c r="F552" i="3"/>
  <c r="E551" i="3"/>
  <c r="F551" i="3"/>
  <c r="E550" i="3"/>
  <c r="F550" i="3"/>
  <c r="E549" i="3"/>
  <c r="F549" i="3"/>
  <c r="H561" i="3" l="1"/>
  <c r="H562" i="3"/>
  <c r="H558" i="3"/>
  <c r="H560" i="3"/>
  <c r="H559" i="3"/>
  <c r="H557" i="3"/>
  <c r="H556" i="3"/>
  <c r="H555" i="3"/>
  <c r="H553" i="3"/>
  <c r="H554" i="3"/>
  <c r="H552" i="3"/>
  <c r="H551" i="3"/>
  <c r="H550" i="3"/>
  <c r="H549" i="3"/>
  <c r="K550" i="3" l="1"/>
  <c r="L550" i="3"/>
  <c r="O550" i="3" s="1"/>
  <c r="K555" i="3"/>
  <c r="L555" i="3"/>
  <c r="O555" i="3" s="1"/>
  <c r="K556" i="3"/>
  <c r="L556" i="3"/>
  <c r="O556" i="3" s="1"/>
  <c r="K549" i="3"/>
  <c r="L549" i="3"/>
  <c r="O549" i="3" s="1"/>
  <c r="K559" i="3"/>
  <c r="L559" i="3"/>
  <c r="O559" i="3" s="1"/>
  <c r="K551" i="3"/>
  <c r="L551" i="3"/>
  <c r="O551" i="3" s="1"/>
  <c r="K560" i="3"/>
  <c r="L560" i="3"/>
  <c r="O560" i="3" s="1"/>
  <c r="K557" i="3"/>
  <c r="L557" i="3"/>
  <c r="O557" i="3" s="1"/>
  <c r="L552" i="3"/>
  <c r="O552" i="3" s="1"/>
  <c r="K552" i="3"/>
  <c r="K558" i="3"/>
  <c r="L558" i="3"/>
  <c r="O558" i="3" s="1"/>
  <c r="K554" i="3"/>
  <c r="L554" i="3"/>
  <c r="O554" i="3" s="1"/>
  <c r="K562" i="3"/>
  <c r="L562" i="3"/>
  <c r="O562" i="3" s="1"/>
  <c r="L553" i="3"/>
  <c r="O553" i="3" s="1"/>
  <c r="K553" i="3"/>
  <c r="K561" i="3"/>
  <c r="L561" i="3"/>
  <c r="O561" i="3" s="1"/>
  <c r="P559" i="3"/>
  <c r="P554" i="3"/>
  <c r="P553" i="3"/>
  <c r="P561" i="3"/>
  <c r="P562" i="3"/>
  <c r="P558" i="3"/>
  <c r="P560" i="3"/>
  <c r="P555" i="3"/>
  <c r="P557" i="3"/>
  <c r="P556" i="3"/>
  <c r="P552" i="3"/>
  <c r="P551" i="3"/>
  <c r="P550" i="3"/>
  <c r="P549" i="3"/>
  <c r="F548" i="3" l="1"/>
  <c r="E548" i="3"/>
  <c r="F547" i="3"/>
  <c r="E547" i="3"/>
  <c r="E546" i="3"/>
  <c r="F546" i="3"/>
  <c r="E545" i="3"/>
  <c r="F545" i="3"/>
  <c r="E544" i="3"/>
  <c r="F544" i="3"/>
  <c r="E543" i="3"/>
  <c r="F543" i="3"/>
  <c r="E542" i="3"/>
  <c r="F542" i="3"/>
  <c r="E541" i="3"/>
  <c r="F541" i="3"/>
  <c r="E540" i="3"/>
  <c r="F540" i="3"/>
  <c r="E539" i="3"/>
  <c r="F539" i="3"/>
  <c r="E538" i="3"/>
  <c r="F538" i="3"/>
  <c r="E537" i="3"/>
  <c r="F537" i="3"/>
  <c r="E87" i="3"/>
  <c r="F87" i="3"/>
  <c r="E536" i="3"/>
  <c r="F536" i="3"/>
  <c r="E535" i="3"/>
  <c r="F535" i="3"/>
  <c r="E534" i="3"/>
  <c r="F534" i="3"/>
  <c r="E533" i="3"/>
  <c r="F533" i="3"/>
  <c r="E40" i="3"/>
  <c r="F40" i="3"/>
  <c r="E417" i="3"/>
  <c r="F417" i="3"/>
  <c r="E612" i="3"/>
  <c r="F612" i="3"/>
  <c r="E311" i="3"/>
  <c r="F311" i="3"/>
  <c r="E611" i="3"/>
  <c r="F611" i="3"/>
  <c r="E415" i="3"/>
  <c r="F415" i="3"/>
  <c r="E407" i="3"/>
  <c r="F407" i="3"/>
  <c r="F116" i="3"/>
  <c r="F150" i="3"/>
  <c r="F123" i="3"/>
  <c r="F155" i="3"/>
  <c r="F157" i="3"/>
  <c r="F4" i="3"/>
  <c r="F56" i="3"/>
  <c r="F100" i="3"/>
  <c r="F135" i="3"/>
  <c r="F485" i="3"/>
  <c r="F188" i="3"/>
  <c r="F16" i="3"/>
  <c r="F248" i="3"/>
  <c r="F265" i="3"/>
  <c r="F279" i="3"/>
  <c r="F291" i="3"/>
  <c r="F302" i="3"/>
  <c r="F60" i="3"/>
  <c r="F320" i="3"/>
  <c r="F329" i="3"/>
  <c r="F343" i="3"/>
  <c r="F351" i="3"/>
  <c r="F359" i="3"/>
  <c r="F366" i="3"/>
  <c r="F372" i="3"/>
  <c r="F378" i="3"/>
  <c r="F389" i="3"/>
  <c r="F395" i="3"/>
  <c r="F400" i="3"/>
  <c r="F404" i="3"/>
  <c r="F408" i="3"/>
  <c r="F411" i="3"/>
  <c r="F5" i="3"/>
  <c r="F57" i="3"/>
  <c r="F101" i="3"/>
  <c r="F6" i="3"/>
  <c r="F58" i="3"/>
  <c r="F102" i="3"/>
  <c r="F7" i="3"/>
  <c r="F59" i="3"/>
  <c r="F103" i="3"/>
  <c r="F488" i="3"/>
  <c r="F74" i="3"/>
  <c r="F136" i="3"/>
  <c r="F109" i="3"/>
  <c r="F8" i="3"/>
  <c r="F104" i="3"/>
  <c r="F61" i="3"/>
  <c r="F9" i="3"/>
  <c r="F105" i="3"/>
  <c r="F166" i="3"/>
  <c r="F138" i="3"/>
  <c r="F62" i="3"/>
  <c r="F189" i="3"/>
  <c r="F190" i="3"/>
  <c r="F321" i="3"/>
  <c r="F232" i="3"/>
  <c r="F249" i="3"/>
  <c r="F137" i="3"/>
  <c r="F401" i="3"/>
  <c r="F63" i="3"/>
  <c r="F330" i="3"/>
  <c r="F390" i="3"/>
  <c r="F10" i="3"/>
  <c r="F251" i="3"/>
  <c r="F141" i="3"/>
  <c r="F106" i="3"/>
  <c r="F266" i="3"/>
  <c r="F292" i="3"/>
  <c r="F167" i="3"/>
  <c r="F191" i="3"/>
  <c r="F139" i="3"/>
  <c r="F212" i="3"/>
  <c r="F303" i="3"/>
  <c r="F252" i="3"/>
  <c r="F175" i="3"/>
  <c r="F233" i="3"/>
  <c r="F11" i="3"/>
  <c r="F64" i="3"/>
  <c r="F107" i="3"/>
  <c r="F140" i="3"/>
  <c r="F168" i="3"/>
  <c r="F344" i="3"/>
  <c r="F194" i="3"/>
  <c r="F200" i="3"/>
  <c r="F352" i="3"/>
  <c r="F360" i="3"/>
  <c r="F384" i="3"/>
  <c r="F396" i="3"/>
  <c r="F250" i="3"/>
  <c r="F367" i="3"/>
  <c r="F267" i="3"/>
  <c r="F192" i="3"/>
  <c r="F213" i="3"/>
  <c r="F373" i="3"/>
  <c r="F14" i="3"/>
  <c r="F280" i="3"/>
  <c r="F293" i="3"/>
  <c r="F269" i="3"/>
  <c r="F13" i="3"/>
  <c r="F215" i="3"/>
  <c r="F211" i="3"/>
  <c r="F304" i="3"/>
  <c r="F331" i="3"/>
  <c r="F412" i="3"/>
  <c r="F65" i="3"/>
  <c r="F142" i="3"/>
  <c r="F15" i="3"/>
  <c r="F66" i="3"/>
  <c r="F108" i="3"/>
  <c r="F12" i="3"/>
  <c r="F169" i="3"/>
  <c r="F214" i="3"/>
  <c r="F234" i="3"/>
  <c r="F193" i="3"/>
  <c r="F235" i="3"/>
  <c r="F236" i="3"/>
  <c r="F268" i="3"/>
  <c r="F281" i="3"/>
  <c r="F379" i="3"/>
  <c r="F418" i="3"/>
  <c r="F433" i="3"/>
  <c r="F435" i="3"/>
  <c r="F17" i="3"/>
  <c r="F170" i="3"/>
  <c r="F195" i="3"/>
  <c r="F216" i="3"/>
  <c r="F237" i="3"/>
  <c r="F254" i="3"/>
  <c r="F18" i="3"/>
  <c r="F67" i="3"/>
  <c r="F68" i="3"/>
  <c r="F143" i="3"/>
  <c r="F69" i="3"/>
  <c r="F196" i="3"/>
  <c r="F197" i="3"/>
  <c r="F144" i="3"/>
  <c r="F171" i="3"/>
  <c r="F496" i="3"/>
  <c r="F217" i="3"/>
  <c r="F238" i="3"/>
  <c r="F19" i="3"/>
  <c r="F499" i="3"/>
  <c r="F501" i="3"/>
  <c r="F502" i="3"/>
  <c r="F503" i="3"/>
  <c r="F20" i="3"/>
  <c r="F21" i="3"/>
  <c r="F71" i="3"/>
  <c r="F112" i="3"/>
  <c r="F146" i="3"/>
  <c r="F173" i="3"/>
  <c r="F198" i="3"/>
  <c r="F218" i="3"/>
  <c r="F239" i="3"/>
  <c r="F255" i="3"/>
  <c r="F271" i="3"/>
  <c r="F282" i="3"/>
  <c r="F295" i="3"/>
  <c r="F22" i="3"/>
  <c r="F23" i="3"/>
  <c r="F72" i="3"/>
  <c r="F114" i="3"/>
  <c r="F148" i="3"/>
  <c r="F174" i="3"/>
  <c r="F199" i="3"/>
  <c r="F305" i="3"/>
  <c r="F313" i="3"/>
  <c r="F113" i="3"/>
  <c r="F147" i="3"/>
  <c r="F322" i="3"/>
  <c r="F332" i="3"/>
  <c r="F338" i="3"/>
  <c r="F24" i="3"/>
  <c r="F25" i="3"/>
  <c r="F73" i="3"/>
  <c r="F26" i="3"/>
  <c r="F219" i="3"/>
  <c r="F345" i="3"/>
  <c r="F260" i="3"/>
  <c r="F231" i="3"/>
  <c r="F247" i="3"/>
  <c r="F253" i="3"/>
  <c r="F27" i="3"/>
  <c r="F75" i="3"/>
  <c r="F28" i="3"/>
  <c r="F29" i="3"/>
  <c r="F76" i="3"/>
  <c r="F115" i="3"/>
  <c r="F149" i="3"/>
  <c r="F176" i="3"/>
  <c r="F201" i="3"/>
  <c r="F220" i="3"/>
  <c r="F30" i="3"/>
  <c r="F77" i="3"/>
  <c r="F177" i="3"/>
  <c r="F202" i="3"/>
  <c r="F221" i="3"/>
  <c r="F240" i="3"/>
  <c r="F256" i="3"/>
  <c r="F31" i="3"/>
  <c r="F32" i="3"/>
  <c r="F79" i="3"/>
  <c r="F118" i="3"/>
  <c r="F151" i="3"/>
  <c r="F178" i="3"/>
  <c r="F203" i="3"/>
  <c r="F222" i="3"/>
  <c r="F241" i="3"/>
  <c r="F257" i="3"/>
  <c r="F272" i="3"/>
  <c r="F283" i="3"/>
  <c r="F296" i="3"/>
  <c r="F306" i="3"/>
  <c r="F314" i="3"/>
  <c r="F323" i="3"/>
  <c r="F333" i="3"/>
  <c r="F339" i="3"/>
  <c r="F34" i="3"/>
  <c r="F36" i="3"/>
  <c r="F361" i="3"/>
  <c r="F368" i="3"/>
  <c r="F374" i="3"/>
  <c r="F380" i="3"/>
  <c r="F385" i="3"/>
  <c r="F391" i="3"/>
  <c r="F35" i="3"/>
  <c r="F153" i="3"/>
  <c r="F37" i="3"/>
  <c r="F154" i="3"/>
  <c r="F259" i="3"/>
  <c r="F38" i="3"/>
  <c r="F84" i="3"/>
  <c r="F181" i="3"/>
  <c r="F206" i="3"/>
  <c r="F225" i="3"/>
  <c r="F285" i="3"/>
  <c r="F308" i="3"/>
  <c r="F290" i="3"/>
  <c r="F386" i="3"/>
  <c r="F328" i="3"/>
  <c r="F334" i="3"/>
  <c r="F117" i="3"/>
  <c r="F397" i="3"/>
  <c r="F402" i="3"/>
  <c r="F242" i="3"/>
  <c r="F258" i="3"/>
  <c r="F273" i="3"/>
  <c r="F284" i="3"/>
  <c r="F297" i="3"/>
  <c r="F298" i="3"/>
  <c r="F307" i="3"/>
  <c r="F120" i="3"/>
  <c r="F152" i="3"/>
  <c r="F179" i="3"/>
  <c r="F204" i="3"/>
  <c r="F223" i="3"/>
  <c r="F224" i="3"/>
  <c r="F243" i="3"/>
  <c r="F270" i="3"/>
  <c r="F347" i="3"/>
  <c r="F355" i="3"/>
  <c r="F375" i="3"/>
  <c r="F381" i="3"/>
  <c r="F406" i="3"/>
  <c r="F410" i="3"/>
  <c r="F33" i="3"/>
  <c r="F354" i="3"/>
  <c r="F405" i="3"/>
  <c r="F39" i="3"/>
  <c r="F78" i="3"/>
  <c r="F80" i="3"/>
  <c r="F81" i="3"/>
  <c r="F392" i="3"/>
  <c r="F83" i="3"/>
  <c r="F119" i="3"/>
  <c r="F121" i="3"/>
  <c r="F413" i="3"/>
  <c r="F414" i="3"/>
  <c r="F421" i="3"/>
  <c r="F398" i="3"/>
  <c r="F264" i="3"/>
  <c r="F423" i="3"/>
  <c r="F436" i="3"/>
  <c r="F353" i="3"/>
  <c r="F82" i="3"/>
  <c r="F409" i="3"/>
  <c r="F467" i="3"/>
  <c r="F122" i="3"/>
  <c r="F416" i="3"/>
  <c r="F294" i="3"/>
  <c r="F419" i="3"/>
  <c r="F315" i="3"/>
  <c r="F180" i="3"/>
  <c r="F205" i="3"/>
  <c r="F425" i="3"/>
  <c r="F362" i="3"/>
  <c r="F427" i="3"/>
  <c r="F429" i="3"/>
  <c r="F431" i="3"/>
  <c r="F369" i="3"/>
  <c r="F434" i="3"/>
  <c r="F244"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274" i="3"/>
  <c r="F463" i="3"/>
  <c r="F464" i="3"/>
  <c r="F465" i="3"/>
  <c r="F466" i="3"/>
  <c r="F316" i="3"/>
  <c r="F468" i="3"/>
  <c r="F469" i="3"/>
  <c r="F470" i="3"/>
  <c r="F324" i="3"/>
  <c r="F340" i="3"/>
  <c r="F346" i="3"/>
  <c r="F85" i="3"/>
  <c r="F86" i="3"/>
  <c r="F531" i="3"/>
  <c r="F532" i="3"/>
  <c r="F41" i="3"/>
  <c r="F88" i="3"/>
  <c r="F124" i="3"/>
  <c r="F182" i="3"/>
  <c r="F207" i="3"/>
  <c r="F226" i="3"/>
  <c r="F261" i="3"/>
  <c r="F275" i="3"/>
  <c r="F286" i="3"/>
  <c r="F299" i="3"/>
  <c r="F309" i="3"/>
  <c r="F325" i="3"/>
  <c r="F335" i="3"/>
  <c r="F348" i="3"/>
  <c r="F356" i="3"/>
  <c r="F363" i="3"/>
  <c r="F376" i="3"/>
  <c r="F382" i="3"/>
  <c r="F387" i="3"/>
  <c r="F393" i="3"/>
  <c r="F42" i="3"/>
  <c r="F89" i="3"/>
  <c r="F125" i="3"/>
  <c r="F43" i="3"/>
  <c r="F90" i="3"/>
  <c r="F126" i="3"/>
  <c r="F156" i="3"/>
  <c r="F183" i="3"/>
  <c r="F44" i="3"/>
  <c r="F91" i="3"/>
  <c r="F127" i="3"/>
  <c r="F184" i="3"/>
  <c r="F45" i="3"/>
  <c r="F46" i="3"/>
  <c r="F128" i="3"/>
  <c r="F47" i="3"/>
  <c r="F92" i="3"/>
  <c r="F93" i="3"/>
  <c r="F158" i="3"/>
  <c r="F227" i="3"/>
  <c r="F287" i="3"/>
  <c r="F48" i="3"/>
  <c r="F49" i="3"/>
  <c r="F50" i="3"/>
  <c r="F51" i="3"/>
  <c r="F52" i="3"/>
  <c r="F53" i="3"/>
  <c r="F54" i="3"/>
  <c r="F55" i="3"/>
  <c r="F94" i="3"/>
  <c r="F95" i="3"/>
  <c r="F96" i="3"/>
  <c r="F319" i="3"/>
  <c r="F98" i="3"/>
  <c r="F99" i="3"/>
  <c r="F129" i="3"/>
  <c r="F130" i="3"/>
  <c r="F131" i="3"/>
  <c r="F132" i="3"/>
  <c r="F133" i="3"/>
  <c r="F134" i="3"/>
  <c r="F159" i="3"/>
  <c r="F160" i="3"/>
  <c r="F161" i="3"/>
  <c r="F462" i="3"/>
  <c r="F300" i="3"/>
  <c r="F185" i="3"/>
  <c r="F186" i="3"/>
  <c r="F187" i="3"/>
  <c r="F208" i="3"/>
  <c r="F209" i="3"/>
  <c r="F210" i="3"/>
  <c r="F228" i="3"/>
  <c r="F326" i="3"/>
  <c r="F471" i="3"/>
  <c r="F301" i="3"/>
  <c r="F472" i="3"/>
  <c r="F262" i="3"/>
  <c r="F263" i="3"/>
  <c r="F336" i="3"/>
  <c r="F489" i="3"/>
  <c r="F337" i="3"/>
  <c r="F289" i="3"/>
  <c r="F598" i="3"/>
  <c r="F97" i="3"/>
  <c r="F310" i="3"/>
  <c r="F342" i="3"/>
  <c r="F599" i="3"/>
  <c r="F327" i="3"/>
  <c r="F603" i="3"/>
  <c r="F358" i="3"/>
  <c r="F341" i="3"/>
  <c r="F364" i="3"/>
  <c r="F349" i="3"/>
  <c r="F350" i="3"/>
  <c r="F357" i="3"/>
  <c r="F365" i="3"/>
  <c r="F370" i="3"/>
  <c r="F610" i="3"/>
  <c r="F162" i="3"/>
  <c r="F371" i="3"/>
  <c r="F377" i="3"/>
  <c r="F383" i="3"/>
  <c r="F388" i="3"/>
  <c r="F394" i="3"/>
  <c r="F399" i="3"/>
  <c r="F403" i="3"/>
  <c r="F163" i="3"/>
  <c r="F229" i="3"/>
  <c r="F230" i="3"/>
  <c r="F245" i="3"/>
  <c r="F525" i="3"/>
  <c r="F526" i="3"/>
  <c r="F527" i="3"/>
  <c r="F529" i="3"/>
  <c r="F430" i="3"/>
  <c r="F473" i="3"/>
  <c r="F246" i="3"/>
  <c r="F276" i="3"/>
  <c r="F277" i="3"/>
  <c r="F608" i="3"/>
  <c r="F530" i="3"/>
  <c r="F609" i="3"/>
  <c r="F591" i="3"/>
  <c r="F278" i="3"/>
  <c r="F617" i="3"/>
  <c r="F474" i="3"/>
  <c r="F475" i="3"/>
  <c r="F476" i="3"/>
  <c r="F477" i="3"/>
  <c r="F486" i="3"/>
  <c r="F487" i="3"/>
  <c r="F164" i="3"/>
  <c r="F165" i="3"/>
  <c r="F312" i="3"/>
  <c r="F478" i="3"/>
  <c r="F479" i="3"/>
  <c r="F480" i="3"/>
  <c r="F481" i="3"/>
  <c r="F482" i="3"/>
  <c r="F483" i="3"/>
  <c r="F484" i="3"/>
  <c r="F490" i="3"/>
  <c r="F491" i="3"/>
  <c r="F492" i="3"/>
  <c r="F495" i="3"/>
  <c r="F493" i="3"/>
  <c r="F494" i="3"/>
  <c r="F497" i="3"/>
  <c r="F70" i="3"/>
  <c r="F110" i="3"/>
  <c r="F111" i="3"/>
  <c r="F145" i="3"/>
  <c r="F498" i="3"/>
  <c r="F500" i="3"/>
  <c r="F504" i="3"/>
  <c r="F172" i="3"/>
  <c r="F523" i="3"/>
  <c r="F505" i="3"/>
  <c r="F506" i="3"/>
  <c r="F507" i="3"/>
  <c r="F508" i="3"/>
  <c r="F509" i="3"/>
  <c r="F510" i="3"/>
  <c r="F520" i="3"/>
  <c r="F521" i="3"/>
  <c r="F511" i="3"/>
  <c r="F512" i="3"/>
  <c r="F513" i="3"/>
  <c r="F524" i="3"/>
  <c r="F514" i="3"/>
  <c r="F515" i="3"/>
  <c r="F516" i="3"/>
  <c r="F522" i="3"/>
  <c r="F517" i="3"/>
  <c r="F518" i="3"/>
  <c r="F519" i="3"/>
  <c r="H2" i="1"/>
  <c r="H3" i="1"/>
  <c r="H4" i="1"/>
  <c r="H5" i="1"/>
  <c r="H6" i="1"/>
  <c r="H7" i="1"/>
  <c r="H8" i="1"/>
  <c r="H9" i="1"/>
  <c r="H10" i="1"/>
  <c r="H11" i="1"/>
  <c r="E116" i="3"/>
  <c r="E150" i="3"/>
  <c r="E123" i="3"/>
  <c r="E155" i="3"/>
  <c r="E157" i="3"/>
  <c r="E4" i="3"/>
  <c r="E56" i="3"/>
  <c r="E100" i="3"/>
  <c r="E135" i="3"/>
  <c r="E485" i="3"/>
  <c r="E188" i="3"/>
  <c r="E16" i="3"/>
  <c r="E248" i="3"/>
  <c r="E265" i="3"/>
  <c r="E279" i="3"/>
  <c r="E291" i="3"/>
  <c r="E302" i="3"/>
  <c r="E60" i="3"/>
  <c r="E320" i="3"/>
  <c r="E329" i="3"/>
  <c r="E343" i="3"/>
  <c r="E351" i="3"/>
  <c r="E359" i="3"/>
  <c r="E366" i="3"/>
  <c r="E372" i="3"/>
  <c r="E378" i="3"/>
  <c r="E389" i="3"/>
  <c r="E395" i="3"/>
  <c r="E400" i="3"/>
  <c r="E404" i="3"/>
  <c r="E408" i="3"/>
  <c r="E411" i="3"/>
  <c r="E5" i="3"/>
  <c r="E57" i="3"/>
  <c r="E101" i="3"/>
  <c r="E6" i="3"/>
  <c r="E58" i="3"/>
  <c r="E102" i="3"/>
  <c r="E7" i="3"/>
  <c r="E59" i="3"/>
  <c r="E103" i="3"/>
  <c r="E488" i="3"/>
  <c r="E74" i="3"/>
  <c r="E136" i="3"/>
  <c r="E109" i="3"/>
  <c r="E8" i="3"/>
  <c r="E104" i="3"/>
  <c r="E61" i="3"/>
  <c r="E9" i="3"/>
  <c r="E105" i="3"/>
  <c r="E166" i="3"/>
  <c r="E138" i="3"/>
  <c r="E62" i="3"/>
  <c r="E189" i="3"/>
  <c r="E190" i="3"/>
  <c r="E321" i="3"/>
  <c r="E232" i="3"/>
  <c r="E249" i="3"/>
  <c r="E137" i="3"/>
  <c r="E401" i="3"/>
  <c r="E63" i="3"/>
  <c r="E330" i="3"/>
  <c r="E390" i="3"/>
  <c r="E10" i="3"/>
  <c r="E251" i="3"/>
  <c r="E141" i="3"/>
  <c r="E106" i="3"/>
  <c r="E266" i="3"/>
  <c r="E292" i="3"/>
  <c r="E167" i="3"/>
  <c r="E191" i="3"/>
  <c r="E139" i="3"/>
  <c r="E212" i="3"/>
  <c r="E303" i="3"/>
  <c r="E252" i="3"/>
  <c r="E175" i="3"/>
  <c r="E233" i="3"/>
  <c r="E11" i="3"/>
  <c r="E64" i="3"/>
  <c r="E107" i="3"/>
  <c r="E140" i="3"/>
  <c r="E168" i="3"/>
  <c r="E344" i="3"/>
  <c r="E194" i="3"/>
  <c r="E200" i="3"/>
  <c r="E352" i="3"/>
  <c r="E360" i="3"/>
  <c r="E384" i="3"/>
  <c r="E396" i="3"/>
  <c r="E250" i="3"/>
  <c r="E367" i="3"/>
  <c r="E267" i="3"/>
  <c r="E192" i="3"/>
  <c r="E213" i="3"/>
  <c r="E373" i="3"/>
  <c r="E14" i="3"/>
  <c r="E280" i="3"/>
  <c r="E293" i="3"/>
  <c r="E269" i="3"/>
  <c r="E13" i="3"/>
  <c r="E215" i="3"/>
  <c r="E211" i="3"/>
  <c r="E304" i="3"/>
  <c r="E331" i="3"/>
  <c r="E412" i="3"/>
  <c r="E65" i="3"/>
  <c r="E142" i="3"/>
  <c r="E15" i="3"/>
  <c r="E66" i="3"/>
  <c r="E108" i="3"/>
  <c r="E12" i="3"/>
  <c r="E169" i="3"/>
  <c r="E214" i="3"/>
  <c r="E234" i="3"/>
  <c r="E193" i="3"/>
  <c r="E235" i="3"/>
  <c r="E236" i="3"/>
  <c r="E268" i="3"/>
  <c r="E281" i="3"/>
  <c r="E379" i="3"/>
  <c r="E418" i="3"/>
  <c r="E433" i="3"/>
  <c r="E435" i="3"/>
  <c r="E17" i="3"/>
  <c r="E170" i="3"/>
  <c r="E195" i="3"/>
  <c r="E216" i="3"/>
  <c r="E237" i="3"/>
  <c r="E254" i="3"/>
  <c r="E18" i="3"/>
  <c r="E67" i="3"/>
  <c r="E68" i="3"/>
  <c r="E143" i="3"/>
  <c r="E69" i="3"/>
  <c r="E196" i="3"/>
  <c r="E197" i="3"/>
  <c r="E144" i="3"/>
  <c r="E171" i="3"/>
  <c r="E496" i="3"/>
  <c r="E217" i="3"/>
  <c r="E238" i="3"/>
  <c r="E19" i="3"/>
  <c r="E499" i="3"/>
  <c r="E501" i="3"/>
  <c r="E502" i="3"/>
  <c r="E503" i="3"/>
  <c r="E20" i="3"/>
  <c r="E21" i="3"/>
  <c r="E71" i="3"/>
  <c r="E112" i="3"/>
  <c r="E146" i="3"/>
  <c r="E173" i="3"/>
  <c r="E198" i="3"/>
  <c r="E218" i="3"/>
  <c r="E239" i="3"/>
  <c r="E255" i="3"/>
  <c r="E271" i="3"/>
  <c r="E282" i="3"/>
  <c r="E295" i="3"/>
  <c r="E22" i="3"/>
  <c r="E23" i="3"/>
  <c r="E72" i="3"/>
  <c r="E114" i="3"/>
  <c r="E148" i="3"/>
  <c r="E174" i="3"/>
  <c r="E199" i="3"/>
  <c r="E305" i="3"/>
  <c r="E313" i="3"/>
  <c r="E113" i="3"/>
  <c r="E147" i="3"/>
  <c r="E322" i="3"/>
  <c r="E332" i="3"/>
  <c r="E338" i="3"/>
  <c r="E24" i="3"/>
  <c r="E25" i="3"/>
  <c r="E73" i="3"/>
  <c r="E26" i="3"/>
  <c r="E219" i="3"/>
  <c r="E345" i="3"/>
  <c r="E260" i="3"/>
  <c r="E231" i="3"/>
  <c r="E247" i="3"/>
  <c r="E253" i="3"/>
  <c r="E27" i="3"/>
  <c r="E75" i="3"/>
  <c r="E28" i="3"/>
  <c r="E29" i="3"/>
  <c r="E76" i="3"/>
  <c r="E115" i="3"/>
  <c r="E149" i="3"/>
  <c r="E176" i="3"/>
  <c r="E201" i="3"/>
  <c r="E220" i="3"/>
  <c r="E30" i="3"/>
  <c r="E77" i="3"/>
  <c r="E177" i="3"/>
  <c r="E202" i="3"/>
  <c r="E221" i="3"/>
  <c r="E240" i="3"/>
  <c r="E256" i="3"/>
  <c r="E31" i="3"/>
  <c r="E32" i="3"/>
  <c r="E79" i="3"/>
  <c r="E118" i="3"/>
  <c r="E151" i="3"/>
  <c r="E178" i="3"/>
  <c r="E203" i="3"/>
  <c r="E222" i="3"/>
  <c r="E241" i="3"/>
  <c r="E257" i="3"/>
  <c r="E272" i="3"/>
  <c r="E283" i="3"/>
  <c r="E296" i="3"/>
  <c r="E306" i="3"/>
  <c r="E314" i="3"/>
  <c r="E323" i="3"/>
  <c r="E333" i="3"/>
  <c r="E339" i="3"/>
  <c r="E34" i="3"/>
  <c r="E36" i="3"/>
  <c r="E361" i="3"/>
  <c r="E368" i="3"/>
  <c r="E374" i="3"/>
  <c r="E380" i="3"/>
  <c r="E385" i="3"/>
  <c r="E391" i="3"/>
  <c r="E35" i="3"/>
  <c r="E153" i="3"/>
  <c r="E37" i="3"/>
  <c r="E154" i="3"/>
  <c r="E259" i="3"/>
  <c r="E38" i="3"/>
  <c r="E84" i="3"/>
  <c r="E181" i="3"/>
  <c r="E206" i="3"/>
  <c r="E225" i="3"/>
  <c r="E285" i="3"/>
  <c r="E308" i="3"/>
  <c r="E290" i="3"/>
  <c r="E386" i="3"/>
  <c r="E328" i="3"/>
  <c r="E334" i="3"/>
  <c r="E117" i="3"/>
  <c r="E397" i="3"/>
  <c r="E402" i="3"/>
  <c r="E242" i="3"/>
  <c r="E258" i="3"/>
  <c r="E273" i="3"/>
  <c r="E284" i="3"/>
  <c r="E297" i="3"/>
  <c r="E298" i="3"/>
  <c r="E307" i="3"/>
  <c r="E120" i="3"/>
  <c r="E152" i="3"/>
  <c r="E179" i="3"/>
  <c r="E204" i="3"/>
  <c r="E223" i="3"/>
  <c r="E224" i="3"/>
  <c r="E243" i="3"/>
  <c r="E270" i="3"/>
  <c r="E347" i="3"/>
  <c r="E355" i="3"/>
  <c r="E375" i="3"/>
  <c r="E381" i="3"/>
  <c r="E406" i="3"/>
  <c r="E410" i="3"/>
  <c r="E33" i="3"/>
  <c r="E354" i="3"/>
  <c r="E405" i="3"/>
  <c r="E39" i="3"/>
  <c r="E78" i="3"/>
  <c r="E80" i="3"/>
  <c r="E81" i="3"/>
  <c r="E392" i="3"/>
  <c r="E83" i="3"/>
  <c r="E119" i="3"/>
  <c r="E121" i="3"/>
  <c r="E413" i="3"/>
  <c r="E414" i="3"/>
  <c r="E421" i="3"/>
  <c r="E398" i="3"/>
  <c r="E264" i="3"/>
  <c r="E423" i="3"/>
  <c r="E436" i="3"/>
  <c r="E353" i="3"/>
  <c r="E82" i="3"/>
  <c r="E409" i="3"/>
  <c r="E467" i="3"/>
  <c r="E122" i="3"/>
  <c r="E416" i="3"/>
  <c r="E294" i="3"/>
  <c r="E419" i="3"/>
  <c r="E315" i="3"/>
  <c r="E180" i="3"/>
  <c r="E205" i="3"/>
  <c r="E425" i="3"/>
  <c r="E362" i="3"/>
  <c r="E427" i="3"/>
  <c r="E429" i="3"/>
  <c r="E431" i="3"/>
  <c r="E369" i="3"/>
  <c r="E434" i="3"/>
  <c r="E244"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274" i="3"/>
  <c r="E463" i="3"/>
  <c r="E464" i="3"/>
  <c r="E465" i="3"/>
  <c r="E466" i="3"/>
  <c r="E316" i="3"/>
  <c r="E468" i="3"/>
  <c r="E469" i="3"/>
  <c r="E470" i="3"/>
  <c r="E324" i="3"/>
  <c r="E340" i="3"/>
  <c r="E346" i="3"/>
  <c r="E85" i="3"/>
  <c r="E86" i="3"/>
  <c r="E531" i="3"/>
  <c r="E532" i="3"/>
  <c r="E41" i="3"/>
  <c r="E88" i="3"/>
  <c r="E124" i="3"/>
  <c r="E182" i="3"/>
  <c r="E207" i="3"/>
  <c r="E226" i="3"/>
  <c r="E261" i="3"/>
  <c r="E275" i="3"/>
  <c r="E286" i="3"/>
  <c r="E299" i="3"/>
  <c r="E309" i="3"/>
  <c r="E325" i="3"/>
  <c r="E335" i="3"/>
  <c r="E348" i="3"/>
  <c r="E356" i="3"/>
  <c r="E363" i="3"/>
  <c r="E376" i="3"/>
  <c r="E382" i="3"/>
  <c r="E387" i="3"/>
  <c r="E393" i="3"/>
  <c r="E42" i="3"/>
  <c r="E89" i="3"/>
  <c r="E125" i="3"/>
  <c r="E43" i="3"/>
  <c r="E90" i="3"/>
  <c r="E126" i="3"/>
  <c r="E156" i="3"/>
  <c r="E183" i="3"/>
  <c r="E44" i="3"/>
  <c r="E91" i="3"/>
  <c r="E127" i="3"/>
  <c r="E184" i="3"/>
  <c r="E45" i="3"/>
  <c r="E46" i="3"/>
  <c r="E128" i="3"/>
  <c r="E47" i="3"/>
  <c r="E92" i="3"/>
  <c r="E93" i="3"/>
  <c r="E158" i="3"/>
  <c r="E227" i="3"/>
  <c r="E287" i="3"/>
  <c r="E48" i="3"/>
  <c r="E49" i="3"/>
  <c r="E50" i="3"/>
  <c r="E51" i="3"/>
  <c r="E52" i="3"/>
  <c r="E53" i="3"/>
  <c r="E54" i="3"/>
  <c r="E55" i="3"/>
  <c r="E94" i="3"/>
  <c r="E95" i="3"/>
  <c r="E96" i="3"/>
  <c r="E319" i="3"/>
  <c r="E98" i="3"/>
  <c r="E99" i="3"/>
  <c r="E129" i="3"/>
  <c r="E130" i="3"/>
  <c r="E131" i="3"/>
  <c r="E132" i="3"/>
  <c r="E133" i="3"/>
  <c r="E134" i="3"/>
  <c r="E159" i="3"/>
  <c r="E160" i="3"/>
  <c r="E161" i="3"/>
  <c r="E462" i="3"/>
  <c r="E300" i="3"/>
  <c r="E185" i="3"/>
  <c r="E186" i="3"/>
  <c r="E187" i="3"/>
  <c r="E208" i="3"/>
  <c r="E209" i="3"/>
  <c r="E210" i="3"/>
  <c r="E228" i="3"/>
  <c r="E326" i="3"/>
  <c r="E471" i="3"/>
  <c r="E301" i="3"/>
  <c r="E472" i="3"/>
  <c r="E262" i="3"/>
  <c r="E263" i="3"/>
  <c r="E336" i="3"/>
  <c r="E489" i="3"/>
  <c r="E337" i="3"/>
  <c r="E289" i="3"/>
  <c r="E598" i="3"/>
  <c r="E97" i="3"/>
  <c r="E310" i="3"/>
  <c r="E342" i="3"/>
  <c r="E599" i="3"/>
  <c r="E327" i="3"/>
  <c r="E603" i="3"/>
  <c r="E358" i="3"/>
  <c r="E341" i="3"/>
  <c r="E364" i="3"/>
  <c r="E349" i="3"/>
  <c r="E350" i="3"/>
  <c r="E357" i="3"/>
  <c r="E365" i="3"/>
  <c r="E370" i="3"/>
  <c r="E610" i="3"/>
  <c r="E162" i="3"/>
  <c r="E371" i="3"/>
  <c r="E377" i="3"/>
  <c r="E383" i="3"/>
  <c r="E388" i="3"/>
  <c r="E394" i="3"/>
  <c r="E399" i="3"/>
  <c r="E403" i="3"/>
  <c r="E163" i="3"/>
  <c r="E229" i="3"/>
  <c r="E230" i="3"/>
  <c r="E245" i="3"/>
  <c r="E525" i="3"/>
  <c r="E526" i="3"/>
  <c r="E527" i="3"/>
  <c r="E529" i="3"/>
  <c r="E430" i="3"/>
  <c r="E473" i="3"/>
  <c r="E246" i="3"/>
  <c r="E276" i="3"/>
  <c r="E277" i="3"/>
  <c r="E608" i="3"/>
  <c r="E530" i="3"/>
  <c r="E609" i="3"/>
  <c r="E591" i="3"/>
  <c r="E278" i="3"/>
  <c r="E617" i="3"/>
  <c r="E474" i="3"/>
  <c r="E475" i="3"/>
  <c r="E476" i="3"/>
  <c r="E477" i="3"/>
  <c r="E486" i="3"/>
  <c r="E487" i="3"/>
  <c r="E164" i="3"/>
  <c r="E165" i="3"/>
  <c r="E312" i="3"/>
  <c r="E478" i="3"/>
  <c r="E479" i="3"/>
  <c r="E480" i="3"/>
  <c r="E481" i="3"/>
  <c r="E482" i="3"/>
  <c r="E483" i="3"/>
  <c r="E484" i="3"/>
  <c r="E490" i="3"/>
  <c r="E491" i="3"/>
  <c r="E492" i="3"/>
  <c r="E495" i="3"/>
  <c r="E493" i="3"/>
  <c r="E494" i="3"/>
  <c r="E497" i="3"/>
  <c r="E70" i="3"/>
  <c r="E110" i="3"/>
  <c r="E111" i="3"/>
  <c r="E145" i="3"/>
  <c r="E498" i="3"/>
  <c r="E500" i="3"/>
  <c r="E504" i="3"/>
  <c r="E172" i="3"/>
  <c r="E523" i="3"/>
  <c r="E505" i="3"/>
  <c r="E506" i="3"/>
  <c r="E507" i="3"/>
  <c r="E508" i="3"/>
  <c r="E509" i="3"/>
  <c r="E510" i="3"/>
  <c r="E520" i="3"/>
  <c r="E521" i="3"/>
  <c r="E511" i="3"/>
  <c r="E512" i="3"/>
  <c r="E513" i="3"/>
  <c r="E524" i="3"/>
  <c r="E514" i="3"/>
  <c r="E515" i="3"/>
  <c r="E516" i="3"/>
  <c r="E522" i="3"/>
  <c r="E517" i="3"/>
  <c r="E518" i="3"/>
  <c r="E519" i="3"/>
  <c r="C2" i="1"/>
  <c r="C3" i="1"/>
  <c r="C4" i="1"/>
  <c r="C5" i="1"/>
  <c r="C6" i="1"/>
  <c r="C7" i="1"/>
  <c r="C8" i="1"/>
  <c r="C9" i="1"/>
  <c r="C10" i="1"/>
  <c r="C11" i="1"/>
  <c r="C12" i="1"/>
  <c r="H548" i="3" l="1"/>
  <c r="H547" i="3"/>
  <c r="H546" i="3"/>
  <c r="H545" i="3"/>
  <c r="H542" i="3"/>
  <c r="H543" i="3"/>
  <c r="H544" i="3"/>
  <c r="H540" i="3"/>
  <c r="H541" i="3"/>
  <c r="H539" i="3"/>
  <c r="H538" i="3"/>
  <c r="H537" i="3"/>
  <c r="H184" i="3"/>
  <c r="L184" i="3" s="1"/>
  <c r="O184" i="3" s="1"/>
  <c r="H43" i="3"/>
  <c r="L43" i="3" s="1"/>
  <c r="O43" i="3" s="1"/>
  <c r="H363" i="3"/>
  <c r="H275" i="3"/>
  <c r="L275" i="3" s="1"/>
  <c r="O275" i="3" s="1"/>
  <c r="H532" i="3"/>
  <c r="H516" i="3"/>
  <c r="H172" i="3"/>
  <c r="L172" i="3" s="1"/>
  <c r="O172" i="3" s="1"/>
  <c r="H483" i="3"/>
  <c r="H164" i="3"/>
  <c r="L164" i="3" s="1"/>
  <c r="O164" i="3" s="1"/>
  <c r="H473" i="3"/>
  <c r="H371" i="3"/>
  <c r="H97" i="3"/>
  <c r="L97" i="3" s="1"/>
  <c r="O97" i="3" s="1"/>
  <c r="H187" i="3"/>
  <c r="L187" i="3" s="1"/>
  <c r="O187" i="3" s="1"/>
  <c r="H51" i="3"/>
  <c r="L51" i="3" s="1"/>
  <c r="O51" i="3" s="1"/>
  <c r="H520" i="3"/>
  <c r="H497" i="3"/>
  <c r="H278" i="3"/>
  <c r="L278" i="3" s="1"/>
  <c r="O278" i="3" s="1"/>
  <c r="H229" i="3"/>
  <c r="L229" i="3" s="1"/>
  <c r="O229" i="3" s="1"/>
  <c r="H364" i="3"/>
  <c r="H472" i="3"/>
  <c r="H134" i="3"/>
  <c r="L134" i="3" s="1"/>
  <c r="O134" i="3" s="1"/>
  <c r="H319" i="3"/>
  <c r="H515" i="3"/>
  <c r="H510" i="3"/>
  <c r="H504" i="3"/>
  <c r="H494" i="3"/>
  <c r="H482" i="3"/>
  <c r="H487" i="3"/>
  <c r="H591" i="3"/>
  <c r="H430" i="3"/>
  <c r="H163" i="3"/>
  <c r="L163" i="3" s="1"/>
  <c r="O163" i="3" s="1"/>
  <c r="H162" i="3"/>
  <c r="L162" i="3" s="1"/>
  <c r="O162" i="3" s="1"/>
  <c r="H341" i="3"/>
  <c r="H598" i="3"/>
  <c r="H301" i="3"/>
  <c r="H91" i="3"/>
  <c r="L91" i="3" s="1"/>
  <c r="O91" i="3" s="1"/>
  <c r="H89" i="3"/>
  <c r="L89" i="3" s="1"/>
  <c r="O89" i="3" s="1"/>
  <c r="H348" i="3"/>
  <c r="H226" i="3"/>
  <c r="L226" i="3" s="1"/>
  <c r="O226" i="3" s="1"/>
  <c r="H86" i="3"/>
  <c r="L86" i="3" s="1"/>
  <c r="O86" i="3" s="1"/>
  <c r="H316" i="3"/>
  <c r="H459" i="3"/>
  <c r="H451" i="3"/>
  <c r="H443" i="3"/>
  <c r="H434" i="3"/>
  <c r="H180" i="3"/>
  <c r="L180" i="3" s="1"/>
  <c r="O180" i="3" s="1"/>
  <c r="H82" i="3"/>
  <c r="L82" i="3" s="1"/>
  <c r="O82" i="3" s="1"/>
  <c r="H413" i="3"/>
  <c r="H39" i="3"/>
  <c r="L39" i="3" s="1"/>
  <c r="O39" i="3" s="1"/>
  <c r="H355" i="3"/>
  <c r="H152" i="3"/>
  <c r="L152" i="3" s="1"/>
  <c r="O152" i="3" s="1"/>
  <c r="H242" i="3"/>
  <c r="L242" i="3" s="1"/>
  <c r="O242" i="3" s="1"/>
  <c r="H308" i="3"/>
  <c r="H154" i="3"/>
  <c r="L154" i="3" s="1"/>
  <c r="O154" i="3" s="1"/>
  <c r="H368" i="3"/>
  <c r="H306" i="3"/>
  <c r="H178" i="3"/>
  <c r="L178" i="3" s="1"/>
  <c r="O178" i="3" s="1"/>
  <c r="H221" i="3"/>
  <c r="L221" i="3" s="1"/>
  <c r="O221" i="3" s="1"/>
  <c r="H149" i="3"/>
  <c r="L149" i="3" s="1"/>
  <c r="O149" i="3" s="1"/>
  <c r="H247" i="3"/>
  <c r="L247" i="3" s="1"/>
  <c r="O247" i="3" s="1"/>
  <c r="H24" i="3"/>
  <c r="L24" i="3" s="1"/>
  <c r="O24" i="3" s="1"/>
  <c r="H199" i="3"/>
  <c r="L199" i="3" s="1"/>
  <c r="O199" i="3" s="1"/>
  <c r="H282" i="3"/>
  <c r="L282" i="3" s="1"/>
  <c r="O282" i="3" s="1"/>
  <c r="H112" i="3"/>
  <c r="L112" i="3" s="1"/>
  <c r="O112" i="3" s="1"/>
  <c r="H19" i="3"/>
  <c r="L19" i="3" s="1"/>
  <c r="O19" i="3" s="1"/>
  <c r="H69" i="3"/>
  <c r="L69" i="3" s="1"/>
  <c r="O69" i="3" s="1"/>
  <c r="H195" i="3"/>
  <c r="L195" i="3" s="1"/>
  <c r="O195" i="3" s="1"/>
  <c r="H268" i="3"/>
  <c r="L268" i="3" s="1"/>
  <c r="O268" i="3" s="1"/>
  <c r="H108" i="3"/>
  <c r="L108" i="3" s="1"/>
  <c r="O108" i="3" s="1"/>
  <c r="H211" i="3"/>
  <c r="L211" i="3" s="1"/>
  <c r="O211" i="3" s="1"/>
  <c r="H213" i="3"/>
  <c r="L213" i="3" s="1"/>
  <c r="O213" i="3" s="1"/>
  <c r="H352" i="3"/>
  <c r="H64" i="3"/>
  <c r="L64" i="3" s="1"/>
  <c r="O64" i="3" s="1"/>
  <c r="H191" i="3"/>
  <c r="L191" i="3" s="1"/>
  <c r="O191" i="3" s="1"/>
  <c r="H390" i="3"/>
  <c r="H190" i="3"/>
  <c r="L190" i="3" s="1"/>
  <c r="O190" i="3" s="1"/>
  <c r="H104" i="3"/>
  <c r="L104" i="3" s="1"/>
  <c r="O104" i="3" s="1"/>
  <c r="H7" i="3"/>
  <c r="L7" i="3" s="1"/>
  <c r="O7" i="3" s="1"/>
  <c r="H408" i="3"/>
  <c r="H359" i="3"/>
  <c r="H279" i="3"/>
  <c r="L279" i="3" s="1"/>
  <c r="O279" i="3" s="1"/>
  <c r="H56" i="3"/>
  <c r="L56" i="3" s="1"/>
  <c r="O56" i="3" s="1"/>
  <c r="H128" i="3"/>
  <c r="L128" i="3" s="1"/>
  <c r="O128" i="3" s="1"/>
  <c r="H156" i="3"/>
  <c r="L156" i="3" s="1"/>
  <c r="O156" i="3" s="1"/>
  <c r="H387" i="3"/>
  <c r="H309" i="3"/>
  <c r="H124" i="3"/>
  <c r="L124" i="3" s="1"/>
  <c r="O124" i="3" s="1"/>
  <c r="H340" i="3"/>
  <c r="H464" i="3"/>
  <c r="H456" i="3"/>
  <c r="H440" i="3"/>
  <c r="H429" i="3"/>
  <c r="H294" i="3"/>
  <c r="H423" i="3"/>
  <c r="H83" i="3"/>
  <c r="L83" i="3" s="1"/>
  <c r="O83" i="3" s="1"/>
  <c r="H33" i="3"/>
  <c r="L33" i="3" s="1"/>
  <c r="O33" i="3" s="1"/>
  <c r="H243" i="3"/>
  <c r="L243" i="3" s="1"/>
  <c r="O243" i="3" s="1"/>
  <c r="H298" i="3"/>
  <c r="H117" i="3"/>
  <c r="L117" i="3" s="1"/>
  <c r="O117" i="3" s="1"/>
  <c r="H206" i="3"/>
  <c r="L206" i="3" s="1"/>
  <c r="O206" i="3" s="1"/>
  <c r="H35" i="3"/>
  <c r="L35" i="3" s="1"/>
  <c r="O35" i="3" s="1"/>
  <c r="H34" i="3"/>
  <c r="L34" i="3" s="1"/>
  <c r="O34" i="3" s="1"/>
  <c r="H272" i="3"/>
  <c r="L272" i="3" s="1"/>
  <c r="O272" i="3" s="1"/>
  <c r="H79" i="3"/>
  <c r="L79" i="3" s="1"/>
  <c r="O79" i="3" s="1"/>
  <c r="H77" i="3"/>
  <c r="L77" i="3" s="1"/>
  <c r="O77" i="3" s="1"/>
  <c r="H29" i="3"/>
  <c r="L29" i="3" s="1"/>
  <c r="O29" i="3" s="1"/>
  <c r="H345" i="3"/>
  <c r="H322" i="3"/>
  <c r="H114" i="3"/>
  <c r="L114" i="3" s="1"/>
  <c r="O114" i="3" s="1"/>
  <c r="H239" i="3"/>
  <c r="L239" i="3" s="1"/>
  <c r="O239" i="3" s="1"/>
  <c r="H496" i="3"/>
  <c r="H67" i="3"/>
  <c r="L67" i="3" s="1"/>
  <c r="O67" i="3" s="1"/>
  <c r="H435" i="3"/>
  <c r="H193" i="3"/>
  <c r="L193" i="3" s="1"/>
  <c r="O193" i="3" s="1"/>
  <c r="H142" i="3"/>
  <c r="L142" i="3" s="1"/>
  <c r="O142" i="3" s="1"/>
  <c r="H269" i="3"/>
  <c r="L269" i="3" s="1"/>
  <c r="O269" i="3" s="1"/>
  <c r="H367" i="3"/>
  <c r="H344" i="3"/>
  <c r="H175" i="3"/>
  <c r="L175" i="3" s="1"/>
  <c r="O175" i="3" s="1"/>
  <c r="H266" i="3"/>
  <c r="L266" i="3" s="1"/>
  <c r="O266" i="3" s="1"/>
  <c r="H401" i="3"/>
  <c r="H509" i="3"/>
  <c r="H514" i="3"/>
  <c r="H493" i="3"/>
  <c r="H486" i="3"/>
  <c r="H529" i="3"/>
  <c r="H610" i="3"/>
  <c r="H289" i="3"/>
  <c r="H185" i="3"/>
  <c r="L185" i="3" s="1"/>
  <c r="O185" i="3" s="1"/>
  <c r="H95" i="3"/>
  <c r="H92" i="3"/>
  <c r="L92" i="3" s="1"/>
  <c r="O92" i="3" s="1"/>
  <c r="H42" i="3"/>
  <c r="L42" i="3" s="1"/>
  <c r="O42" i="3" s="1"/>
  <c r="H500" i="3"/>
  <c r="H481" i="3"/>
  <c r="H609" i="3"/>
  <c r="H403" i="3"/>
  <c r="H358" i="3"/>
  <c r="H471" i="3"/>
  <c r="H132" i="3"/>
  <c r="L132" i="3" s="1"/>
  <c r="O132" i="3" s="1"/>
  <c r="H49" i="3"/>
  <c r="L49" i="3" s="1"/>
  <c r="O49" i="3" s="1"/>
  <c r="H44" i="3"/>
  <c r="L44" i="3" s="1"/>
  <c r="O44" i="3" s="1"/>
  <c r="H469" i="3"/>
  <c r="H461" i="3"/>
  <c r="H453" i="3"/>
  <c r="H445" i="3"/>
  <c r="H437" i="3"/>
  <c r="H425" i="3"/>
  <c r="H467" i="3"/>
  <c r="H421" i="3"/>
  <c r="H80" i="3"/>
  <c r="L80" i="3" s="1"/>
  <c r="O80" i="3" s="1"/>
  <c r="H381" i="3"/>
  <c r="H204" i="3"/>
  <c r="L204" i="3" s="1"/>
  <c r="O204" i="3" s="1"/>
  <c r="H273" i="3"/>
  <c r="L273" i="3" s="1"/>
  <c r="O273" i="3" s="1"/>
  <c r="H386" i="3"/>
  <c r="H38" i="3"/>
  <c r="L38" i="3" s="1"/>
  <c r="O38" i="3" s="1"/>
  <c r="H380" i="3"/>
  <c r="H222" i="3"/>
  <c r="L222" i="3" s="1"/>
  <c r="O222" i="3" s="1"/>
  <c r="H256" i="3"/>
  <c r="L256" i="3" s="1"/>
  <c r="O256" i="3" s="1"/>
  <c r="H201" i="3"/>
  <c r="L201" i="3" s="1"/>
  <c r="O201" i="3" s="1"/>
  <c r="H27" i="3"/>
  <c r="L27" i="3" s="1"/>
  <c r="O27" i="3" s="1"/>
  <c r="H73" i="3"/>
  <c r="L73" i="3" s="1"/>
  <c r="O73" i="3" s="1"/>
  <c r="H313" i="3"/>
  <c r="H22" i="3"/>
  <c r="L22" i="3" s="1"/>
  <c r="O22" i="3" s="1"/>
  <c r="H173" i="3"/>
  <c r="L173" i="3" s="1"/>
  <c r="O173" i="3" s="1"/>
  <c r="H501" i="3"/>
  <c r="H197" i="3"/>
  <c r="L197" i="3" s="1"/>
  <c r="O197" i="3" s="1"/>
  <c r="H237" i="3"/>
  <c r="L237" i="3" s="1"/>
  <c r="O237" i="3" s="1"/>
  <c r="H379" i="3"/>
  <c r="H169" i="3"/>
  <c r="L169" i="3" s="1"/>
  <c r="O169" i="3" s="1"/>
  <c r="H331" i="3"/>
  <c r="H14" i="3"/>
  <c r="L14" i="3" s="1"/>
  <c r="O14" i="3" s="1"/>
  <c r="H384" i="3"/>
  <c r="H140" i="3"/>
  <c r="L140" i="3" s="1"/>
  <c r="O140" i="3" s="1"/>
  <c r="H212" i="3"/>
  <c r="L212" i="3" s="1"/>
  <c r="O212" i="3" s="1"/>
  <c r="H251" i="3"/>
  <c r="L251" i="3" s="1"/>
  <c r="O251" i="3" s="1"/>
  <c r="H232" i="3"/>
  <c r="L232" i="3" s="1"/>
  <c r="O232" i="3" s="1"/>
  <c r="H9" i="3"/>
  <c r="L9" i="3" s="1"/>
  <c r="O9" i="3" s="1"/>
  <c r="H103" i="3"/>
  <c r="L103" i="3" s="1"/>
  <c r="O103" i="3" s="1"/>
  <c r="H5" i="3"/>
  <c r="L5" i="3" s="1"/>
  <c r="O5" i="3" s="1"/>
  <c r="H372" i="3"/>
  <c r="H302" i="3"/>
  <c r="H135" i="3"/>
  <c r="L135" i="3" s="1"/>
  <c r="O135" i="3" s="1"/>
  <c r="H116" i="3"/>
  <c r="L116" i="3" s="1"/>
  <c r="O116" i="3" s="1"/>
  <c r="H518" i="3"/>
  <c r="H512" i="3"/>
  <c r="H506" i="3"/>
  <c r="H111" i="3"/>
  <c r="L111" i="3" s="1"/>
  <c r="O111" i="3" s="1"/>
  <c r="H491" i="3"/>
  <c r="H478" i="3"/>
  <c r="H475" i="3"/>
  <c r="H277" i="3"/>
  <c r="L277" i="3" s="1"/>
  <c r="O277" i="3" s="1"/>
  <c r="H525" i="3"/>
  <c r="H388" i="3"/>
  <c r="H357" i="3"/>
  <c r="H599" i="3"/>
  <c r="H336" i="3"/>
  <c r="H210" i="3"/>
  <c r="H161" i="3"/>
  <c r="H129" i="3"/>
  <c r="L129" i="3" s="1"/>
  <c r="O129" i="3" s="1"/>
  <c r="H287" i="3"/>
  <c r="H335" i="3"/>
  <c r="H207" i="3"/>
  <c r="L207" i="3" s="1"/>
  <c r="O207" i="3" s="1"/>
  <c r="H85" i="3"/>
  <c r="L85" i="3" s="1"/>
  <c r="O85" i="3" s="1"/>
  <c r="H466" i="3"/>
  <c r="H458" i="3"/>
  <c r="H450" i="3"/>
  <c r="H442" i="3"/>
  <c r="H369" i="3"/>
  <c r="H315" i="3"/>
  <c r="H353" i="3"/>
  <c r="H121" i="3"/>
  <c r="L121" i="3" s="1"/>
  <c r="O121" i="3" s="1"/>
  <c r="H405" i="3"/>
  <c r="H347" i="3"/>
  <c r="H120" i="3"/>
  <c r="L120" i="3" s="1"/>
  <c r="O120" i="3" s="1"/>
  <c r="H402" i="3"/>
  <c r="H508" i="3"/>
  <c r="H495" i="3"/>
  <c r="H477" i="3"/>
  <c r="H527" i="3"/>
  <c r="H370" i="3"/>
  <c r="H603" i="3"/>
  <c r="H337" i="3"/>
  <c r="H326" i="3"/>
  <c r="H300" i="3"/>
  <c r="H131" i="3"/>
  <c r="H94" i="3"/>
  <c r="H399" i="3"/>
  <c r="H524" i="3"/>
  <c r="H498" i="3"/>
  <c r="H480" i="3"/>
  <c r="H530" i="3"/>
  <c r="H138" i="3"/>
  <c r="L138" i="3" s="1"/>
  <c r="O138" i="3" s="1"/>
  <c r="H136" i="3"/>
  <c r="L136" i="3" s="1"/>
  <c r="O136" i="3" s="1"/>
  <c r="H6" i="3"/>
  <c r="L6" i="3" s="1"/>
  <c r="O6" i="3" s="1"/>
  <c r="H395" i="3"/>
  <c r="H329" i="3"/>
  <c r="H16" i="3"/>
  <c r="L16" i="3" s="1"/>
  <c r="O16" i="3" s="1"/>
  <c r="H186" i="3"/>
  <c r="L186" i="3" s="1"/>
  <c r="O186" i="3" s="1"/>
  <c r="H133" i="3"/>
  <c r="L133" i="3" s="1"/>
  <c r="O133" i="3" s="1"/>
  <c r="H96" i="3"/>
  <c r="H50" i="3"/>
  <c r="L50" i="3" s="1"/>
  <c r="O50" i="3" s="1"/>
  <c r="H93" i="3"/>
  <c r="L93" i="3" s="1"/>
  <c r="O93" i="3" s="1"/>
  <c r="H127" i="3"/>
  <c r="L127" i="3" s="1"/>
  <c r="O127" i="3" s="1"/>
  <c r="H125" i="3"/>
  <c r="L125" i="3" s="1"/>
  <c r="O125" i="3" s="1"/>
  <c r="H356" i="3"/>
  <c r="H261" i="3"/>
  <c r="L261" i="3" s="1"/>
  <c r="O261" i="3" s="1"/>
  <c r="H531" i="3"/>
  <c r="H468" i="3"/>
  <c r="H460" i="3"/>
  <c r="H452" i="3"/>
  <c r="H444" i="3"/>
  <c r="H244" i="3"/>
  <c r="L244" i="3" s="1"/>
  <c r="O244" i="3" s="1"/>
  <c r="H205" i="3"/>
  <c r="L205" i="3" s="1"/>
  <c r="O205" i="3" s="1"/>
  <c r="H409" i="3"/>
  <c r="H414" i="3"/>
  <c r="H78" i="3"/>
  <c r="L78" i="3" s="1"/>
  <c r="O78" i="3" s="1"/>
  <c r="H375" i="3"/>
  <c r="H179" i="3"/>
  <c r="L179" i="3" s="1"/>
  <c r="O179" i="3" s="1"/>
  <c r="H258" i="3"/>
  <c r="L258" i="3" s="1"/>
  <c r="O258" i="3" s="1"/>
  <c r="H290" i="3"/>
  <c r="H259" i="3"/>
  <c r="L259" i="3" s="1"/>
  <c r="O259" i="3" s="1"/>
  <c r="H374" i="3"/>
  <c r="H314" i="3"/>
  <c r="H203" i="3"/>
  <c r="L203" i="3" s="1"/>
  <c r="O203" i="3" s="1"/>
  <c r="H240" i="3"/>
  <c r="L240" i="3" s="1"/>
  <c r="O240" i="3" s="1"/>
  <c r="H176" i="3"/>
  <c r="L176" i="3" s="1"/>
  <c r="O176" i="3" s="1"/>
  <c r="H253" i="3"/>
  <c r="L253" i="3" s="1"/>
  <c r="O253" i="3" s="1"/>
  <c r="H25" i="3"/>
  <c r="L25" i="3" s="1"/>
  <c r="O25" i="3" s="1"/>
  <c r="H305" i="3"/>
  <c r="H295" i="3"/>
  <c r="H146" i="3"/>
  <c r="L146" i="3" s="1"/>
  <c r="O146" i="3" s="1"/>
  <c r="H499" i="3"/>
  <c r="H196" i="3"/>
  <c r="L196" i="3" s="1"/>
  <c r="O196" i="3" s="1"/>
  <c r="H216" i="3"/>
  <c r="L216" i="3" s="1"/>
  <c r="O216" i="3" s="1"/>
  <c r="H281" i="3"/>
  <c r="L281" i="3" s="1"/>
  <c r="O281" i="3" s="1"/>
  <c r="H12" i="3"/>
  <c r="L12" i="3" s="1"/>
  <c r="O12" i="3" s="1"/>
  <c r="H304" i="3"/>
  <c r="H373" i="3"/>
  <c r="H360" i="3"/>
  <c r="H139" i="3"/>
  <c r="L139" i="3" s="1"/>
  <c r="O139" i="3" s="1"/>
  <c r="H10" i="3"/>
  <c r="L10" i="3" s="1"/>
  <c r="O10" i="3" s="1"/>
  <c r="H321" i="3"/>
  <c r="H61" i="3"/>
  <c r="L61" i="3" s="1"/>
  <c r="O61" i="3" s="1"/>
  <c r="H59" i="3"/>
  <c r="L59" i="3" s="1"/>
  <c r="O59" i="3" s="1"/>
  <c r="H411" i="3"/>
  <c r="H366" i="3"/>
  <c r="H291" i="3"/>
  <c r="H100" i="3"/>
  <c r="L100" i="3" s="1"/>
  <c r="O100" i="3" s="1"/>
  <c r="H519" i="3"/>
  <c r="H513" i="3"/>
  <c r="H507" i="3"/>
  <c r="H145" i="3"/>
  <c r="L145" i="3" s="1"/>
  <c r="O145" i="3" s="1"/>
  <c r="H492" i="3"/>
  <c r="H479" i="3"/>
  <c r="H476" i="3"/>
  <c r="H608" i="3"/>
  <c r="H526" i="3"/>
  <c r="H394" i="3"/>
  <c r="H365" i="3"/>
  <c r="H327" i="3"/>
  <c r="H489" i="3"/>
  <c r="H228" i="3"/>
  <c r="L228" i="3" s="1"/>
  <c r="O228" i="3" s="1"/>
  <c r="H462" i="3"/>
  <c r="H130" i="3"/>
  <c r="L130" i="3" s="1"/>
  <c r="O130" i="3" s="1"/>
  <c r="H55" i="3"/>
  <c r="H393" i="3"/>
  <c r="H325" i="3"/>
  <c r="H182" i="3"/>
  <c r="L182" i="3" s="1"/>
  <c r="O182" i="3" s="1"/>
  <c r="H346" i="3"/>
  <c r="H465" i="3"/>
  <c r="H457" i="3"/>
  <c r="H449" i="3"/>
  <c r="H441" i="3"/>
  <c r="H431" i="3"/>
  <c r="H419" i="3"/>
  <c r="H436" i="3"/>
  <c r="H119" i="3"/>
  <c r="L119" i="3" s="1"/>
  <c r="O119" i="3" s="1"/>
  <c r="H354" i="3"/>
  <c r="H270" i="3"/>
  <c r="L270" i="3" s="1"/>
  <c r="O270" i="3" s="1"/>
  <c r="H307" i="3"/>
  <c r="H397" i="3"/>
  <c r="H225" i="3"/>
  <c r="L225" i="3" s="1"/>
  <c r="O225" i="3" s="1"/>
  <c r="H153" i="3"/>
  <c r="L153" i="3" s="1"/>
  <c r="O153" i="3" s="1"/>
  <c r="H36" i="3"/>
  <c r="L36" i="3" s="1"/>
  <c r="O36" i="3" s="1"/>
  <c r="H283" i="3"/>
  <c r="L283" i="3" s="1"/>
  <c r="O283" i="3" s="1"/>
  <c r="H118" i="3"/>
  <c r="L118" i="3" s="1"/>
  <c r="O118" i="3" s="1"/>
  <c r="H177" i="3"/>
  <c r="L177" i="3" s="1"/>
  <c r="O177" i="3" s="1"/>
  <c r="H76" i="3"/>
  <c r="L76" i="3" s="1"/>
  <c r="O76" i="3" s="1"/>
  <c r="H260" i="3"/>
  <c r="L260" i="3" s="1"/>
  <c r="O260" i="3" s="1"/>
  <c r="H332" i="3"/>
  <c r="H148" i="3"/>
  <c r="L148" i="3" s="1"/>
  <c r="O148" i="3" s="1"/>
  <c r="H255" i="3"/>
  <c r="L255" i="3" s="1"/>
  <c r="O255" i="3" s="1"/>
  <c r="H21" i="3"/>
  <c r="L21" i="3" s="1"/>
  <c r="O21" i="3" s="1"/>
  <c r="H217" i="3"/>
  <c r="L217" i="3" s="1"/>
  <c r="O217" i="3" s="1"/>
  <c r="H68" i="3"/>
  <c r="L68" i="3" s="1"/>
  <c r="O68" i="3" s="1"/>
  <c r="H17" i="3"/>
  <c r="L17" i="3" s="1"/>
  <c r="O17" i="3" s="1"/>
  <c r="H235" i="3"/>
  <c r="L235" i="3" s="1"/>
  <c r="O235" i="3" s="1"/>
  <c r="H15" i="3"/>
  <c r="L15" i="3" s="1"/>
  <c r="O15" i="3" s="1"/>
  <c r="H13" i="3"/>
  <c r="L13" i="3" s="1"/>
  <c r="O13" i="3" s="1"/>
  <c r="H267" i="3"/>
  <c r="L267" i="3" s="1"/>
  <c r="O267" i="3" s="1"/>
  <c r="H194" i="3"/>
  <c r="L194" i="3" s="1"/>
  <c r="O194" i="3" s="1"/>
  <c r="H233" i="3"/>
  <c r="L233" i="3" s="1"/>
  <c r="O233" i="3" s="1"/>
  <c r="H292" i="3"/>
  <c r="H63" i="3"/>
  <c r="L63" i="3" s="1"/>
  <c r="O63" i="3" s="1"/>
  <c r="H62" i="3"/>
  <c r="L62" i="3" s="1"/>
  <c r="O62" i="3" s="1"/>
  <c r="H109" i="3"/>
  <c r="L109" i="3" s="1"/>
  <c r="O109" i="3" s="1"/>
  <c r="H58" i="3"/>
  <c r="L58" i="3" s="1"/>
  <c r="O58" i="3" s="1"/>
  <c r="H400" i="3"/>
  <c r="H343" i="3"/>
  <c r="H248" i="3"/>
  <c r="L248" i="3" s="1"/>
  <c r="O248" i="3" s="1"/>
  <c r="H511" i="3"/>
  <c r="H490" i="3"/>
  <c r="H342" i="3"/>
  <c r="H46" i="3"/>
  <c r="L46" i="3" s="1"/>
  <c r="O46" i="3" s="1"/>
  <c r="H463" i="3"/>
  <c r="H427" i="3"/>
  <c r="H334" i="3"/>
  <c r="H257" i="3"/>
  <c r="L257" i="3" s="1"/>
  <c r="O257" i="3" s="1"/>
  <c r="H219" i="3"/>
  <c r="L219" i="3" s="1"/>
  <c r="O219" i="3" s="1"/>
  <c r="H171" i="3"/>
  <c r="L171" i="3" s="1"/>
  <c r="O171" i="3" s="1"/>
  <c r="H234" i="3"/>
  <c r="L234" i="3" s="1"/>
  <c r="O234" i="3" s="1"/>
  <c r="H252" i="3"/>
  <c r="L252" i="3" s="1"/>
  <c r="O252" i="3" s="1"/>
  <c r="H137" i="3"/>
  <c r="L137" i="3" s="1"/>
  <c r="O137" i="3" s="1"/>
  <c r="H74" i="3"/>
  <c r="L74" i="3" s="1"/>
  <c r="O74" i="3" s="1"/>
  <c r="H285" i="3"/>
  <c r="H37" i="3"/>
  <c r="L37" i="3" s="1"/>
  <c r="O37" i="3" s="1"/>
  <c r="H361" i="3"/>
  <c r="H296" i="3"/>
  <c r="H151" i="3"/>
  <c r="L151" i="3" s="1"/>
  <c r="O151" i="3" s="1"/>
  <c r="H202" i="3"/>
  <c r="L202" i="3" s="1"/>
  <c r="O202" i="3" s="1"/>
  <c r="H115" i="3"/>
  <c r="L115" i="3" s="1"/>
  <c r="O115" i="3" s="1"/>
  <c r="H231" i="3"/>
  <c r="L231" i="3" s="1"/>
  <c r="O231" i="3" s="1"/>
  <c r="H338" i="3"/>
  <c r="H174" i="3"/>
  <c r="L174" i="3" s="1"/>
  <c r="O174" i="3" s="1"/>
  <c r="H271" i="3"/>
  <c r="L271" i="3" s="1"/>
  <c r="O271" i="3" s="1"/>
  <c r="H71" i="3"/>
  <c r="L71" i="3" s="1"/>
  <c r="O71" i="3" s="1"/>
  <c r="H238" i="3"/>
  <c r="L238" i="3" s="1"/>
  <c r="O238" i="3" s="1"/>
  <c r="H143" i="3"/>
  <c r="L143" i="3" s="1"/>
  <c r="O143" i="3" s="1"/>
  <c r="H170" i="3"/>
  <c r="L170" i="3" s="1"/>
  <c r="O170" i="3" s="1"/>
  <c r="H236" i="3"/>
  <c r="L236" i="3" s="1"/>
  <c r="O236" i="3" s="1"/>
  <c r="H66" i="3"/>
  <c r="L66" i="3" s="1"/>
  <c r="O66" i="3" s="1"/>
  <c r="H215" i="3"/>
  <c r="L215" i="3" s="1"/>
  <c r="O215" i="3" s="1"/>
  <c r="H192" i="3"/>
  <c r="L192" i="3" s="1"/>
  <c r="O192" i="3" s="1"/>
  <c r="H200" i="3"/>
  <c r="L200" i="3" s="1"/>
  <c r="O200" i="3" s="1"/>
  <c r="H11" i="3"/>
  <c r="L11" i="3" s="1"/>
  <c r="O11" i="3" s="1"/>
  <c r="H167" i="3"/>
  <c r="L167" i="3" s="1"/>
  <c r="O167" i="3" s="1"/>
  <c r="H330" i="3"/>
  <c r="H189" i="3"/>
  <c r="L189" i="3" s="1"/>
  <c r="O189" i="3" s="1"/>
  <c r="H8" i="3"/>
  <c r="L8" i="3" s="1"/>
  <c r="O8" i="3" s="1"/>
  <c r="H102" i="3"/>
  <c r="L102" i="3" s="1"/>
  <c r="O102" i="3" s="1"/>
  <c r="H404" i="3"/>
  <c r="H351" i="3"/>
  <c r="H265" i="3"/>
  <c r="L265" i="3" s="1"/>
  <c r="O265" i="3" s="1"/>
  <c r="H276" i="3"/>
  <c r="L276" i="3" s="1"/>
  <c r="O276" i="3" s="1"/>
  <c r="H160" i="3"/>
  <c r="L160" i="3" s="1"/>
  <c r="O160" i="3" s="1"/>
  <c r="H382" i="3"/>
  <c r="H392" i="3"/>
  <c r="H320" i="3"/>
  <c r="H517" i="3"/>
  <c r="H474" i="3"/>
  <c r="H263" i="3"/>
  <c r="H126" i="3"/>
  <c r="L126" i="3" s="1"/>
  <c r="O126" i="3" s="1"/>
  <c r="H455" i="3"/>
  <c r="H264" i="3"/>
  <c r="L264" i="3" s="1"/>
  <c r="O264" i="3" s="1"/>
  <c r="H181" i="3"/>
  <c r="L181" i="3" s="1"/>
  <c r="O181" i="3" s="1"/>
  <c r="H32" i="3"/>
  <c r="L32" i="3" s="1"/>
  <c r="O32" i="3" s="1"/>
  <c r="H147" i="3"/>
  <c r="L147" i="3" s="1"/>
  <c r="O147" i="3" s="1"/>
  <c r="H18" i="3"/>
  <c r="L18" i="3" s="1"/>
  <c r="O18" i="3" s="1"/>
  <c r="H70" i="3"/>
  <c r="L70" i="3" s="1"/>
  <c r="O70" i="3" s="1"/>
  <c r="H617" i="3"/>
  <c r="H246" i="3"/>
  <c r="L246" i="3" s="1"/>
  <c r="O246" i="3" s="1"/>
  <c r="H230" i="3"/>
  <c r="L230" i="3" s="1"/>
  <c r="O230" i="3" s="1"/>
  <c r="H377" i="3"/>
  <c r="H349" i="3"/>
  <c r="H262" i="3"/>
  <c r="H208" i="3"/>
  <c r="L208" i="3" s="1"/>
  <c r="O208" i="3" s="1"/>
  <c r="H159" i="3"/>
  <c r="H98" i="3"/>
  <c r="L98" i="3" s="1"/>
  <c r="O98" i="3" s="1"/>
  <c r="H52" i="3"/>
  <c r="H158" i="3"/>
  <c r="L158" i="3" s="1"/>
  <c r="O158" i="3" s="1"/>
  <c r="H45" i="3"/>
  <c r="L45" i="3" s="1"/>
  <c r="O45" i="3" s="1"/>
  <c r="H90" i="3"/>
  <c r="L90" i="3" s="1"/>
  <c r="O90" i="3" s="1"/>
  <c r="H376" i="3"/>
  <c r="H41" i="3"/>
  <c r="L41" i="3" s="1"/>
  <c r="O41" i="3" s="1"/>
  <c r="H470" i="3"/>
  <c r="H274" i="3"/>
  <c r="L274" i="3" s="1"/>
  <c r="O274" i="3" s="1"/>
  <c r="H454" i="3"/>
  <c r="H446" i="3"/>
  <c r="H438" i="3"/>
  <c r="H362" i="3"/>
  <c r="H122" i="3"/>
  <c r="L122" i="3" s="1"/>
  <c r="O122" i="3" s="1"/>
  <c r="H398" i="3"/>
  <c r="H81" i="3"/>
  <c r="L81" i="3" s="1"/>
  <c r="O81" i="3" s="1"/>
  <c r="H406" i="3"/>
  <c r="H223" i="3"/>
  <c r="L223" i="3" s="1"/>
  <c r="O223" i="3" s="1"/>
  <c r="H284" i="3"/>
  <c r="L284" i="3" s="1"/>
  <c r="O284" i="3" s="1"/>
  <c r="H328" i="3"/>
  <c r="H84" i="3"/>
  <c r="L84" i="3" s="1"/>
  <c r="O84" i="3" s="1"/>
  <c r="H385" i="3"/>
  <c r="H333" i="3"/>
  <c r="H241" i="3"/>
  <c r="L241" i="3" s="1"/>
  <c r="O241" i="3" s="1"/>
  <c r="H31" i="3"/>
  <c r="L31" i="3" s="1"/>
  <c r="O31" i="3" s="1"/>
  <c r="H220" i="3"/>
  <c r="L220" i="3" s="1"/>
  <c r="O220" i="3" s="1"/>
  <c r="H75" i="3"/>
  <c r="L75" i="3" s="1"/>
  <c r="O75" i="3" s="1"/>
  <c r="H26" i="3"/>
  <c r="L26" i="3" s="1"/>
  <c r="O26" i="3" s="1"/>
  <c r="H113" i="3"/>
  <c r="L113" i="3" s="1"/>
  <c r="O113" i="3" s="1"/>
  <c r="H23" i="3"/>
  <c r="L23" i="3" s="1"/>
  <c r="O23" i="3" s="1"/>
  <c r="H198" i="3"/>
  <c r="L198" i="3" s="1"/>
  <c r="O198" i="3" s="1"/>
  <c r="H502" i="3"/>
  <c r="H144" i="3"/>
  <c r="L144" i="3" s="1"/>
  <c r="O144" i="3" s="1"/>
  <c r="H254" i="3"/>
  <c r="L254" i="3" s="1"/>
  <c r="O254" i="3" s="1"/>
  <c r="H418" i="3"/>
  <c r="H214" i="3"/>
  <c r="L214" i="3" s="1"/>
  <c r="O214" i="3" s="1"/>
  <c r="H412" i="3"/>
  <c r="H280" i="3"/>
  <c r="L280" i="3" s="1"/>
  <c r="O280" i="3" s="1"/>
  <c r="H396" i="3"/>
  <c r="H168" i="3"/>
  <c r="L168" i="3" s="1"/>
  <c r="O168" i="3" s="1"/>
  <c r="H303" i="3"/>
  <c r="H105" i="3"/>
  <c r="L105" i="3" s="1"/>
  <c r="O105" i="3" s="1"/>
  <c r="H488" i="3"/>
  <c r="H60" i="3"/>
  <c r="L60" i="3" s="1"/>
  <c r="O60" i="3" s="1"/>
  <c r="H485" i="3"/>
  <c r="H150" i="3"/>
  <c r="L150" i="3" s="1"/>
  <c r="O150" i="3" s="1"/>
  <c r="H110" i="3"/>
  <c r="L110" i="3" s="1"/>
  <c r="O110" i="3" s="1"/>
  <c r="H383" i="3"/>
  <c r="H209" i="3"/>
  <c r="L209" i="3" s="1"/>
  <c r="O209" i="3" s="1"/>
  <c r="H227" i="3"/>
  <c r="L227" i="3" s="1"/>
  <c r="O227" i="3" s="1"/>
  <c r="H324" i="3"/>
  <c r="H447" i="3"/>
  <c r="H416" i="3"/>
  <c r="H297" i="3"/>
  <c r="H339" i="3"/>
  <c r="H30" i="3"/>
  <c r="L30" i="3" s="1"/>
  <c r="O30" i="3" s="1"/>
  <c r="H28" i="3"/>
  <c r="L28" i="3" s="1"/>
  <c r="O28" i="3" s="1"/>
  <c r="H72" i="3"/>
  <c r="L72" i="3" s="1"/>
  <c r="O72" i="3" s="1"/>
  <c r="H218" i="3"/>
  <c r="L218" i="3" s="1"/>
  <c r="O218" i="3" s="1"/>
  <c r="H433" i="3"/>
  <c r="H65" i="3"/>
  <c r="L65" i="3" s="1"/>
  <c r="O65" i="3" s="1"/>
  <c r="H250" i="3"/>
  <c r="L250" i="3" s="1"/>
  <c r="O250" i="3" s="1"/>
  <c r="H106" i="3"/>
  <c r="L106" i="3" s="1"/>
  <c r="O106" i="3" s="1"/>
  <c r="H166" i="3"/>
  <c r="L166" i="3" s="1"/>
  <c r="O166" i="3" s="1"/>
  <c r="H101" i="3"/>
  <c r="L101" i="3" s="1"/>
  <c r="O101" i="3" s="1"/>
  <c r="H389" i="3"/>
  <c r="H522" i="3"/>
  <c r="H523" i="3"/>
  <c r="H484" i="3"/>
  <c r="H165" i="3"/>
  <c r="L165" i="3" s="1"/>
  <c r="O165" i="3" s="1"/>
  <c r="H310" i="3"/>
  <c r="H505" i="3"/>
  <c r="H312" i="3"/>
  <c r="H350" i="3"/>
  <c r="H53" i="3"/>
  <c r="L53" i="3" s="1"/>
  <c r="O53" i="3" s="1"/>
  <c r="H299" i="3"/>
  <c r="H439" i="3"/>
  <c r="H224" i="3"/>
  <c r="L224" i="3" s="1"/>
  <c r="O224" i="3" s="1"/>
  <c r="H391" i="3"/>
  <c r="H503" i="3"/>
  <c r="H521" i="3"/>
  <c r="H245" i="3"/>
  <c r="L245" i="3" s="1"/>
  <c r="O245" i="3" s="1"/>
  <c r="H99" i="3"/>
  <c r="L99" i="3" s="1"/>
  <c r="O99" i="3" s="1"/>
  <c r="H88" i="3"/>
  <c r="L88" i="3" s="1"/>
  <c r="O88" i="3" s="1"/>
  <c r="H410" i="3"/>
  <c r="H188" i="3"/>
  <c r="L188" i="3" s="1"/>
  <c r="O188" i="3" s="1"/>
  <c r="H293" i="3"/>
  <c r="H323" i="3"/>
  <c r="H47" i="3"/>
  <c r="L47" i="3" s="1"/>
  <c r="O47" i="3" s="1"/>
  <c r="H54" i="3"/>
  <c r="H183" i="3"/>
  <c r="L183" i="3" s="1"/>
  <c r="O183" i="3" s="1"/>
  <c r="H107" i="3"/>
  <c r="L107" i="3" s="1"/>
  <c r="O107" i="3" s="1"/>
  <c r="H48" i="3"/>
  <c r="L48" i="3" s="1"/>
  <c r="O48" i="3" s="1"/>
  <c r="H536" i="3"/>
  <c r="H20" i="3"/>
  <c r="L20" i="3" s="1"/>
  <c r="O20" i="3" s="1"/>
  <c r="H286" i="3"/>
  <c r="H87" i="3"/>
  <c r="L87" i="3" s="1"/>
  <c r="O87" i="3" s="1"/>
  <c r="H535" i="3"/>
  <c r="H534" i="3"/>
  <c r="H533" i="3"/>
  <c r="H40" i="3"/>
  <c r="L40" i="3" s="1"/>
  <c r="O40" i="3" s="1"/>
  <c r="H417" i="3"/>
  <c r="H612" i="3"/>
  <c r="H141" i="3"/>
  <c r="L141" i="3" s="1"/>
  <c r="O141" i="3" s="1"/>
  <c r="H378" i="3"/>
  <c r="H249" i="3"/>
  <c r="L249" i="3" s="1"/>
  <c r="O249" i="3" s="1"/>
  <c r="H57" i="3"/>
  <c r="L57" i="3" s="1"/>
  <c r="O57" i="3" s="1"/>
  <c r="H611" i="3"/>
  <c r="H415" i="3"/>
  <c r="H311" i="3"/>
  <c r="H448" i="3"/>
  <c r="H407" i="3"/>
  <c r="H4" i="3"/>
  <c r="L4" i="3" s="1"/>
  <c r="O4" i="3" s="1"/>
  <c r="H157" i="3"/>
  <c r="L157" i="3" s="1"/>
  <c r="O157" i="3" s="1"/>
  <c r="H155" i="3"/>
  <c r="L155" i="3" s="1"/>
  <c r="O155" i="3" s="1"/>
  <c r="H123" i="3"/>
  <c r="L123" i="3" s="1"/>
  <c r="O123" i="3" s="1"/>
  <c r="N278" i="3"/>
  <c r="N142" i="3"/>
  <c r="N66" i="3"/>
  <c r="N108" i="3"/>
  <c r="N169" i="3"/>
  <c r="N234" i="3"/>
  <c r="N17" i="3"/>
  <c r="N195" i="3"/>
  <c r="N237" i="3"/>
  <c r="N18" i="3"/>
  <c r="N67" i="3"/>
  <c r="N68" i="3"/>
  <c r="N197" i="3"/>
  <c r="N171" i="3"/>
  <c r="N217" i="3"/>
  <c r="N238" i="3"/>
  <c r="N19" i="3"/>
  <c r="N20" i="3"/>
  <c r="N21" i="3"/>
  <c r="N71" i="3"/>
  <c r="N112" i="3"/>
  <c r="N146" i="3"/>
  <c r="N198" i="3"/>
  <c r="N271" i="3"/>
  <c r="N282" i="3"/>
  <c r="N22" i="3"/>
  <c r="N23" i="3"/>
  <c r="N114" i="3"/>
  <c r="N199" i="3"/>
  <c r="N147" i="3"/>
  <c r="N24" i="3"/>
  <c r="N73" i="3"/>
  <c r="N219" i="3"/>
  <c r="N260" i="3"/>
  <c r="N27" i="3"/>
  <c r="N29" i="3"/>
  <c r="N76" i="3"/>
  <c r="N149" i="3"/>
  <c r="N201" i="3"/>
  <c r="N77" i="3"/>
  <c r="N177" i="3"/>
  <c r="N221" i="3"/>
  <c r="N116" i="3"/>
  <c r="N79" i="3"/>
  <c r="N178" i="3"/>
  <c r="N203" i="3"/>
  <c r="N222" i="3"/>
  <c r="N272" i="3"/>
  <c r="N283" i="3"/>
  <c r="N34" i="3"/>
  <c r="N35" i="3"/>
  <c r="N259" i="3"/>
  <c r="N38" i="3"/>
  <c r="N181" i="3"/>
  <c r="N117" i="3"/>
  <c r="N258" i="3"/>
  <c r="N273" i="3"/>
  <c r="N152" i="3"/>
  <c r="N204" i="3"/>
  <c r="N224" i="3"/>
  <c r="N243" i="3"/>
  <c r="N270" i="3"/>
  <c r="N33" i="3"/>
  <c r="N39" i="3"/>
  <c r="N78" i="3"/>
  <c r="N83" i="3"/>
  <c r="N119" i="3"/>
  <c r="N121" i="3"/>
  <c r="N82" i="3"/>
  <c r="N122" i="3"/>
  <c r="N180" i="3"/>
  <c r="N205" i="3"/>
  <c r="N85" i="3"/>
  <c r="N86" i="3"/>
  <c r="N41" i="3"/>
  <c r="N124" i="3"/>
  <c r="N226" i="3"/>
  <c r="N261" i="3"/>
  <c r="N89" i="3"/>
  <c r="N44" i="3"/>
  <c r="N127" i="3"/>
  <c r="N184" i="3"/>
  <c r="N128" i="3"/>
  <c r="N92" i="3"/>
  <c r="N50" i="3"/>
  <c r="N51" i="3"/>
  <c r="N129" i="3"/>
  <c r="N130" i="3"/>
  <c r="N132" i="3"/>
  <c r="N133" i="3"/>
  <c r="N134" i="3"/>
  <c r="N185" i="3"/>
  <c r="N187" i="3"/>
  <c r="N208" i="3"/>
  <c r="N162" i="3"/>
  <c r="N163" i="3"/>
  <c r="N229" i="3"/>
  <c r="N277" i="3"/>
  <c r="N211" i="3"/>
  <c r="N100" i="3"/>
  <c r="N135" i="3"/>
  <c r="N16" i="3"/>
  <c r="N265" i="3"/>
  <c r="N279" i="3"/>
  <c r="N5" i="3"/>
  <c r="N7" i="3"/>
  <c r="N136" i="3"/>
  <c r="N8" i="3"/>
  <c r="N104" i="3"/>
  <c r="N9" i="3"/>
  <c r="N138" i="3"/>
  <c r="N232" i="3"/>
  <c r="N63" i="3"/>
  <c r="N10" i="3"/>
  <c r="N251" i="3"/>
  <c r="N106" i="3"/>
  <c r="N266" i="3"/>
  <c r="N139" i="3"/>
  <c r="N175" i="3"/>
  <c r="N64" i="3"/>
  <c r="N140" i="3"/>
  <c r="N168" i="3"/>
  <c r="N194" i="3"/>
  <c r="N200" i="3"/>
  <c r="N250" i="3"/>
  <c r="N213" i="3"/>
  <c r="N14" i="3"/>
  <c r="N280" i="3"/>
  <c r="N228" i="3" l="1"/>
  <c r="N257" i="3"/>
  <c r="N256" i="3"/>
  <c r="N174" i="3"/>
  <c r="N102" i="3"/>
  <c r="N215" i="3"/>
  <c r="N126" i="3"/>
  <c r="N179" i="3"/>
  <c r="N80" i="3"/>
  <c r="N186" i="3"/>
  <c r="N43" i="3"/>
  <c r="N154" i="3"/>
  <c r="N212" i="3"/>
  <c r="N276" i="3"/>
  <c r="N93" i="3"/>
  <c r="N120" i="3"/>
  <c r="N118" i="3"/>
  <c r="N32" i="3"/>
  <c r="N113" i="3"/>
  <c r="N239" i="3"/>
  <c r="N252" i="3"/>
  <c r="N46" i="3"/>
  <c r="N153" i="3"/>
  <c r="N15" i="3"/>
  <c r="N103" i="3"/>
  <c r="N202" i="3"/>
  <c r="N216" i="3"/>
  <c r="N207" i="3"/>
  <c r="N56" i="3"/>
  <c r="N69" i="3"/>
  <c r="N191" i="3"/>
  <c r="N6" i="3"/>
  <c r="N143" i="3"/>
  <c r="N235" i="3"/>
  <c r="N167" i="3"/>
  <c r="N225" i="3"/>
  <c r="N176" i="3"/>
  <c r="N193" i="3"/>
  <c r="N214" i="3"/>
  <c r="N45" i="3"/>
  <c r="N107" i="3"/>
  <c r="N65" i="3"/>
  <c r="N26" i="3"/>
  <c r="N148" i="3"/>
  <c r="N105" i="3"/>
  <c r="N11" i="3"/>
  <c r="N274" i="3"/>
  <c r="N81" i="3"/>
  <c r="N141" i="3"/>
  <c r="N61" i="3"/>
  <c r="N101" i="3"/>
  <c r="N123" i="3"/>
  <c r="N13" i="3"/>
  <c r="N84" i="3"/>
  <c r="N150" i="3"/>
  <c r="N188" i="3"/>
  <c r="N244" i="3"/>
  <c r="N144" i="3"/>
  <c r="N60" i="3"/>
  <c r="N90" i="3"/>
  <c r="N88" i="3"/>
  <c r="N97" i="3"/>
  <c r="N125" i="3"/>
  <c r="N269" i="3"/>
  <c r="N115" i="3"/>
  <c r="N4" i="3"/>
  <c r="N137" i="3"/>
  <c r="N245" i="3"/>
  <c r="N170" i="3"/>
  <c r="N28" i="3"/>
  <c r="N53" i="3"/>
  <c r="N31" i="3"/>
  <c r="N30" i="3"/>
  <c r="N166" i="3"/>
  <c r="N241" i="3"/>
  <c r="K329" i="3"/>
  <c r="L329" i="3"/>
  <c r="K370" i="3"/>
  <c r="L370" i="3"/>
  <c r="K535" i="3"/>
  <c r="L535" i="3"/>
  <c r="O535" i="3" s="1"/>
  <c r="L54" i="3"/>
  <c r="O54" i="3" s="1"/>
  <c r="K454" i="3"/>
  <c r="L454" i="3"/>
  <c r="L52" i="3"/>
  <c r="O52" i="3" s="1"/>
  <c r="K419" i="3"/>
  <c r="L419" i="3"/>
  <c r="K325" i="3"/>
  <c r="L325" i="3"/>
  <c r="K365" i="3"/>
  <c r="L365" i="3"/>
  <c r="K507" i="3"/>
  <c r="L507" i="3"/>
  <c r="O507" i="3" s="1"/>
  <c r="K444" i="3"/>
  <c r="L444" i="3"/>
  <c r="K395" i="3"/>
  <c r="L395" i="3"/>
  <c r="K399" i="3"/>
  <c r="L399" i="3"/>
  <c r="K527" i="3"/>
  <c r="L527" i="3"/>
  <c r="K599" i="3"/>
  <c r="L599" i="3"/>
  <c r="L425" i="3"/>
  <c r="K425" i="3"/>
  <c r="K514" i="3"/>
  <c r="L514" i="3"/>
  <c r="O514" i="3" s="1"/>
  <c r="L345" i="3"/>
  <c r="K345" i="3"/>
  <c r="K440" i="3"/>
  <c r="L440" i="3"/>
  <c r="K390" i="3"/>
  <c r="L390" i="3"/>
  <c r="K451" i="3"/>
  <c r="L451" i="3"/>
  <c r="K301" i="3"/>
  <c r="L301" i="3"/>
  <c r="K482" i="3"/>
  <c r="L482" i="3"/>
  <c r="O482" i="3" s="1"/>
  <c r="K364" i="3"/>
  <c r="L364" i="3"/>
  <c r="K371" i="3"/>
  <c r="L371" i="3"/>
  <c r="K363" i="3"/>
  <c r="L363" i="3"/>
  <c r="K544" i="3"/>
  <c r="L544" i="3"/>
  <c r="O544" i="3" s="1"/>
  <c r="K322" i="3"/>
  <c r="L322" i="3"/>
  <c r="N157" i="3"/>
  <c r="K463" i="3"/>
  <c r="L463" i="3"/>
  <c r="N190" i="3"/>
  <c r="L303" i="3"/>
  <c r="K303" i="3"/>
  <c r="K332" i="3"/>
  <c r="L332" i="3"/>
  <c r="K431" i="3"/>
  <c r="L431" i="3"/>
  <c r="L393" i="3"/>
  <c r="K393" i="3"/>
  <c r="K394" i="3"/>
  <c r="L394" i="3"/>
  <c r="O394" i="3" s="1"/>
  <c r="K513" i="3"/>
  <c r="L513" i="3"/>
  <c r="O513" i="3" s="1"/>
  <c r="K321" i="3"/>
  <c r="L321" i="3"/>
  <c r="K452" i="3"/>
  <c r="L452" i="3"/>
  <c r="L94" i="3"/>
  <c r="O94" i="3" s="1"/>
  <c r="L477" i="3"/>
  <c r="K477" i="3"/>
  <c r="K353" i="3"/>
  <c r="L353" i="3"/>
  <c r="K357" i="3"/>
  <c r="L357" i="3"/>
  <c r="K506" i="3"/>
  <c r="L506" i="3"/>
  <c r="O506" i="3" s="1"/>
  <c r="K331" i="3"/>
  <c r="L331" i="3"/>
  <c r="K313" i="3"/>
  <c r="L313" i="3"/>
  <c r="K386" i="3"/>
  <c r="L386" i="3"/>
  <c r="L437" i="3"/>
  <c r="K437" i="3"/>
  <c r="K471" i="3"/>
  <c r="L471" i="3"/>
  <c r="L95" i="3"/>
  <c r="O95" i="3" s="1"/>
  <c r="K509" i="3"/>
  <c r="L509" i="3"/>
  <c r="O509" i="3" s="1"/>
  <c r="K298" i="3"/>
  <c r="L298" i="3"/>
  <c r="L456" i="3"/>
  <c r="K456" i="3"/>
  <c r="K355" i="3"/>
  <c r="L355" i="3"/>
  <c r="K459" i="3"/>
  <c r="L459" i="3"/>
  <c r="K598" i="3"/>
  <c r="L598" i="3"/>
  <c r="K494" i="3"/>
  <c r="L494" i="3"/>
  <c r="O494" i="3" s="1"/>
  <c r="L473" i="3"/>
  <c r="K473" i="3"/>
  <c r="K543" i="3"/>
  <c r="L543" i="3"/>
  <c r="O543" i="3" s="1"/>
  <c r="K522" i="3"/>
  <c r="L522" i="3"/>
  <c r="O522" i="3" s="1"/>
  <c r="K427" i="3"/>
  <c r="L427" i="3"/>
  <c r="K493" i="3"/>
  <c r="L493" i="3"/>
  <c r="O493" i="3" s="1"/>
  <c r="L472" i="3"/>
  <c r="K472" i="3"/>
  <c r="N246" i="3"/>
  <c r="N230" i="3"/>
  <c r="N220" i="3"/>
  <c r="N75" i="3"/>
  <c r="N254" i="3"/>
  <c r="K378" i="3"/>
  <c r="L378" i="3"/>
  <c r="N49" i="3"/>
  <c r="N173" i="3"/>
  <c r="K407" i="3"/>
  <c r="L407" i="3"/>
  <c r="O407" i="3" s="1"/>
  <c r="K286" i="3"/>
  <c r="L286" i="3"/>
  <c r="K383" i="3"/>
  <c r="L383" i="3"/>
  <c r="O383" i="3" s="1"/>
  <c r="K397" i="3"/>
  <c r="L397" i="3"/>
  <c r="K441" i="3"/>
  <c r="L441" i="3"/>
  <c r="L55" i="3"/>
  <c r="N55" i="3" s="1"/>
  <c r="K526" i="3"/>
  <c r="L526" i="3"/>
  <c r="N526" i="3" s="1"/>
  <c r="K519" i="3"/>
  <c r="L519" i="3"/>
  <c r="O519" i="3" s="1"/>
  <c r="K375" i="3"/>
  <c r="L375" i="3"/>
  <c r="K460" i="3"/>
  <c r="L460" i="3"/>
  <c r="L131" i="3"/>
  <c r="N131" i="3" s="1"/>
  <c r="L495" i="3"/>
  <c r="O495" i="3" s="1"/>
  <c r="K495" i="3"/>
  <c r="K315" i="3"/>
  <c r="L315" i="3"/>
  <c r="K335" i="3"/>
  <c r="L335" i="3"/>
  <c r="L388" i="3"/>
  <c r="N388" i="3" s="1"/>
  <c r="K388" i="3"/>
  <c r="K512" i="3"/>
  <c r="L512" i="3"/>
  <c r="O512" i="3" s="1"/>
  <c r="L445" i="3"/>
  <c r="K445" i="3"/>
  <c r="K358" i="3"/>
  <c r="L358" i="3"/>
  <c r="K401" i="3"/>
  <c r="L401" i="3"/>
  <c r="K435" i="3"/>
  <c r="L435" i="3"/>
  <c r="L464" i="3"/>
  <c r="K464" i="3"/>
  <c r="K316" i="3"/>
  <c r="L316" i="3"/>
  <c r="K341" i="3"/>
  <c r="L341" i="3"/>
  <c r="L504" i="3"/>
  <c r="O504" i="3" s="1"/>
  <c r="K504" i="3"/>
  <c r="K542" i="3"/>
  <c r="L542" i="3"/>
  <c r="O542" i="3" s="1"/>
  <c r="L400" i="3"/>
  <c r="K400" i="3"/>
  <c r="K290" i="3"/>
  <c r="L290" i="3"/>
  <c r="K429" i="3"/>
  <c r="L429" i="3"/>
  <c r="K455" i="3"/>
  <c r="L455" i="3"/>
  <c r="K330" i="3"/>
  <c r="L330" i="3"/>
  <c r="N42" i="3"/>
  <c r="L521" i="3"/>
  <c r="O521" i="3" s="1"/>
  <c r="K521" i="3"/>
  <c r="L312" i="3"/>
  <c r="O312" i="3" s="1"/>
  <c r="K312" i="3"/>
  <c r="L406" i="3"/>
  <c r="K406" i="3"/>
  <c r="L617" i="3"/>
  <c r="K617" i="3"/>
  <c r="N189" i="3"/>
  <c r="N99" i="3"/>
  <c r="N47" i="3"/>
  <c r="N183" i="3"/>
  <c r="N182" i="3"/>
  <c r="L323" i="3"/>
  <c r="K323" i="3"/>
  <c r="K503" i="3"/>
  <c r="L503" i="3"/>
  <c r="L505" i="3"/>
  <c r="O505" i="3" s="1"/>
  <c r="K505" i="3"/>
  <c r="K502" i="3"/>
  <c r="L502" i="3"/>
  <c r="L470" i="3"/>
  <c r="K470" i="3"/>
  <c r="L159" i="3"/>
  <c r="O159" i="3" s="1"/>
  <c r="L263" i="3"/>
  <c r="O263" i="3" s="1"/>
  <c r="L342" i="3"/>
  <c r="K342" i="3"/>
  <c r="N192" i="3"/>
  <c r="N233" i="3"/>
  <c r="N62" i="3"/>
  <c r="N109" i="3"/>
  <c r="N58" i="3"/>
  <c r="N248" i="3"/>
  <c r="N209" i="3"/>
  <c r="N160" i="3"/>
  <c r="N98" i="3"/>
  <c r="N48" i="3"/>
  <c r="N156" i="3"/>
  <c r="N206" i="3"/>
  <c r="N37" i="3"/>
  <c r="N151" i="3"/>
  <c r="N240" i="3"/>
  <c r="N253" i="3"/>
  <c r="N25" i="3"/>
  <c r="N196" i="3"/>
  <c r="N281" i="3"/>
  <c r="N12" i="3"/>
  <c r="L448" i="3"/>
  <c r="K448" i="3"/>
  <c r="K612" i="3"/>
  <c r="L612" i="3"/>
  <c r="O612" i="3" s="1"/>
  <c r="L293" i="3"/>
  <c r="K293" i="3"/>
  <c r="K391" i="3"/>
  <c r="L391" i="3"/>
  <c r="K310" i="3"/>
  <c r="L310" i="3"/>
  <c r="K339" i="3"/>
  <c r="L339" i="3"/>
  <c r="K396" i="3"/>
  <c r="L396" i="3"/>
  <c r="K333" i="3"/>
  <c r="L333" i="3"/>
  <c r="K398" i="3"/>
  <c r="L398" i="3"/>
  <c r="K474" i="3"/>
  <c r="L474" i="3"/>
  <c r="K351" i="3"/>
  <c r="L351" i="3"/>
  <c r="L296" i="3"/>
  <c r="K296" i="3"/>
  <c r="K490" i="3"/>
  <c r="L490" i="3"/>
  <c r="O490" i="3" s="1"/>
  <c r="L307" i="3"/>
  <c r="K307" i="3"/>
  <c r="L449" i="3"/>
  <c r="K449" i="3"/>
  <c r="K608" i="3"/>
  <c r="L608" i="3"/>
  <c r="N608" i="3" s="1"/>
  <c r="K499" i="3"/>
  <c r="L499" i="3"/>
  <c r="K468" i="3"/>
  <c r="L468" i="3"/>
  <c r="L96" i="3"/>
  <c r="N96" i="3" s="1"/>
  <c r="K300" i="3"/>
  <c r="L300" i="3"/>
  <c r="K508" i="3"/>
  <c r="L508" i="3"/>
  <c r="O508" i="3" s="1"/>
  <c r="L369" i="3"/>
  <c r="K369" i="3"/>
  <c r="L287" i="3"/>
  <c r="K287" i="3"/>
  <c r="K525" i="3"/>
  <c r="L525" i="3"/>
  <c r="N525" i="3" s="1"/>
  <c r="K518" i="3"/>
  <c r="L518" i="3"/>
  <c r="O518" i="3" s="1"/>
  <c r="K379" i="3"/>
  <c r="L379" i="3"/>
  <c r="K453" i="3"/>
  <c r="L453" i="3"/>
  <c r="K403" i="3"/>
  <c r="L403" i="3"/>
  <c r="K289" i="3"/>
  <c r="L289" i="3"/>
  <c r="K340" i="3"/>
  <c r="L340" i="3"/>
  <c r="K359" i="3"/>
  <c r="L359" i="3"/>
  <c r="K352" i="3"/>
  <c r="L352" i="3"/>
  <c r="K306" i="3"/>
  <c r="L306" i="3"/>
  <c r="L413" i="3"/>
  <c r="K413" i="3"/>
  <c r="L510" i="3"/>
  <c r="O510" i="3" s="1"/>
  <c r="K510" i="3"/>
  <c r="L497" i="3"/>
  <c r="O497" i="3" s="1"/>
  <c r="K497" i="3"/>
  <c r="K483" i="3"/>
  <c r="L483" i="3"/>
  <c r="O483" i="3" s="1"/>
  <c r="L537" i="3"/>
  <c r="O537" i="3" s="1"/>
  <c r="K537" i="3"/>
  <c r="K545" i="3"/>
  <c r="L545" i="3"/>
  <c r="O545" i="3" s="1"/>
  <c r="K324" i="3"/>
  <c r="L324" i="3"/>
  <c r="L488" i="3"/>
  <c r="K488" i="3"/>
  <c r="K418" i="3"/>
  <c r="L418" i="3"/>
  <c r="K382" i="3"/>
  <c r="L382" i="3"/>
  <c r="K436" i="3"/>
  <c r="L436" i="3"/>
  <c r="L327" i="3"/>
  <c r="O327" i="3" s="1"/>
  <c r="K327" i="3"/>
  <c r="K350" i="3"/>
  <c r="L350" i="3"/>
  <c r="K389" i="3"/>
  <c r="L389" i="3"/>
  <c r="N267" i="3"/>
  <c r="N264" i="3"/>
  <c r="N36" i="3"/>
  <c r="N247" i="3"/>
  <c r="N268" i="3"/>
  <c r="L311" i="3"/>
  <c r="O311" i="3" s="1"/>
  <c r="K311" i="3"/>
  <c r="K417" i="3"/>
  <c r="L417" i="3"/>
  <c r="O417" i="3" s="1"/>
  <c r="K536" i="3"/>
  <c r="L536" i="3"/>
  <c r="O536" i="3" s="1"/>
  <c r="K297" i="3"/>
  <c r="L297" i="3"/>
  <c r="L385" i="3"/>
  <c r="K385" i="3"/>
  <c r="K376" i="3"/>
  <c r="L376" i="3"/>
  <c r="L262" i="3"/>
  <c r="O262" i="3" s="1"/>
  <c r="K517" i="3"/>
  <c r="L517" i="3"/>
  <c r="O517" i="3" s="1"/>
  <c r="K404" i="3"/>
  <c r="L404" i="3"/>
  <c r="L361" i="3"/>
  <c r="K361" i="3"/>
  <c r="L511" i="3"/>
  <c r="O511" i="3" s="1"/>
  <c r="K511" i="3"/>
  <c r="L292" i="3"/>
  <c r="K292" i="3"/>
  <c r="L457" i="3"/>
  <c r="K457" i="3"/>
  <c r="K462" i="3"/>
  <c r="L462" i="3"/>
  <c r="L476" i="3"/>
  <c r="K476" i="3"/>
  <c r="K291" i="3"/>
  <c r="L291" i="3"/>
  <c r="L360" i="3"/>
  <c r="K360" i="3"/>
  <c r="K314" i="3"/>
  <c r="L314" i="3"/>
  <c r="K414" i="3"/>
  <c r="L414" i="3"/>
  <c r="K531" i="3"/>
  <c r="L531" i="3"/>
  <c r="K530" i="3"/>
  <c r="L530" i="3"/>
  <c r="N530" i="3" s="1"/>
  <c r="K326" i="3"/>
  <c r="L326" i="3"/>
  <c r="K402" i="3"/>
  <c r="L402" i="3"/>
  <c r="K442" i="3"/>
  <c r="L442" i="3"/>
  <c r="L381" i="3"/>
  <c r="K381" i="3"/>
  <c r="K461" i="3"/>
  <c r="L461" i="3"/>
  <c r="K609" i="3"/>
  <c r="L609" i="3"/>
  <c r="K610" i="3"/>
  <c r="L610" i="3"/>
  <c r="L496" i="3"/>
  <c r="K496" i="3"/>
  <c r="L408" i="3"/>
  <c r="K408" i="3"/>
  <c r="L368" i="3"/>
  <c r="K368" i="3"/>
  <c r="K515" i="3"/>
  <c r="L515" i="3"/>
  <c r="O515" i="3" s="1"/>
  <c r="L520" i="3"/>
  <c r="O520" i="3" s="1"/>
  <c r="K520" i="3"/>
  <c r="K538" i="3"/>
  <c r="L538" i="3"/>
  <c r="O538" i="3" s="1"/>
  <c r="K546" i="3"/>
  <c r="L546" i="3"/>
  <c r="O546" i="3" s="1"/>
  <c r="K446" i="3"/>
  <c r="L446" i="3"/>
  <c r="K467" i="3"/>
  <c r="L467" i="3"/>
  <c r="K443" i="3"/>
  <c r="L443" i="3"/>
  <c r="K487" i="3"/>
  <c r="L487" i="3"/>
  <c r="O487" i="3" s="1"/>
  <c r="N59" i="3"/>
  <c r="N242" i="3"/>
  <c r="N72" i="3"/>
  <c r="N74" i="3"/>
  <c r="N227" i="3"/>
  <c r="N223" i="3"/>
  <c r="N284" i="3"/>
  <c r="N155" i="3"/>
  <c r="N231" i="3"/>
  <c r="N236" i="3"/>
  <c r="K415" i="3"/>
  <c r="L415" i="3"/>
  <c r="O415" i="3" s="1"/>
  <c r="K410" i="3"/>
  <c r="L410" i="3"/>
  <c r="K439" i="3"/>
  <c r="L439" i="3"/>
  <c r="L484" i="3"/>
  <c r="O484" i="3" s="1"/>
  <c r="K484" i="3"/>
  <c r="K416" i="3"/>
  <c r="L416" i="3"/>
  <c r="K485" i="3"/>
  <c r="L485" i="3"/>
  <c r="L412" i="3"/>
  <c r="K412" i="3"/>
  <c r="K362" i="3"/>
  <c r="L362" i="3"/>
  <c r="K349" i="3"/>
  <c r="L349" i="3"/>
  <c r="L320" i="3"/>
  <c r="K320" i="3"/>
  <c r="K354" i="3"/>
  <c r="L354" i="3"/>
  <c r="K465" i="3"/>
  <c r="L465" i="3"/>
  <c r="K479" i="3"/>
  <c r="L479" i="3"/>
  <c r="O479" i="3" s="1"/>
  <c r="K366" i="3"/>
  <c r="L366" i="3"/>
  <c r="L373" i="3"/>
  <c r="K373" i="3"/>
  <c r="L295" i="3"/>
  <c r="K295" i="3"/>
  <c r="L374" i="3"/>
  <c r="K374" i="3"/>
  <c r="L409" i="3"/>
  <c r="K409" i="3"/>
  <c r="K480" i="3"/>
  <c r="L480" i="3"/>
  <c r="O480" i="3" s="1"/>
  <c r="K337" i="3"/>
  <c r="L337" i="3"/>
  <c r="K450" i="3"/>
  <c r="L450" i="3"/>
  <c r="L161" i="3"/>
  <c r="N161" i="3" s="1"/>
  <c r="K475" i="3"/>
  <c r="L475" i="3"/>
  <c r="K469" i="3"/>
  <c r="L469" i="3"/>
  <c r="K481" i="3"/>
  <c r="L481" i="3"/>
  <c r="O481" i="3" s="1"/>
  <c r="L529" i="3"/>
  <c r="N529" i="3" s="1"/>
  <c r="K529" i="3"/>
  <c r="L344" i="3"/>
  <c r="K344" i="3"/>
  <c r="K423" i="3"/>
  <c r="L423" i="3"/>
  <c r="K309" i="3"/>
  <c r="L309" i="3"/>
  <c r="L348" i="3"/>
  <c r="K348" i="3"/>
  <c r="K430" i="3"/>
  <c r="L430" i="3"/>
  <c r="L319" i="3"/>
  <c r="K319" i="3"/>
  <c r="K516" i="3"/>
  <c r="L516" i="3"/>
  <c r="O516" i="3" s="1"/>
  <c r="K539" i="3"/>
  <c r="L539" i="3"/>
  <c r="O539" i="3" s="1"/>
  <c r="K547" i="3"/>
  <c r="L547" i="3"/>
  <c r="O547" i="3" s="1"/>
  <c r="K534" i="3"/>
  <c r="L534" i="3"/>
  <c r="O534" i="3" s="1"/>
  <c r="K524" i="3"/>
  <c r="L524" i="3"/>
  <c r="O524" i="3" s="1"/>
  <c r="K405" i="3"/>
  <c r="L405" i="3"/>
  <c r="K466" i="3"/>
  <c r="L466" i="3"/>
  <c r="L336" i="3"/>
  <c r="K336" i="3"/>
  <c r="K491" i="3"/>
  <c r="L491" i="3"/>
  <c r="O491" i="3" s="1"/>
  <c r="K372" i="3"/>
  <c r="L372" i="3"/>
  <c r="L384" i="3"/>
  <c r="K384" i="3"/>
  <c r="K380" i="3"/>
  <c r="L380" i="3"/>
  <c r="K540" i="3"/>
  <c r="L540" i="3"/>
  <c r="O540" i="3" s="1"/>
  <c r="N91" i="3"/>
  <c r="N218" i="3"/>
  <c r="N249" i="3"/>
  <c r="N57" i="3"/>
  <c r="N158" i="3"/>
  <c r="N275" i="3"/>
  <c r="N255" i="3"/>
  <c r="K611" i="3"/>
  <c r="L611" i="3"/>
  <c r="O611" i="3" s="1"/>
  <c r="L533" i="3"/>
  <c r="O533" i="3" s="1"/>
  <c r="K533" i="3"/>
  <c r="K299" i="3"/>
  <c r="L299" i="3"/>
  <c r="K523" i="3"/>
  <c r="L523" i="3"/>
  <c r="O523" i="3" s="1"/>
  <c r="L433" i="3"/>
  <c r="K433" i="3"/>
  <c r="K447" i="3"/>
  <c r="L447" i="3"/>
  <c r="L328" i="3"/>
  <c r="K328" i="3"/>
  <c r="L438" i="3"/>
  <c r="K438" i="3"/>
  <c r="K377" i="3"/>
  <c r="L377" i="3"/>
  <c r="L392" i="3"/>
  <c r="K392" i="3"/>
  <c r="K338" i="3"/>
  <c r="L338" i="3"/>
  <c r="K285" i="3"/>
  <c r="L285" i="3"/>
  <c r="L334" i="3"/>
  <c r="K334" i="3"/>
  <c r="K343" i="3"/>
  <c r="L343" i="3"/>
  <c r="K346" i="3"/>
  <c r="L346" i="3"/>
  <c r="L489" i="3"/>
  <c r="K489" i="3"/>
  <c r="K492" i="3"/>
  <c r="L492" i="3"/>
  <c r="O492" i="3" s="1"/>
  <c r="K411" i="3"/>
  <c r="L411" i="3"/>
  <c r="L304" i="3"/>
  <c r="K304" i="3"/>
  <c r="K305" i="3"/>
  <c r="L305" i="3"/>
  <c r="L356" i="3"/>
  <c r="K356" i="3"/>
  <c r="K498" i="3"/>
  <c r="L498" i="3"/>
  <c r="O498" i="3" s="1"/>
  <c r="K603" i="3"/>
  <c r="L603" i="3"/>
  <c r="K347" i="3"/>
  <c r="L347" i="3"/>
  <c r="K458" i="3"/>
  <c r="L458" i="3"/>
  <c r="L210" i="3"/>
  <c r="N210" i="3" s="1"/>
  <c r="K478" i="3"/>
  <c r="L478" i="3"/>
  <c r="O478" i="3" s="1"/>
  <c r="K302" i="3"/>
  <c r="L302" i="3"/>
  <c r="L501" i="3"/>
  <c r="K501" i="3"/>
  <c r="K421" i="3"/>
  <c r="L421" i="3"/>
  <c r="L500" i="3"/>
  <c r="O500" i="3" s="1"/>
  <c r="K500" i="3"/>
  <c r="K486" i="3"/>
  <c r="L486" i="3"/>
  <c r="O486" i="3" s="1"/>
  <c r="K367" i="3"/>
  <c r="L367" i="3"/>
  <c r="K294" i="3"/>
  <c r="L294" i="3"/>
  <c r="K387" i="3"/>
  <c r="L387" i="3"/>
  <c r="L308" i="3"/>
  <c r="K308" i="3"/>
  <c r="K434" i="3"/>
  <c r="L434" i="3"/>
  <c r="K591" i="3"/>
  <c r="L591" i="3"/>
  <c r="K532" i="3"/>
  <c r="L532" i="3"/>
  <c r="K541" i="3"/>
  <c r="L541" i="3"/>
  <c r="O541" i="3" s="1"/>
  <c r="K548" i="3"/>
  <c r="L548" i="3"/>
  <c r="O548" i="3" s="1"/>
  <c r="N394" i="3"/>
  <c r="N95" i="3"/>
  <c r="N54" i="3"/>
  <c r="N383" i="3"/>
  <c r="N263" i="3"/>
  <c r="N262" i="3"/>
  <c r="N52" i="3"/>
  <c r="K231" i="3"/>
  <c r="K268" i="3"/>
  <c r="K242" i="3"/>
  <c r="K4" i="3"/>
  <c r="K87" i="3"/>
  <c r="K47" i="3"/>
  <c r="K101" i="3"/>
  <c r="K28" i="3"/>
  <c r="K209" i="3"/>
  <c r="K144" i="3"/>
  <c r="K31" i="3"/>
  <c r="K274" i="3"/>
  <c r="K98" i="3"/>
  <c r="K160" i="3"/>
  <c r="K170" i="3"/>
  <c r="K115" i="3"/>
  <c r="K137" i="3"/>
  <c r="K58" i="3"/>
  <c r="K13" i="3"/>
  <c r="K148" i="3"/>
  <c r="K153" i="3"/>
  <c r="K61" i="3"/>
  <c r="K281" i="3"/>
  <c r="K253" i="3"/>
  <c r="K258" i="3"/>
  <c r="K127" i="3"/>
  <c r="K121" i="3"/>
  <c r="K85" i="3"/>
  <c r="K111" i="3"/>
  <c r="K5" i="3"/>
  <c r="K14" i="3"/>
  <c r="K22" i="3"/>
  <c r="K38" i="3"/>
  <c r="K132" i="3"/>
  <c r="K92" i="3"/>
  <c r="K142" i="3"/>
  <c r="K117" i="3"/>
  <c r="K128" i="3"/>
  <c r="K195" i="3"/>
  <c r="K149" i="3"/>
  <c r="K152" i="3"/>
  <c r="P544" i="3"/>
  <c r="K249" i="3"/>
  <c r="K227" i="3"/>
  <c r="K264" i="3"/>
  <c r="K267" i="3"/>
  <c r="K12" i="3"/>
  <c r="K206" i="3"/>
  <c r="K141" i="3"/>
  <c r="K166" i="3"/>
  <c r="K30" i="3"/>
  <c r="K168" i="3"/>
  <c r="K241" i="3"/>
  <c r="K81" i="3"/>
  <c r="K159" i="3"/>
  <c r="K70" i="3"/>
  <c r="K126" i="3"/>
  <c r="K276" i="3"/>
  <c r="K167" i="3"/>
  <c r="K143" i="3"/>
  <c r="K202" i="3"/>
  <c r="K252" i="3"/>
  <c r="K46" i="3"/>
  <c r="K109" i="3"/>
  <c r="K15" i="3"/>
  <c r="K225" i="3"/>
  <c r="K216" i="3"/>
  <c r="K176" i="3"/>
  <c r="K179" i="3"/>
  <c r="K93" i="3"/>
  <c r="K6" i="3"/>
  <c r="K94" i="3"/>
  <c r="K207" i="3"/>
  <c r="K103" i="3"/>
  <c r="K95" i="3"/>
  <c r="K193" i="3"/>
  <c r="K29" i="3"/>
  <c r="K56" i="3"/>
  <c r="K191" i="3"/>
  <c r="K69" i="3"/>
  <c r="K221" i="3"/>
  <c r="K229" i="3"/>
  <c r="K43" i="3"/>
  <c r="K254" i="3"/>
  <c r="K182" i="3"/>
  <c r="K125" i="3"/>
  <c r="K42" i="3"/>
  <c r="K190" i="3"/>
  <c r="K247" i="3"/>
  <c r="K20" i="3"/>
  <c r="K106" i="3"/>
  <c r="K110" i="3"/>
  <c r="K198" i="3"/>
  <c r="K41" i="3"/>
  <c r="K208" i="3"/>
  <c r="K263" i="3"/>
  <c r="K265" i="3"/>
  <c r="K11" i="3"/>
  <c r="K238" i="3"/>
  <c r="K151" i="3"/>
  <c r="K234" i="3"/>
  <c r="K62" i="3"/>
  <c r="K235" i="3"/>
  <c r="K260" i="3"/>
  <c r="K55" i="3"/>
  <c r="K10" i="3"/>
  <c r="K196" i="3"/>
  <c r="K240" i="3"/>
  <c r="K50" i="3"/>
  <c r="K136" i="3"/>
  <c r="K131" i="3"/>
  <c r="K9" i="3"/>
  <c r="K169" i="3"/>
  <c r="K73" i="3"/>
  <c r="K273" i="3"/>
  <c r="K185" i="3"/>
  <c r="K77" i="3"/>
  <c r="K243" i="3"/>
  <c r="K279" i="3"/>
  <c r="K64" i="3"/>
  <c r="K19" i="3"/>
  <c r="K178" i="3"/>
  <c r="K39" i="3"/>
  <c r="K278" i="3"/>
  <c r="K164" i="3"/>
  <c r="K184" i="3"/>
  <c r="K223" i="3"/>
  <c r="K236" i="3"/>
  <c r="K255" i="3"/>
  <c r="K145" i="3"/>
  <c r="K244" i="3"/>
  <c r="K49" i="3"/>
  <c r="K156" i="3"/>
  <c r="K188" i="3"/>
  <c r="K224" i="3"/>
  <c r="K165" i="3"/>
  <c r="K250" i="3"/>
  <c r="K150" i="3"/>
  <c r="K280" i="3"/>
  <c r="K23" i="3"/>
  <c r="K122" i="3"/>
  <c r="K262" i="3"/>
  <c r="K18" i="3"/>
  <c r="K200" i="3"/>
  <c r="K71" i="3"/>
  <c r="K171" i="3"/>
  <c r="K63" i="3"/>
  <c r="K17" i="3"/>
  <c r="K76" i="3"/>
  <c r="K130" i="3"/>
  <c r="K100" i="3"/>
  <c r="K139" i="3"/>
  <c r="K203" i="3"/>
  <c r="K78" i="3"/>
  <c r="K96" i="3"/>
  <c r="K138" i="3"/>
  <c r="K232" i="3"/>
  <c r="K27" i="3"/>
  <c r="K204" i="3"/>
  <c r="K266" i="3"/>
  <c r="K67" i="3"/>
  <c r="K79" i="3"/>
  <c r="K33" i="3"/>
  <c r="K112" i="3"/>
  <c r="K86" i="3"/>
  <c r="K162" i="3"/>
  <c r="K245" i="3"/>
  <c r="K220" i="3"/>
  <c r="K189" i="3"/>
  <c r="K36" i="3"/>
  <c r="K25" i="3"/>
  <c r="K97" i="3"/>
  <c r="K40" i="3"/>
  <c r="K48" i="3"/>
  <c r="K65" i="3"/>
  <c r="K113" i="3"/>
  <c r="K84" i="3"/>
  <c r="K90" i="3"/>
  <c r="K147" i="3"/>
  <c r="K192" i="3"/>
  <c r="K271" i="3"/>
  <c r="K219" i="3"/>
  <c r="K68" i="3"/>
  <c r="K177" i="3"/>
  <c r="K270" i="3"/>
  <c r="K146" i="3"/>
  <c r="K133" i="3"/>
  <c r="K129" i="3"/>
  <c r="K277" i="3"/>
  <c r="K116" i="3"/>
  <c r="K251" i="3"/>
  <c r="K237" i="3"/>
  <c r="K201" i="3"/>
  <c r="K175" i="3"/>
  <c r="K272" i="3"/>
  <c r="K83" i="3"/>
  <c r="K124" i="3"/>
  <c r="K213" i="3"/>
  <c r="K282" i="3"/>
  <c r="K82" i="3"/>
  <c r="K226" i="3"/>
  <c r="K163" i="3"/>
  <c r="K172" i="3"/>
  <c r="P538" i="3"/>
  <c r="K54" i="3"/>
  <c r="K105" i="3"/>
  <c r="K52" i="3"/>
  <c r="K74" i="3"/>
  <c r="K269" i="3"/>
  <c r="K91" i="3"/>
  <c r="K123" i="3"/>
  <c r="K107" i="3"/>
  <c r="K88" i="3"/>
  <c r="K60" i="3"/>
  <c r="K214" i="3"/>
  <c r="K26" i="3"/>
  <c r="K45" i="3"/>
  <c r="K32" i="3"/>
  <c r="K102" i="3"/>
  <c r="K215" i="3"/>
  <c r="K174" i="3"/>
  <c r="K37" i="3"/>
  <c r="K257" i="3"/>
  <c r="K248" i="3"/>
  <c r="K233" i="3"/>
  <c r="K217" i="3"/>
  <c r="K118" i="3"/>
  <c r="K228" i="3"/>
  <c r="K261" i="3"/>
  <c r="K186" i="3"/>
  <c r="K120" i="3"/>
  <c r="K161" i="3"/>
  <c r="K135" i="3"/>
  <c r="K212" i="3"/>
  <c r="K197" i="3"/>
  <c r="K256" i="3"/>
  <c r="K80" i="3"/>
  <c r="K239" i="3"/>
  <c r="K34" i="3"/>
  <c r="K7" i="3"/>
  <c r="K211" i="3"/>
  <c r="K199" i="3"/>
  <c r="K154" i="3"/>
  <c r="K180" i="3"/>
  <c r="K51" i="3"/>
  <c r="P547" i="3"/>
  <c r="K157" i="3"/>
  <c r="K72" i="3"/>
  <c r="K246" i="3"/>
  <c r="K59" i="3"/>
  <c r="K173" i="3"/>
  <c r="K275" i="3"/>
  <c r="K155" i="3"/>
  <c r="K57" i="3"/>
  <c r="K183" i="3"/>
  <c r="K99" i="3"/>
  <c r="K53" i="3"/>
  <c r="K218" i="3"/>
  <c r="K75" i="3"/>
  <c r="K284" i="3"/>
  <c r="K158" i="3"/>
  <c r="K230" i="3"/>
  <c r="K181" i="3"/>
  <c r="K8" i="3"/>
  <c r="K66" i="3"/>
  <c r="K194" i="3"/>
  <c r="K21" i="3"/>
  <c r="K283" i="3"/>
  <c r="K119" i="3"/>
  <c r="K259" i="3"/>
  <c r="K205" i="3"/>
  <c r="K16" i="3"/>
  <c r="K210" i="3"/>
  <c r="K140" i="3"/>
  <c r="K222" i="3"/>
  <c r="K44" i="3"/>
  <c r="K114" i="3"/>
  <c r="K35" i="3"/>
  <c r="K104" i="3"/>
  <c r="K108" i="3"/>
  <c r="K24" i="3"/>
  <c r="K89" i="3"/>
  <c r="K134" i="3"/>
  <c r="K187" i="3"/>
  <c r="P541" i="3"/>
  <c r="P548" i="3"/>
  <c r="P545" i="3"/>
  <c r="P546" i="3"/>
  <c r="P542" i="3"/>
  <c r="P543" i="3"/>
  <c r="P540" i="3"/>
  <c r="P539" i="3"/>
  <c r="P537" i="3"/>
  <c r="P311" i="3"/>
  <c r="P417" i="3"/>
  <c r="P536" i="3"/>
  <c r="P188" i="3"/>
  <c r="P224" i="3"/>
  <c r="P165" i="3"/>
  <c r="P250" i="3"/>
  <c r="P297" i="3"/>
  <c r="P150" i="3"/>
  <c r="P280" i="3"/>
  <c r="P23" i="3"/>
  <c r="P385" i="3"/>
  <c r="P122" i="3"/>
  <c r="P376" i="3"/>
  <c r="P262" i="3"/>
  <c r="P18" i="3"/>
  <c r="P474" i="3"/>
  <c r="P351" i="3"/>
  <c r="P200" i="3"/>
  <c r="P71" i="3"/>
  <c r="P296" i="3"/>
  <c r="P171" i="3"/>
  <c r="P490" i="3"/>
  <c r="P63" i="3"/>
  <c r="P17" i="3"/>
  <c r="P76" i="3"/>
  <c r="P307" i="3"/>
  <c r="P449" i="3"/>
  <c r="P130" i="3"/>
  <c r="P608" i="3"/>
  <c r="P100" i="3"/>
  <c r="P139" i="3"/>
  <c r="P499" i="3"/>
  <c r="P203" i="3"/>
  <c r="P78" i="3"/>
  <c r="P468" i="3"/>
  <c r="P96" i="3"/>
  <c r="P138" i="3"/>
  <c r="P300" i="3"/>
  <c r="P508" i="3"/>
  <c r="P369" i="3"/>
  <c r="P287" i="3"/>
  <c r="P525" i="3"/>
  <c r="P518" i="3"/>
  <c r="P232" i="3"/>
  <c r="P379" i="3"/>
  <c r="P27" i="3"/>
  <c r="P204" i="3"/>
  <c r="P453" i="3"/>
  <c r="P403" i="3"/>
  <c r="P289" i="3"/>
  <c r="P266" i="3"/>
  <c r="P67" i="3"/>
  <c r="P79" i="3"/>
  <c r="P33" i="3"/>
  <c r="P340" i="3"/>
  <c r="P359" i="3"/>
  <c r="P352" i="3"/>
  <c r="P112" i="3"/>
  <c r="P306" i="3"/>
  <c r="P413" i="3"/>
  <c r="P86" i="3"/>
  <c r="P162" i="3"/>
  <c r="P510" i="3"/>
  <c r="P497" i="3"/>
  <c r="P483" i="3"/>
  <c r="P415" i="3"/>
  <c r="P40" i="3"/>
  <c r="P48" i="3"/>
  <c r="P410" i="3"/>
  <c r="P439" i="3"/>
  <c r="P484" i="3"/>
  <c r="P65" i="3"/>
  <c r="P416" i="3"/>
  <c r="P485" i="3"/>
  <c r="P412" i="3"/>
  <c r="P113" i="3"/>
  <c r="P84" i="3"/>
  <c r="P362" i="3"/>
  <c r="P90" i="3"/>
  <c r="P349" i="3"/>
  <c r="P147" i="3"/>
  <c r="P517" i="3"/>
  <c r="P404" i="3"/>
  <c r="P192" i="3"/>
  <c r="P271" i="3"/>
  <c r="P361" i="3"/>
  <c r="P219" i="3"/>
  <c r="P511" i="3"/>
  <c r="P292" i="3"/>
  <c r="P68" i="3"/>
  <c r="P177" i="3"/>
  <c r="P270" i="3"/>
  <c r="P457" i="3"/>
  <c r="P462" i="3"/>
  <c r="P476" i="3"/>
  <c r="P291" i="3"/>
  <c r="P360" i="3"/>
  <c r="P146" i="3"/>
  <c r="P314" i="3"/>
  <c r="P414" i="3"/>
  <c r="P531" i="3"/>
  <c r="P133" i="3"/>
  <c r="P530" i="3"/>
  <c r="P326" i="3"/>
  <c r="P402" i="3"/>
  <c r="P442" i="3"/>
  <c r="P129" i="3"/>
  <c r="P277" i="3"/>
  <c r="P116" i="3"/>
  <c r="P251" i="3"/>
  <c r="P237" i="3"/>
  <c r="P201" i="3"/>
  <c r="P381" i="3"/>
  <c r="P461" i="3"/>
  <c r="P609" i="3"/>
  <c r="P610" i="3"/>
  <c r="P175" i="3"/>
  <c r="P496" i="3"/>
  <c r="P272" i="3"/>
  <c r="P83" i="3"/>
  <c r="P124" i="3"/>
  <c r="P408" i="3"/>
  <c r="P213" i="3"/>
  <c r="P282" i="3"/>
  <c r="P368" i="3"/>
  <c r="P82" i="3"/>
  <c r="P226" i="3"/>
  <c r="P163" i="3"/>
  <c r="P515" i="3"/>
  <c r="P520" i="3"/>
  <c r="P172" i="3"/>
  <c r="P123" i="3"/>
  <c r="P611" i="3"/>
  <c r="P533" i="3"/>
  <c r="P107" i="3"/>
  <c r="P88" i="3"/>
  <c r="P299" i="3"/>
  <c r="P523" i="3"/>
  <c r="P433" i="3"/>
  <c r="P447" i="3"/>
  <c r="P60" i="3"/>
  <c r="P214" i="3"/>
  <c r="P26" i="3"/>
  <c r="P328" i="3"/>
  <c r="P438" i="3"/>
  <c r="P45" i="3"/>
  <c r="P377" i="3"/>
  <c r="P32" i="3"/>
  <c r="P320" i="3"/>
  <c r="P102" i="3"/>
  <c r="P215" i="3"/>
  <c r="P174" i="3"/>
  <c r="P37" i="3"/>
  <c r="P257" i="3"/>
  <c r="P248" i="3"/>
  <c r="P233" i="3"/>
  <c r="P217" i="3"/>
  <c r="P118" i="3"/>
  <c r="P354" i="3"/>
  <c r="P465" i="3"/>
  <c r="P228" i="3"/>
  <c r="P479" i="3"/>
  <c r="P366" i="3"/>
  <c r="P373" i="3"/>
  <c r="P295" i="3"/>
  <c r="P374" i="3"/>
  <c r="P409" i="3"/>
  <c r="P261" i="3"/>
  <c r="P186" i="3"/>
  <c r="P480" i="3"/>
  <c r="P337" i="3"/>
  <c r="P120" i="3"/>
  <c r="P450" i="3"/>
  <c r="P161" i="3"/>
  <c r="P475" i="3"/>
  <c r="P135" i="3"/>
  <c r="P212" i="3"/>
  <c r="P197" i="3"/>
  <c r="P256" i="3"/>
  <c r="P80" i="3"/>
  <c r="P469" i="3"/>
  <c r="P481" i="3"/>
  <c r="P529" i="3"/>
  <c r="P344" i="3"/>
  <c r="P239" i="3"/>
  <c r="P34" i="3"/>
  <c r="P423" i="3"/>
  <c r="P309" i="3"/>
  <c r="P7" i="3"/>
  <c r="P211" i="3"/>
  <c r="P199" i="3"/>
  <c r="P154" i="3"/>
  <c r="P180" i="3"/>
  <c r="P348" i="3"/>
  <c r="P430" i="3"/>
  <c r="P319" i="3"/>
  <c r="P51" i="3"/>
  <c r="P516" i="3"/>
  <c r="P155" i="3"/>
  <c r="P57" i="3"/>
  <c r="P534" i="3"/>
  <c r="P183" i="3"/>
  <c r="P99" i="3"/>
  <c r="P53" i="3"/>
  <c r="P522" i="3"/>
  <c r="P218" i="3"/>
  <c r="P324" i="3"/>
  <c r="P488" i="3"/>
  <c r="P418" i="3"/>
  <c r="P75" i="3"/>
  <c r="P284" i="3"/>
  <c r="P446" i="3"/>
  <c r="P158" i="3"/>
  <c r="P230" i="3"/>
  <c r="P181" i="3"/>
  <c r="P392" i="3"/>
  <c r="P8" i="3"/>
  <c r="P66" i="3"/>
  <c r="P338" i="3"/>
  <c r="P285" i="3"/>
  <c r="P334" i="3"/>
  <c r="P343" i="3"/>
  <c r="P194" i="3"/>
  <c r="P21" i="3"/>
  <c r="P283" i="3"/>
  <c r="P119" i="3"/>
  <c r="P346" i="3"/>
  <c r="P489" i="3"/>
  <c r="P492" i="3"/>
  <c r="P411" i="3"/>
  <c r="P304" i="3"/>
  <c r="P305" i="3"/>
  <c r="P259" i="3"/>
  <c r="P205" i="3"/>
  <c r="P356" i="3"/>
  <c r="P16" i="3"/>
  <c r="P498" i="3"/>
  <c r="P603" i="3"/>
  <c r="P347" i="3"/>
  <c r="P458" i="3"/>
  <c r="P210" i="3"/>
  <c r="P478" i="3"/>
  <c r="P302" i="3"/>
  <c r="P140" i="3"/>
  <c r="P501" i="3"/>
  <c r="P222" i="3"/>
  <c r="P421" i="3"/>
  <c r="P44" i="3"/>
  <c r="P500" i="3"/>
  <c r="P486" i="3"/>
  <c r="P367" i="3"/>
  <c r="P114" i="3"/>
  <c r="P35" i="3"/>
  <c r="P294" i="3"/>
  <c r="P387" i="3"/>
  <c r="P104" i="3"/>
  <c r="P108" i="3"/>
  <c r="P24" i="3"/>
  <c r="P308" i="3"/>
  <c r="P434" i="3"/>
  <c r="P89" i="3"/>
  <c r="P591" i="3"/>
  <c r="P134" i="3"/>
  <c r="P187" i="3"/>
  <c r="P532" i="3"/>
  <c r="P157" i="3"/>
  <c r="P249" i="3"/>
  <c r="P535" i="3"/>
  <c r="P54" i="3"/>
  <c r="P245" i="3"/>
  <c r="P350" i="3"/>
  <c r="P389" i="3"/>
  <c r="P72" i="3"/>
  <c r="P227" i="3"/>
  <c r="P105" i="3"/>
  <c r="P254" i="3"/>
  <c r="P220" i="3"/>
  <c r="P223" i="3"/>
  <c r="P454" i="3"/>
  <c r="P52" i="3"/>
  <c r="P246" i="3"/>
  <c r="P264" i="3"/>
  <c r="P382" i="3"/>
  <c r="P189" i="3"/>
  <c r="P236" i="3"/>
  <c r="P231" i="3"/>
  <c r="P74" i="3"/>
  <c r="P427" i="3"/>
  <c r="P400" i="3"/>
  <c r="P267" i="3"/>
  <c r="P255" i="3"/>
  <c r="P36" i="3"/>
  <c r="P436" i="3"/>
  <c r="P182" i="3"/>
  <c r="P327" i="3"/>
  <c r="P145" i="3"/>
  <c r="P59" i="3"/>
  <c r="P12" i="3"/>
  <c r="P25" i="3"/>
  <c r="P290" i="3"/>
  <c r="P244" i="3"/>
  <c r="P125" i="3"/>
  <c r="P329" i="3"/>
  <c r="P524" i="3"/>
  <c r="P370" i="3"/>
  <c r="P405" i="3"/>
  <c r="P466" i="3"/>
  <c r="P336" i="3"/>
  <c r="P491" i="3"/>
  <c r="P372" i="3"/>
  <c r="P384" i="3"/>
  <c r="P173" i="3"/>
  <c r="P380" i="3"/>
  <c r="P467" i="3"/>
  <c r="P49" i="3"/>
  <c r="P42" i="3"/>
  <c r="P493" i="3"/>
  <c r="P269" i="3"/>
  <c r="P322" i="3"/>
  <c r="P206" i="3"/>
  <c r="P429" i="3"/>
  <c r="P156" i="3"/>
  <c r="P190" i="3"/>
  <c r="P268" i="3"/>
  <c r="P247" i="3"/>
  <c r="P242" i="3"/>
  <c r="P443" i="3"/>
  <c r="P91" i="3"/>
  <c r="P487" i="3"/>
  <c r="P472" i="3"/>
  <c r="P97" i="3"/>
  <c r="P275" i="3"/>
  <c r="P4" i="3"/>
  <c r="P378" i="3"/>
  <c r="P87" i="3"/>
  <c r="P47" i="3"/>
  <c r="P521" i="3"/>
  <c r="P312" i="3"/>
  <c r="P101" i="3"/>
  <c r="P28" i="3"/>
  <c r="P209" i="3"/>
  <c r="P303" i="3"/>
  <c r="P144" i="3"/>
  <c r="P31" i="3"/>
  <c r="P406" i="3"/>
  <c r="P274" i="3"/>
  <c r="P98" i="3"/>
  <c r="P617" i="3"/>
  <c r="P455" i="3"/>
  <c r="P160" i="3"/>
  <c r="P330" i="3"/>
  <c r="P170" i="3"/>
  <c r="P115" i="3"/>
  <c r="P137" i="3"/>
  <c r="P463" i="3"/>
  <c r="P58" i="3"/>
  <c r="P13" i="3"/>
  <c r="P148" i="3"/>
  <c r="P153" i="3"/>
  <c r="P419" i="3"/>
  <c r="P325" i="3"/>
  <c r="P365" i="3"/>
  <c r="P507" i="3"/>
  <c r="P61" i="3"/>
  <c r="P281" i="3"/>
  <c r="P253" i="3"/>
  <c r="P258" i="3"/>
  <c r="P444" i="3"/>
  <c r="P127" i="3"/>
  <c r="P395" i="3"/>
  <c r="P399" i="3"/>
  <c r="P527" i="3"/>
  <c r="P121" i="3"/>
  <c r="P85" i="3"/>
  <c r="P599" i="3"/>
  <c r="P111" i="3"/>
  <c r="P5" i="3"/>
  <c r="P14" i="3"/>
  <c r="P22" i="3"/>
  <c r="P38" i="3"/>
  <c r="P425" i="3"/>
  <c r="P132" i="3"/>
  <c r="P92" i="3"/>
  <c r="P514" i="3"/>
  <c r="P142" i="3"/>
  <c r="P345" i="3"/>
  <c r="P117" i="3"/>
  <c r="P440" i="3"/>
  <c r="P128" i="3"/>
  <c r="P390" i="3"/>
  <c r="P195" i="3"/>
  <c r="P149" i="3"/>
  <c r="P152" i="3"/>
  <c r="P451" i="3"/>
  <c r="P301" i="3"/>
  <c r="P482" i="3"/>
  <c r="P364" i="3"/>
  <c r="P371" i="3"/>
  <c r="P363" i="3"/>
  <c r="P407" i="3"/>
  <c r="P141" i="3"/>
  <c r="P286" i="3"/>
  <c r="P323" i="3"/>
  <c r="P503" i="3"/>
  <c r="P505" i="3"/>
  <c r="P166" i="3"/>
  <c r="P30" i="3"/>
  <c r="P383" i="3"/>
  <c r="P168" i="3"/>
  <c r="P502" i="3"/>
  <c r="P241" i="3"/>
  <c r="P81" i="3"/>
  <c r="P470" i="3"/>
  <c r="P159" i="3"/>
  <c r="P70" i="3"/>
  <c r="P126" i="3"/>
  <c r="P276" i="3"/>
  <c r="P167" i="3"/>
  <c r="P143" i="3"/>
  <c r="P202" i="3"/>
  <c r="P252" i="3"/>
  <c r="P46" i="3"/>
  <c r="P109" i="3"/>
  <c r="P15" i="3"/>
  <c r="P332" i="3"/>
  <c r="P225" i="3"/>
  <c r="P431" i="3"/>
  <c r="P393" i="3"/>
  <c r="P394" i="3"/>
  <c r="P513" i="3"/>
  <c r="P321" i="3"/>
  <c r="P216" i="3"/>
  <c r="P176" i="3"/>
  <c r="P179" i="3"/>
  <c r="P452" i="3"/>
  <c r="P93" i="3"/>
  <c r="P6" i="3"/>
  <c r="P94" i="3"/>
  <c r="P477" i="3"/>
  <c r="P353" i="3"/>
  <c r="P207" i="3"/>
  <c r="P357" i="3"/>
  <c r="P506" i="3"/>
  <c r="P103" i="3"/>
  <c r="P331" i="3"/>
  <c r="P313" i="3"/>
  <c r="P386" i="3"/>
  <c r="P437" i="3"/>
  <c r="P471" i="3"/>
  <c r="P95" i="3"/>
  <c r="P509" i="3"/>
  <c r="P193" i="3"/>
  <c r="P29" i="3"/>
  <c r="P298" i="3"/>
  <c r="P456" i="3"/>
  <c r="P56" i="3"/>
  <c r="P191" i="3"/>
  <c r="P69" i="3"/>
  <c r="P221" i="3"/>
  <c r="P355" i="3"/>
  <c r="P459" i="3"/>
  <c r="P598" i="3"/>
  <c r="P494" i="3"/>
  <c r="P229" i="3"/>
  <c r="P473" i="3"/>
  <c r="P43" i="3"/>
  <c r="P448" i="3"/>
  <c r="P612" i="3"/>
  <c r="P20" i="3"/>
  <c r="P293" i="3"/>
  <c r="P391" i="3"/>
  <c r="P310" i="3"/>
  <c r="P106" i="3"/>
  <c r="P339" i="3"/>
  <c r="P110" i="3"/>
  <c r="P396" i="3"/>
  <c r="P198" i="3"/>
  <c r="P333" i="3"/>
  <c r="P398" i="3"/>
  <c r="P41" i="3"/>
  <c r="P208" i="3"/>
  <c r="P263" i="3"/>
  <c r="P265" i="3"/>
  <c r="P11" i="3"/>
  <c r="P238" i="3"/>
  <c r="P151" i="3"/>
  <c r="P234" i="3"/>
  <c r="P342" i="3"/>
  <c r="P62" i="3"/>
  <c r="P235" i="3"/>
  <c r="P260" i="3"/>
  <c r="P397" i="3"/>
  <c r="P441" i="3"/>
  <c r="P55" i="3"/>
  <c r="P526" i="3"/>
  <c r="P519" i="3"/>
  <c r="P10" i="3"/>
  <c r="P196" i="3"/>
  <c r="P240" i="3"/>
  <c r="P375" i="3"/>
  <c r="P460" i="3"/>
  <c r="P50" i="3"/>
  <c r="P136" i="3"/>
  <c r="P131" i="3"/>
  <c r="P495" i="3"/>
  <c r="P315" i="3"/>
  <c r="P335" i="3"/>
  <c r="P388" i="3"/>
  <c r="P512" i="3"/>
  <c r="P9" i="3"/>
  <c r="P169" i="3"/>
  <c r="P73" i="3"/>
  <c r="P273" i="3"/>
  <c r="P445" i="3"/>
  <c r="P358" i="3"/>
  <c r="P185" i="3"/>
  <c r="P401" i="3"/>
  <c r="P435" i="3"/>
  <c r="P77" i="3"/>
  <c r="P243" i="3"/>
  <c r="P464" i="3"/>
  <c r="P279" i="3"/>
  <c r="P64" i="3"/>
  <c r="P19" i="3"/>
  <c r="P178" i="3"/>
  <c r="P39" i="3"/>
  <c r="P316" i="3"/>
  <c r="P341" i="3"/>
  <c r="P504" i="3"/>
  <c r="P278" i="3"/>
  <c r="P164" i="3"/>
  <c r="P184" i="3"/>
  <c r="N94" i="3" l="1"/>
  <c r="N327" i="3"/>
  <c r="N159" i="3"/>
  <c r="O529" i="3"/>
  <c r="O161" i="3"/>
  <c r="O608" i="3"/>
  <c r="O55" i="3"/>
  <c r="O530" i="3"/>
  <c r="O302" i="3"/>
  <c r="N302" i="3"/>
  <c r="O347" i="3"/>
  <c r="N347" i="3"/>
  <c r="O305" i="3"/>
  <c r="N305" i="3"/>
  <c r="O285" i="3"/>
  <c r="N285" i="3"/>
  <c r="O450" i="3"/>
  <c r="N450" i="3"/>
  <c r="O349" i="3"/>
  <c r="N349" i="3"/>
  <c r="O416" i="3"/>
  <c r="N416" i="3"/>
  <c r="O467" i="3"/>
  <c r="N467" i="3"/>
  <c r="O361" i="3"/>
  <c r="N361" i="3"/>
  <c r="O389" i="3"/>
  <c r="N389" i="3"/>
  <c r="O300" i="3"/>
  <c r="N300" i="3"/>
  <c r="O448" i="3"/>
  <c r="N448" i="3"/>
  <c r="O456" i="3"/>
  <c r="N456" i="3"/>
  <c r="O477" i="3"/>
  <c r="N477" i="3"/>
  <c r="O332" i="3"/>
  <c r="N332" i="3"/>
  <c r="O322" i="3"/>
  <c r="N322" i="3"/>
  <c r="O364" i="3"/>
  <c r="N364" i="3"/>
  <c r="O390" i="3"/>
  <c r="N390" i="3"/>
  <c r="O395" i="3"/>
  <c r="N395" i="3"/>
  <c r="O325" i="3"/>
  <c r="N325" i="3"/>
  <c r="O308" i="3"/>
  <c r="N308" i="3"/>
  <c r="O489" i="3"/>
  <c r="N489" i="3"/>
  <c r="O438" i="3"/>
  <c r="N438" i="3"/>
  <c r="O380" i="3"/>
  <c r="N380" i="3"/>
  <c r="O423" i="3"/>
  <c r="N423" i="3"/>
  <c r="O374" i="3"/>
  <c r="N374" i="3"/>
  <c r="O496" i="3"/>
  <c r="N496" i="3"/>
  <c r="O381" i="3"/>
  <c r="N381" i="3"/>
  <c r="O404" i="3"/>
  <c r="N404" i="3"/>
  <c r="O382" i="3"/>
  <c r="N382" i="3"/>
  <c r="O359" i="3"/>
  <c r="N359" i="3"/>
  <c r="O453" i="3"/>
  <c r="N453" i="3"/>
  <c r="O525" i="3"/>
  <c r="O333" i="3"/>
  <c r="N333" i="3"/>
  <c r="O391" i="3"/>
  <c r="N391" i="3"/>
  <c r="O503" i="3"/>
  <c r="N503" i="3"/>
  <c r="O290" i="3"/>
  <c r="N290" i="3"/>
  <c r="O341" i="3"/>
  <c r="N341" i="3"/>
  <c r="O401" i="3"/>
  <c r="N401" i="3"/>
  <c r="O397" i="3"/>
  <c r="N397" i="3"/>
  <c r="O598" i="3"/>
  <c r="N598" i="3"/>
  <c r="O298" i="3"/>
  <c r="N298" i="3"/>
  <c r="O425" i="3"/>
  <c r="N425" i="3"/>
  <c r="O346" i="3"/>
  <c r="N346" i="3"/>
  <c r="O319" i="3"/>
  <c r="N319" i="3"/>
  <c r="O337" i="3"/>
  <c r="N337" i="3"/>
  <c r="O446" i="3"/>
  <c r="N446" i="3"/>
  <c r="O419" i="3"/>
  <c r="N419" i="3"/>
  <c r="O304" i="3"/>
  <c r="N304" i="3"/>
  <c r="O328" i="3"/>
  <c r="N328" i="3"/>
  <c r="O466" i="3"/>
  <c r="N466" i="3"/>
  <c r="O430" i="3"/>
  <c r="N430" i="3"/>
  <c r="O295" i="3"/>
  <c r="N295" i="3"/>
  <c r="O531" i="3"/>
  <c r="N531" i="3"/>
  <c r="O291" i="3"/>
  <c r="N291" i="3"/>
  <c r="O297" i="3"/>
  <c r="N297" i="3"/>
  <c r="O418" i="3"/>
  <c r="N418" i="3"/>
  <c r="O340" i="3"/>
  <c r="N340" i="3"/>
  <c r="O379" i="3"/>
  <c r="N379" i="3"/>
  <c r="O287" i="3"/>
  <c r="N287" i="3"/>
  <c r="O96" i="3"/>
  <c r="O351" i="3"/>
  <c r="N351" i="3"/>
  <c r="O396" i="3"/>
  <c r="N396" i="3"/>
  <c r="O617" i="3"/>
  <c r="N617" i="3"/>
  <c r="O330" i="3"/>
  <c r="N330" i="3"/>
  <c r="O316" i="3"/>
  <c r="N316" i="3"/>
  <c r="O358" i="3"/>
  <c r="N358" i="3"/>
  <c r="O388" i="3"/>
  <c r="O131" i="3"/>
  <c r="O459" i="3"/>
  <c r="N459" i="3"/>
  <c r="O386" i="3"/>
  <c r="N386" i="3"/>
  <c r="O357" i="3"/>
  <c r="N357" i="3"/>
  <c r="O452" i="3"/>
  <c r="N452" i="3"/>
  <c r="O303" i="3"/>
  <c r="N303" i="3"/>
  <c r="O387" i="3"/>
  <c r="N387" i="3"/>
  <c r="O603" i="3"/>
  <c r="N603" i="3"/>
  <c r="O299" i="3"/>
  <c r="N299" i="3"/>
  <c r="O465" i="3"/>
  <c r="N465" i="3"/>
  <c r="O442" i="3"/>
  <c r="N442" i="3"/>
  <c r="O360" i="3"/>
  <c r="N360" i="3"/>
  <c r="O457" i="3"/>
  <c r="N457" i="3"/>
  <c r="O385" i="3"/>
  <c r="N385" i="3"/>
  <c r="O350" i="3"/>
  <c r="N350" i="3"/>
  <c r="O437" i="3"/>
  <c r="N437" i="3"/>
  <c r="O440" i="3"/>
  <c r="N440" i="3"/>
  <c r="O591" i="3"/>
  <c r="N591" i="3"/>
  <c r="O294" i="3"/>
  <c r="N294" i="3"/>
  <c r="O421" i="3"/>
  <c r="N421" i="3"/>
  <c r="O411" i="3"/>
  <c r="N411" i="3"/>
  <c r="O343" i="3"/>
  <c r="N343" i="3"/>
  <c r="O447" i="3"/>
  <c r="N447" i="3"/>
  <c r="O384" i="3"/>
  <c r="N384" i="3"/>
  <c r="O344" i="3"/>
  <c r="N344" i="3"/>
  <c r="O475" i="3"/>
  <c r="N475" i="3"/>
  <c r="O354" i="3"/>
  <c r="N354" i="3"/>
  <c r="O439" i="3"/>
  <c r="N439" i="3"/>
  <c r="O609" i="3"/>
  <c r="N609" i="3"/>
  <c r="O402" i="3"/>
  <c r="N402" i="3"/>
  <c r="O292" i="3"/>
  <c r="N292" i="3"/>
  <c r="O413" i="3"/>
  <c r="N413" i="3"/>
  <c r="O468" i="3"/>
  <c r="N468" i="3"/>
  <c r="O449" i="3"/>
  <c r="N449" i="3"/>
  <c r="O293" i="3"/>
  <c r="N293" i="3"/>
  <c r="O470" i="3"/>
  <c r="N470" i="3"/>
  <c r="O323" i="3"/>
  <c r="N323" i="3"/>
  <c r="O400" i="3"/>
  <c r="N400" i="3"/>
  <c r="O335" i="3"/>
  <c r="N335" i="3"/>
  <c r="O460" i="3"/>
  <c r="N460" i="3"/>
  <c r="O526" i="3"/>
  <c r="O378" i="3"/>
  <c r="N378" i="3"/>
  <c r="O472" i="3"/>
  <c r="N472" i="3"/>
  <c r="O363" i="3"/>
  <c r="N363" i="3"/>
  <c r="O301" i="3"/>
  <c r="N301" i="3"/>
  <c r="O527" i="3"/>
  <c r="N527" i="3"/>
  <c r="O370" i="3"/>
  <c r="N370" i="3"/>
  <c r="O532" i="3"/>
  <c r="N532" i="3"/>
  <c r="O338" i="3"/>
  <c r="N338" i="3"/>
  <c r="O336" i="3"/>
  <c r="N336" i="3"/>
  <c r="O469" i="3"/>
  <c r="N469" i="3"/>
  <c r="O362" i="3"/>
  <c r="N362" i="3"/>
  <c r="O610" i="3"/>
  <c r="N610" i="3"/>
  <c r="O296" i="3"/>
  <c r="N296" i="3"/>
  <c r="O599" i="3"/>
  <c r="N599" i="3"/>
  <c r="O444" i="3"/>
  <c r="N444" i="3"/>
  <c r="O210" i="3"/>
  <c r="O392" i="3"/>
  <c r="N392" i="3"/>
  <c r="O372" i="3"/>
  <c r="N372" i="3"/>
  <c r="O405" i="3"/>
  <c r="N405" i="3"/>
  <c r="O373" i="3"/>
  <c r="N373" i="3"/>
  <c r="O412" i="3"/>
  <c r="N412" i="3"/>
  <c r="O368" i="3"/>
  <c r="N368" i="3"/>
  <c r="O414" i="3"/>
  <c r="N414" i="3"/>
  <c r="O306" i="3"/>
  <c r="N306" i="3"/>
  <c r="O289" i="3"/>
  <c r="N289" i="3"/>
  <c r="O369" i="3"/>
  <c r="N369" i="3"/>
  <c r="O474" i="3"/>
  <c r="N474" i="3"/>
  <c r="O339" i="3"/>
  <c r="N339" i="3"/>
  <c r="O502" i="3"/>
  <c r="N502" i="3"/>
  <c r="O406" i="3"/>
  <c r="N406" i="3"/>
  <c r="O455" i="3"/>
  <c r="N455" i="3"/>
  <c r="O355" i="3"/>
  <c r="N355" i="3"/>
  <c r="O313" i="3"/>
  <c r="N313" i="3"/>
  <c r="O353" i="3"/>
  <c r="N353" i="3"/>
  <c r="O321" i="3"/>
  <c r="N321" i="3"/>
  <c r="O393" i="3"/>
  <c r="N393" i="3"/>
  <c r="O463" i="3"/>
  <c r="N463" i="3"/>
  <c r="O345" i="3"/>
  <c r="N345" i="3"/>
  <c r="O434" i="3"/>
  <c r="N434" i="3"/>
  <c r="O367" i="3"/>
  <c r="N367" i="3"/>
  <c r="O458" i="3"/>
  <c r="N458" i="3"/>
  <c r="O377" i="3"/>
  <c r="N377" i="3"/>
  <c r="O348" i="3"/>
  <c r="N348" i="3"/>
  <c r="O366" i="3"/>
  <c r="N366" i="3"/>
  <c r="O485" i="3"/>
  <c r="N485" i="3"/>
  <c r="O410" i="3"/>
  <c r="N410" i="3"/>
  <c r="O443" i="3"/>
  <c r="N443" i="3"/>
  <c r="O461" i="3"/>
  <c r="N461" i="3"/>
  <c r="O326" i="3"/>
  <c r="N326" i="3"/>
  <c r="O476" i="3"/>
  <c r="N476" i="3"/>
  <c r="O488" i="3"/>
  <c r="N488" i="3"/>
  <c r="O499" i="3"/>
  <c r="N499" i="3"/>
  <c r="O307" i="3"/>
  <c r="N307" i="3"/>
  <c r="O342" i="3"/>
  <c r="N342" i="3"/>
  <c r="O464" i="3"/>
  <c r="N464" i="3"/>
  <c r="O445" i="3"/>
  <c r="N445" i="3"/>
  <c r="O315" i="3"/>
  <c r="N315" i="3"/>
  <c r="O375" i="3"/>
  <c r="N375" i="3"/>
  <c r="O286" i="3"/>
  <c r="N286" i="3"/>
  <c r="O473" i="3"/>
  <c r="N473" i="3"/>
  <c r="O431" i="3"/>
  <c r="N431" i="3"/>
  <c r="O371" i="3"/>
  <c r="N371" i="3"/>
  <c r="O451" i="3"/>
  <c r="N451" i="3"/>
  <c r="O399" i="3"/>
  <c r="N399" i="3"/>
  <c r="O365" i="3"/>
  <c r="N365" i="3"/>
  <c r="O454" i="3"/>
  <c r="N454" i="3"/>
  <c r="O329" i="3"/>
  <c r="N329" i="3"/>
  <c r="O501" i="3"/>
  <c r="N501" i="3"/>
  <c r="O356" i="3"/>
  <c r="N356" i="3"/>
  <c r="O334" i="3"/>
  <c r="N334" i="3"/>
  <c r="O433" i="3"/>
  <c r="N433" i="3"/>
  <c r="O309" i="3"/>
  <c r="N309" i="3"/>
  <c r="O409" i="3"/>
  <c r="N409" i="3"/>
  <c r="O320" i="3"/>
  <c r="N320" i="3"/>
  <c r="O408" i="3"/>
  <c r="N408" i="3"/>
  <c r="O314" i="3"/>
  <c r="N314" i="3"/>
  <c r="O462" i="3"/>
  <c r="N462" i="3"/>
  <c r="O376" i="3"/>
  <c r="N376" i="3"/>
  <c r="O436" i="3"/>
  <c r="N436" i="3"/>
  <c r="O324" i="3"/>
  <c r="N324" i="3"/>
  <c r="O352" i="3"/>
  <c r="N352" i="3"/>
  <c r="O403" i="3"/>
  <c r="N403" i="3"/>
  <c r="O398" i="3"/>
  <c r="N398" i="3"/>
  <c r="O310" i="3"/>
  <c r="N310" i="3"/>
  <c r="O429" i="3"/>
  <c r="N429" i="3"/>
  <c r="O435" i="3"/>
  <c r="N435" i="3"/>
  <c r="O441" i="3"/>
  <c r="N441" i="3"/>
  <c r="O427" i="3"/>
  <c r="N427" i="3"/>
  <c r="O471" i="3"/>
  <c r="N471" i="3"/>
  <c r="O331" i="3"/>
  <c r="N331" i="3"/>
  <c r="G13"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tc={86A04194-9E21-46A6-9F88-B07A42460C86}</author>
    <author>tc={872E8AFC-124A-4F09-9EA8-60DAEE88C7FD}</author>
    <author>tc={05AB8759-F305-40B2-988C-37BD5E907DD9}</author>
  </authors>
  <commentList>
    <comment ref="G115" authorId="0" shapeId="0" xr:uid="{86A04194-9E21-46A6-9F88-B07A42460C86}">
      <text>
        <t>[Comentario encadenado]
Su versión de Excel le permite leer este comentario encadenado; sin embargo, las ediciones que se apliquen se quitarán si el archivo se abre en una versión más reciente de Excel. Más información: https://go.microsoft.com/fwlink/?linkid=870924
Comentario:
    Si existe el documento diferente al formato que se tiene pero en el momento no se esta utilizando, es necesario modificarlo para el uso</t>
      </text>
    </comment>
    <comment ref="G201" authorId="1" shapeId="0" xr:uid="{872E8AFC-124A-4F09-9EA8-60DAEE88C7FD}">
      <text>
        <t>[Comentario encadenado]
Su versión de Excel le permite leer este comentario encadenado; sin embargo, las ediciones que se apliquen se quitarán si el archivo se abre en una versión más reciente de Excel. Más información: https://go.microsoft.com/fwlink/?linkid=870924
Comentario:
    Es necesario buscar alternativas para obtener esta información.</t>
      </text>
    </comment>
    <comment ref="M248" authorId="2" shapeId="0" xr:uid="{05AB8759-F305-40B2-988C-37BD5E907DD9}">
      <text>
        <t>[Comentario encadenado]
Su versión de Excel le permite leer este comentario encadenado; sin embargo, las ediciones que se apliquen se quitarán si el archivo se abre en una versión más reciente de Excel. Más información: https://go.microsoft.com/fwlink/?linkid=870924
Comentario:
    FECHA 2 VR. 13/04/2022</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9EC9D3-E0D1-46E0-A193-E47432D97544}" keepAlive="1" name="Consulta - Arreglo Binaps" description="Conexión a la consulta 'Arreglo Binaps' en el libro." type="5" refreshedVersion="8" background="1" saveData="1">
    <dbPr connection="Provider=Microsoft.Mashup.OleDb.1;Data Source=$Workbook$;Location=&quot;Arreglo Binaps&quot;;Extended Properties=&quot;&quot;" command="SELECT * FROM [Arreglo Binaps]"/>
  </connection>
  <connection id="2" xr16:uid="{B84AFD34-208D-4331-AA34-4F58BBB284E8}" keepAlive="1" name="Consulta - Libromaestro" description="Conexión a la consulta 'Libromaestro' en el libro." type="5" refreshedVersion="0" background="1" saveData="1">
    <dbPr connection="Provider=Microsoft.Mashup.OleDb.1;Data Source=$Workbook$;Location=Libromaestro;Extended Properties=&quot;&quot;" command="SELECT * FROM [Libromaestro]"/>
  </connection>
</connections>
</file>

<file path=xl/sharedStrings.xml><?xml version="1.0" encoding="utf-8"?>
<sst xmlns="http://schemas.openxmlformats.org/spreadsheetml/2006/main" count="20627" uniqueCount="2745">
  <si>
    <t>MACROPROCESO</t>
  </si>
  <si>
    <t>UNIDAD DE NEGOCIO</t>
  </si>
  <si>
    <t>SIGLAS</t>
  </si>
  <si>
    <t>PROCESOS</t>
  </si>
  <si>
    <t>T. DOC</t>
  </si>
  <si>
    <t>MANEJO DEL DOCUMENTO</t>
  </si>
  <si>
    <t>APROBADO</t>
  </si>
  <si>
    <t>Gestión Alumbrado Público e Iluminación</t>
  </si>
  <si>
    <t>Alumbrado Público</t>
  </si>
  <si>
    <t>AOM</t>
  </si>
  <si>
    <t>Caracterización</t>
  </si>
  <si>
    <t>Físico</t>
  </si>
  <si>
    <t>SI</t>
  </si>
  <si>
    <t>Gestión Administrativa</t>
  </si>
  <si>
    <t>Corporativa</t>
  </si>
  <si>
    <t>Atención al usuario</t>
  </si>
  <si>
    <t>Formato</t>
  </si>
  <si>
    <t>Físico talonario</t>
  </si>
  <si>
    <t>NO</t>
  </si>
  <si>
    <t>Gestión Estratégica</t>
  </si>
  <si>
    <t>Electroingeniería</t>
  </si>
  <si>
    <t>Activos Fijos</t>
  </si>
  <si>
    <t>Guía</t>
  </si>
  <si>
    <t>Ambos</t>
  </si>
  <si>
    <t>Gestión Financiera</t>
  </si>
  <si>
    <t>Corportativa</t>
  </si>
  <si>
    <t>Calidad</t>
  </si>
  <si>
    <t>Instructivo</t>
  </si>
  <si>
    <t>Virtual</t>
  </si>
  <si>
    <t>Gestión Cumplimiento</t>
  </si>
  <si>
    <t>Cartera</t>
  </si>
  <si>
    <t>Manual</t>
  </si>
  <si>
    <t>Gestión Humana</t>
  </si>
  <si>
    <t>Cierre</t>
  </si>
  <si>
    <t>Procedimiento</t>
  </si>
  <si>
    <t>Gestión Juridica</t>
  </si>
  <si>
    <t>Compras</t>
  </si>
  <si>
    <t>Política</t>
  </si>
  <si>
    <t>Gestión Mejora Continua</t>
  </si>
  <si>
    <t>Auditoría</t>
  </si>
  <si>
    <t>Protocolo</t>
  </si>
  <si>
    <t>Gestión Proyectos</t>
  </si>
  <si>
    <t>Proyectos</t>
  </si>
  <si>
    <t>Direccionamiento estratégico</t>
  </si>
  <si>
    <t>Plan</t>
  </si>
  <si>
    <t>Gestión Suministros</t>
  </si>
  <si>
    <t>Suministros</t>
  </si>
  <si>
    <t>Ejecución</t>
  </si>
  <si>
    <t>Programa</t>
  </si>
  <si>
    <t>Gestión Contable</t>
  </si>
  <si>
    <t>Gestion documental</t>
  </si>
  <si>
    <t>Gestión humana</t>
  </si>
  <si>
    <t>Iluminación</t>
  </si>
  <si>
    <t>Logística AP</t>
  </si>
  <si>
    <t>Logística suministros</t>
  </si>
  <si>
    <t>Mantenimiento e infraestructura</t>
  </si>
  <si>
    <t>Medio ambiente</t>
  </si>
  <si>
    <t>Nomina</t>
  </si>
  <si>
    <t>Planeación</t>
  </si>
  <si>
    <t>Seguridad y salud en el trabajo</t>
  </si>
  <si>
    <t>Servicios generales</t>
  </si>
  <si>
    <t>SIG</t>
  </si>
  <si>
    <t>Sistemas</t>
  </si>
  <si>
    <t>Ventas</t>
  </si>
  <si>
    <t>LIBRO MAESTRO DE DOCUMENTOS</t>
  </si>
  <si>
    <t xml:space="preserve">UNIDAD DE NEGOCIO </t>
  </si>
  <si>
    <t>PROCESO</t>
  </si>
  <si>
    <t>TIPO DE DOCUMENTO</t>
  </si>
  <si>
    <t>CONSECUTIVO</t>
  </si>
  <si>
    <t>CODIGO DEL DOCUMENTO</t>
  </si>
  <si>
    <t>NOMBRE DEL DOCUMENTO</t>
  </si>
  <si>
    <t>VERSIÓN</t>
  </si>
  <si>
    <t>ESTADO</t>
  </si>
  <si>
    <t xml:space="preserve">FECHA DE CREACIÓN </t>
  </si>
  <si>
    <t>FECHA DE ACTUALIZACIÓN</t>
  </si>
  <si>
    <t>FECHA DE VIGENCIA HASTA</t>
  </si>
  <si>
    <t>FECHA DE REVISIÓN</t>
  </si>
  <si>
    <t>FECHA DE APROBACIÓN</t>
  </si>
  <si>
    <t>DOCUMENTOS RELACIONADOS</t>
  </si>
  <si>
    <t>NORMATIVIDAD RELACIONADA</t>
  </si>
  <si>
    <t xml:space="preserve">MANEJO DEL DOCUMENTO </t>
  </si>
  <si>
    <t>OBSERVACIONES</t>
  </si>
  <si>
    <t>Mantenimiento e Infraestructura</t>
  </si>
  <si>
    <t>Orden de abastecimiento de combustible</t>
  </si>
  <si>
    <t>Guía para la creación de cuentas corporativas de correo electrónico</t>
  </si>
  <si>
    <t>Instructivo para conexión a video proyectores</t>
  </si>
  <si>
    <t>Manual de gestión documental</t>
  </si>
  <si>
    <t>Caracterización del proceso</t>
  </si>
  <si>
    <t>Solicitudes Generales de Alumbrado Público</t>
  </si>
  <si>
    <t>A-PR-3 Procedimiento FPQRS Alumbrado público</t>
  </si>
  <si>
    <t>Contiene desarrollo sencillo de VBA</t>
  </si>
  <si>
    <t>Guía para el correcto uso de literales y tipos de solicitudes</t>
  </si>
  <si>
    <t>Instructivo para inserción de mapas base en la herramienta AUTOCAD</t>
  </si>
  <si>
    <t>Manual para visitas y levantamientos técnicos</t>
  </si>
  <si>
    <t>D-FT-2 Chequeo pre y post operacional de la motocicleta, A-FT-5 Registro de variables fotometricas, A-FT-8 Visita técnica, A-FT-9 Levantamiento técnico, A-FT-32 Codificación de individuos árboreos, A-FT-38 Registro de información de variables para levantamientos técnicos, A-FT-39 Lista de chequeo para levantamientos técnicos, A-MA-7 Manual para levantamientos técnicos con dron.</t>
  </si>
  <si>
    <t>Política de medio ambiente</t>
  </si>
  <si>
    <t>Mancheta levantamiento técnico</t>
  </si>
  <si>
    <t>Protocolo de atención al usuario de alumbrado público</t>
  </si>
  <si>
    <t>Legalización avances de gestión</t>
  </si>
  <si>
    <t>Reintrego de caja menor</t>
  </si>
  <si>
    <t>Guía de requerimientos contables para contratistas</t>
  </si>
  <si>
    <t>Manual de legalización avances de gestión y política de gastos</t>
  </si>
  <si>
    <t>Lista de documentos para accionistas</t>
  </si>
  <si>
    <t>Perfilamiento Factor de Riesgos Clientes SAGRILAFT</t>
  </si>
  <si>
    <t>Perfilamiento Factor de Riesgos Proveedores SAGRILAFT</t>
  </si>
  <si>
    <t>Programa de Transparencia y Ética Empresarial PTEE</t>
  </si>
  <si>
    <t>Política del sistema de administración de riesgo de SAGRILAFT</t>
  </si>
  <si>
    <t>Procedimiento de debida diligencia de contrapartes SAGRILAFT y PTEE</t>
  </si>
  <si>
    <t>Manual de buen gobierno corporativo</t>
  </si>
  <si>
    <t>Política para la gestión del riesgo de Fraude, Soborno y Corrupción</t>
  </si>
  <si>
    <t>Solicitud de compras o contrataciones mayores</t>
  </si>
  <si>
    <t>Procedimiento creación de presupuestos (P.C.P.)</t>
  </si>
  <si>
    <t>Solicitud de personal</t>
  </si>
  <si>
    <t>H-PR-1 Procedimiento para selección y contratación de personal</t>
  </si>
  <si>
    <t>Guía para la gestión del cambio en el sistema de gestión de seguridad y salud en el trabajo</t>
  </si>
  <si>
    <t>Seguimiento a recomendaciones médico laborales o generales</t>
  </si>
  <si>
    <t>Manual para el uso del uniforme</t>
  </si>
  <si>
    <t>Reporte de daños, incidentes, actos o condiciones inseguras</t>
  </si>
  <si>
    <t>Política de desconexión laboral</t>
  </si>
  <si>
    <t>Procedimiento para selección y contratación de personal</t>
  </si>
  <si>
    <t>Protocolo de bioseguridad</t>
  </si>
  <si>
    <t>Matriz para seguimiento de contrato</t>
  </si>
  <si>
    <t>Libro maestro de documentos</t>
  </si>
  <si>
    <t>Guía general para la gestión documental del sistema de gestión de calidad</t>
  </si>
  <si>
    <t>Instructivo para el diseño y visualización de formatos en el ERP</t>
  </si>
  <si>
    <t>Manual de calidad</t>
  </si>
  <si>
    <t>Plan de comunicaciones</t>
  </si>
  <si>
    <t>Política de calidad</t>
  </si>
  <si>
    <t>Procedimiento de inventario y ajustes de activos corrientes</t>
  </si>
  <si>
    <t>Guía para elaboración de propuesta comercial</t>
  </si>
  <si>
    <t>Caracterización de proceso</t>
  </si>
  <si>
    <t>Análisis financiero para persona jurídica</t>
  </si>
  <si>
    <t>Guía para la gestión de pedidos de ventas</t>
  </si>
  <si>
    <t>Instructivo para la creación de código de barras</t>
  </si>
  <si>
    <t>Política de despacho</t>
  </si>
  <si>
    <t>Procedimiento de compras de suministros eléctricos</t>
  </si>
  <si>
    <t>Protocolo de atención al cliente de Suministros Electricos</t>
  </si>
  <si>
    <t>Chequeo Pre y Pos operacional de la motocicleta</t>
  </si>
  <si>
    <t>Programa de Seguridad Vial</t>
  </si>
  <si>
    <t>Guía para la carga masiva de activos fijos en el ERP</t>
  </si>
  <si>
    <t>Instructivo para la Creación de Activos Fijos en el ERP</t>
  </si>
  <si>
    <t>Manual de valoración documental</t>
  </si>
  <si>
    <t>Bitácora de actividades de la grúa</t>
  </si>
  <si>
    <t>Plantilla para presentación de plano diseño fotométrico</t>
  </si>
  <si>
    <t>Guía para recorrido Interdisciplinar</t>
  </si>
  <si>
    <t>Instructivo para creación de bases de datos fotométricos en programa Litestar</t>
  </si>
  <si>
    <t>Codificación de individuos arbóreos existentes</t>
  </si>
  <si>
    <t>Instructivo para la conversión de Luminarias/Interdistancias a Scripts de AutoCAD (.scr).</t>
  </si>
  <si>
    <t>Guía para el manejo de la ruta virtual de almacenamiento de las entradas (EMOV)</t>
  </si>
  <si>
    <t>Guía para Guardar soporte del comprobante de egreso por bancos</t>
  </si>
  <si>
    <t>Instructivo para el manejo de las tarjetas debito prepago</t>
  </si>
  <si>
    <t>Conciliacion de fiducias</t>
  </si>
  <si>
    <t>Formulario declaración de origen de fondos</t>
  </si>
  <si>
    <t>Perfilamiento Factor de Riesgos Trabajadores SAGRILAFT</t>
  </si>
  <si>
    <t>Política de denuncias y protección al denunciante</t>
  </si>
  <si>
    <t>Procedimiento para la actualización de información de contrapartes de SAGRILAFT y PTEE</t>
  </si>
  <si>
    <t>Política de compras de bienes, servicios u honorarios</t>
  </si>
  <si>
    <t>Proyección presupuestal</t>
  </si>
  <si>
    <t>Procedimiento auditoria y control presupuestal</t>
  </si>
  <si>
    <t>Datos personales de empleados</t>
  </si>
  <si>
    <t>Guía para la identificación del peligro, evaluación, valoración y control de los riesgos en seguridad vial.</t>
  </si>
  <si>
    <t>Instructivo para uso de escaleras portátiles</t>
  </si>
  <si>
    <t>Inspección de equipos para trabajo en alturas</t>
  </si>
  <si>
    <t>Política de prevención de consumo de tabaco y sustancias psicoactivas</t>
  </si>
  <si>
    <t>Procedimiento permisos y desplazamientos</t>
  </si>
  <si>
    <t>Protocolo de llamada a entrevista</t>
  </si>
  <si>
    <t>Pólizas de cumplimiento y responsabilidad civil</t>
  </si>
  <si>
    <t>Seguimiento de cumplimiento de pólizas</t>
  </si>
  <si>
    <t>Solicitud para la elaboración, modificación o anulación de documentos</t>
  </si>
  <si>
    <t>Guía de estilo y formato para documentos del sistema de gestión de calidad</t>
  </si>
  <si>
    <t>Instructivo para la creación de documentos en el software Binaps</t>
  </si>
  <si>
    <t>Manual de identidad corporativa</t>
  </si>
  <si>
    <t>Procedimiento planificación y control de los cambios</t>
  </si>
  <si>
    <t>Orden de trabajo y/o entrega de obra</t>
  </si>
  <si>
    <t>Orden de Compra Nacional</t>
  </si>
  <si>
    <t>Guía para el embalaje y rotulación de mercancía</t>
  </si>
  <si>
    <t>Instructivo para registrar entradas desde órdenes de compra en ERP</t>
  </si>
  <si>
    <t>Politica de recepción de mercancia</t>
  </si>
  <si>
    <t>Chequeo Pre y Pos operacional del vehículo</t>
  </si>
  <si>
    <t>Guía para el correcto diligenciamiento del rótulo de carpetas y cajas</t>
  </si>
  <si>
    <t>Instructivo para la generación de archivo plano y registro masivo de activos fijos en el ERP</t>
  </si>
  <si>
    <t>Manual de custodia y consulta documental</t>
  </si>
  <si>
    <t>Reporte de daños</t>
  </si>
  <si>
    <t>A-PR-4 Procedimiento de recepción y atención a reporte de daños</t>
  </si>
  <si>
    <t>Guía para el proceso de Inspección RETILAP (Vial)</t>
  </si>
  <si>
    <t>Instructivo para creación de librerias en el programa Ulysse</t>
  </si>
  <si>
    <t>Instructivo para copiar formularios y simbologías en ArcGIS Online con ArcGIS Assistant</t>
  </si>
  <si>
    <t>Procedimiento atención FPQR´S alumbrado público</t>
  </si>
  <si>
    <t>Depreciación y amortización de activos</t>
  </si>
  <si>
    <t>Manejo de caja menor</t>
  </si>
  <si>
    <t>Matriz de riesgos</t>
  </si>
  <si>
    <t>Guía para la identificación de señales de alerta PTEE</t>
  </si>
  <si>
    <t>Perfilamiento Factor de Riesgos Trabajadores PTEE</t>
  </si>
  <si>
    <t>Resumen general de municipios</t>
  </si>
  <si>
    <t>Procedimiento de analisis de ingresos (Proyectos nuevos)</t>
  </si>
  <si>
    <t>Documentación de ingreso e historia laboral</t>
  </si>
  <si>
    <t>Guía general para la toma e interpretación de mediciones de alcohol en aire espirado</t>
  </si>
  <si>
    <t>Instructivo para liquidación de vacaciones</t>
  </si>
  <si>
    <t>Manual de procedimientos del programa de rehabilitación integral para la reincorporación laboral y ocupacional</t>
  </si>
  <si>
    <t>Investigación de incidentes o accidentes de trabajo</t>
  </si>
  <si>
    <t>Procedimiento ausentismo laboral</t>
  </si>
  <si>
    <t>Evaluación de inducción y reinducción Calidad y Medio Ambiente</t>
  </si>
  <si>
    <t>Guía para la elaboración de flujogramas en procedimientos del sistema de gestión de calidad</t>
  </si>
  <si>
    <t>Instructivo para la gestión de tareas documentales: lectura, revisión y aprobación en Binaps</t>
  </si>
  <si>
    <t>Manual para la gestión del riesgo</t>
  </si>
  <si>
    <t>Política de caja menor</t>
  </si>
  <si>
    <t>Vigencia de certificados</t>
  </si>
  <si>
    <t>Guía para el correcto almacenamiento de mercancía</t>
  </si>
  <si>
    <t>Instructivo para la consulta de solicitudes de compra desde pedidos en el ERP</t>
  </si>
  <si>
    <t>Política de devolución de mercancía en venta</t>
  </si>
  <si>
    <t>Chequeo Pre y Pos operacional de la grúa</t>
  </si>
  <si>
    <t>Formulario de Forms</t>
  </si>
  <si>
    <t>Procedimiento de entrega y reintegro de vehículos</t>
  </si>
  <si>
    <t>Registro de mantenimiento de luminarias</t>
  </si>
  <si>
    <t>Guía para el Direccionamiento de Proyectores en Escenarios deportivos</t>
  </si>
  <si>
    <t>Instructivo para el diseño de iluminación de áreas libres en Litestar</t>
  </si>
  <si>
    <t>Manual de gestión y atención al usuario</t>
  </si>
  <si>
    <t>Instructivo para la impresión de planos en la herramienta AutoCAD</t>
  </si>
  <si>
    <t>Guía para consultas dinámicas o Flex en SIESA</t>
  </si>
  <si>
    <t>Instructivo para la descarga de documentos enviados y recibidos desde la plataforma de la DIAN</t>
  </si>
  <si>
    <t>Parametrización de conceptos contables en siesa</t>
  </si>
  <si>
    <t>Formulario de datos personales de accionistas y miembros de junta directiva</t>
  </si>
  <si>
    <t>Guía para la consulta de contrapartes en listas vinculantes y restrictivas</t>
  </si>
  <si>
    <t>Perfilamiento Factor de Riesgos Accionistas PTEE</t>
  </si>
  <si>
    <t>Presupuesto por departamentos</t>
  </si>
  <si>
    <t>Procedimiento de analisis de proyectos concesionados</t>
  </si>
  <si>
    <t>Permisos laborales</t>
  </si>
  <si>
    <t>Instructivo para liquidación de contrato</t>
  </si>
  <si>
    <t>Manual evaluación por competencias</t>
  </si>
  <si>
    <t>Política tratamiento de datos personales</t>
  </si>
  <si>
    <t>Procedimiento evaluación de desempeño</t>
  </si>
  <si>
    <t>Instructivo para acceso y visualización de documentos en el aplicativo Binaps</t>
  </si>
  <si>
    <t>Procedimiento para abordar riesgos y oportunidades</t>
  </si>
  <si>
    <t>Presupuestos para proyectos de alumbrado público</t>
  </si>
  <si>
    <t>Orden de Compra/ Servicio (Manual)</t>
  </si>
  <si>
    <t>Guía para la formulación de un plan de negocios de importación</t>
  </si>
  <si>
    <t>Instructivo para devolución de mercancía en compra en el ERP</t>
  </si>
  <si>
    <t>Política de corte de cable</t>
  </si>
  <si>
    <t xml:space="preserve">Chequeo pos operacional del vehiculo </t>
  </si>
  <si>
    <t>Chequeo pos operacional motocicleta</t>
  </si>
  <si>
    <t>Diccionario de datos</t>
  </si>
  <si>
    <t>Guía para el correcto embalaje y/o almacenamiento de luces navideñas</t>
  </si>
  <si>
    <t>Instructivo para diseño de perfiles viales en el programa de Ulysse</t>
  </si>
  <si>
    <t>Manual de censo para la infraestructura electrica</t>
  </si>
  <si>
    <t>Factura de venta de talonario o de papel</t>
  </si>
  <si>
    <t>Instructivo para la consulta de movimientos contables en el ERP</t>
  </si>
  <si>
    <t>Proceso de causacion en general</t>
  </si>
  <si>
    <t>Acta de compromiso SAGRILAFT</t>
  </si>
  <si>
    <t>Perfilamiento Factor de Riesgos Clientes PTEE</t>
  </si>
  <si>
    <t>Procedimiento de reportes internos y externos SAGRILAFT y PTEE.</t>
  </si>
  <si>
    <t>Información básica general para nuevos proyectos de alumbrado público y/o municipios</t>
  </si>
  <si>
    <t>Procedimiento para la elaboración de un flujo financiero de proyectos de concesiones</t>
  </si>
  <si>
    <t>Autorización de desplazamiento</t>
  </si>
  <si>
    <t>Instructivo para liquidación nómina quincenal</t>
  </si>
  <si>
    <t>Permiso para trabajos de alto riesgo/Lista de chequeo TSA</t>
  </si>
  <si>
    <t>Informe de auditoría interna</t>
  </si>
  <si>
    <t>Instructivo de uso de la consola administrativa de binaps: gestión de usuarios, cargos, procesos y permisos</t>
  </si>
  <si>
    <t>Manual para la conformación de comités</t>
  </si>
  <si>
    <t>Análisis de Compra</t>
  </si>
  <si>
    <t>Instructivo para devolucion de venta en el ERP</t>
  </si>
  <si>
    <t>Politica de garantías</t>
  </si>
  <si>
    <t>Entrega o préstamo de equipos tecnológicos</t>
  </si>
  <si>
    <t>Procedimiento para el registro de activos fijos en el ERP</t>
  </si>
  <si>
    <t>Reporte de daños y reclamaciones</t>
  </si>
  <si>
    <t>Guía para el correcto diligenciamiento y revisión de la planilla de terreno</t>
  </si>
  <si>
    <t>Instructivo para el diseño de iluminación de áreas libres en el programa de Ulysse</t>
  </si>
  <si>
    <t>Manual para la generación de productos fotogramétricos</t>
  </si>
  <si>
    <t>Procedimiento de recepción y atención a reporte de daños y reclamaciones</t>
  </si>
  <si>
    <t>Factura Electrónica de Venta</t>
  </si>
  <si>
    <t>Instructivo para generación de acuse a las facturas de proveedores en el sistema SIESA E-Invoicing</t>
  </si>
  <si>
    <t>Instructivo para la solicitud y gestión de resoluciones de documentos electrónicos en la plataforma DIAN</t>
  </si>
  <si>
    <t>Acta de entrega manual de procedimientos SAGRILAFT</t>
  </si>
  <si>
    <t>Perfilamiento Factor de Riesgos Proveedores PTEE</t>
  </si>
  <si>
    <t>Procedimiento monitoreo de SAGRILAFT y PTEE</t>
  </si>
  <si>
    <t>Solicitud de adicción presupuestal por departamento</t>
  </si>
  <si>
    <t>Procedimiento analisis de ejecución financiera de un proyecto</t>
  </si>
  <si>
    <t>Paz y salvo</t>
  </si>
  <si>
    <t xml:space="preserve">H-PR-5 Procedimiento de Desvinculación Laboral </t>
  </si>
  <si>
    <t>Instructivo para consolidación mensual de prestaciones sociales</t>
  </si>
  <si>
    <t>Análisis de trabajo seguro ATS</t>
  </si>
  <si>
    <t>Procedimiento de inducción y reinducción</t>
  </si>
  <si>
    <t>Matriz de análisis de partes interesadas</t>
  </si>
  <si>
    <t>Cuenta de cobro a la unidad de negocios de Alumbrado Público</t>
  </si>
  <si>
    <t>Instructivo para la generación de notas de crédito desde devoluciones en el ERP</t>
  </si>
  <si>
    <t>Politíca de compras para el aprovisionamiento de inventario</t>
  </si>
  <si>
    <t>Procedimiento de alistamiento, entrega o despacho de mercancía</t>
  </si>
  <si>
    <t>Guía para la repotenciación de luminarias</t>
  </si>
  <si>
    <t>Instructivo para el diseño de iluminación de cachas en el programa Litestar</t>
  </si>
  <si>
    <t>Manual de censo fotométrico</t>
  </si>
  <si>
    <t>Procedimiento para recepción y almacenamiento de materiales en bodegas de alumbrado público</t>
  </si>
  <si>
    <t>Acta de constitución fondo de caja menor</t>
  </si>
  <si>
    <t>Instructivo para Consultar y Generar Informes Fiscales en el ERP</t>
  </si>
  <si>
    <t>Segmentación de canales y producto/servicios</t>
  </si>
  <si>
    <t>Procedimiento monitoreo de factores de riesgo</t>
  </si>
  <si>
    <t>Información general SIG</t>
  </si>
  <si>
    <t>Procedimiento para cobro de impuesto de alumbrado público por medio de facturación directa</t>
  </si>
  <si>
    <t>Entrega puesto de trabajo</t>
  </si>
  <si>
    <t>Instructivo para nómina electronica</t>
  </si>
  <si>
    <t>Política de bonificaciones</t>
  </si>
  <si>
    <t>Procedimiento de capacitación</t>
  </si>
  <si>
    <t>Requerimiento y control de material en obra</t>
  </si>
  <si>
    <t>Planilla de devolución de mercancía</t>
  </si>
  <si>
    <t>Instructivo para generar solicitudes de compras desde pedidos en el ERP</t>
  </si>
  <si>
    <t>Política de inactividad de crédito</t>
  </si>
  <si>
    <t>Procedimiento de devoluciones de ventas</t>
  </si>
  <si>
    <t>Visita técnica</t>
  </si>
  <si>
    <t xml:space="preserve">A-MA-1  Manual para visitas y levantamientos técnicos.
A-PR-2  Procedimiento para visita técnica y levantamiento técnico </t>
  </si>
  <si>
    <t>Guía para el manejo del programa DIALUX EVO 10,1</t>
  </si>
  <si>
    <t>Manual para la infraestructura eléctrica exclusiva del SALP</t>
  </si>
  <si>
    <t>Manual de digitalización de levantamientos técnicos</t>
  </si>
  <si>
    <t>Manual de recolección de información de campo en el programa GIS</t>
  </si>
  <si>
    <t>Acta de aumento o disminución del fondo fijo de caja menor</t>
  </si>
  <si>
    <t>Instructivo para la creación de notas contables por retención en el ERP</t>
  </si>
  <si>
    <t>Acuerdo de confidencialidad, asignación de usuarios y acceso a información</t>
  </si>
  <si>
    <t>Procedimiento para la elaboración y entrega de liquidación oficial de cobro de impuesto de alumbrado público</t>
  </si>
  <si>
    <t>Entrevista de retiro</t>
  </si>
  <si>
    <t>Instructivo para la autoliquiación de la seguridad social</t>
  </si>
  <si>
    <t>Política de vacaciones</t>
  </si>
  <si>
    <t>Inspección de herramientas eléctricas o neumáticas</t>
  </si>
  <si>
    <t>Confirmación de referencias comerciales</t>
  </si>
  <si>
    <t>Instructivo para la creación de clientes potenciales en el CRM</t>
  </si>
  <si>
    <t>Procedimiento de recepción de mercancía</t>
  </si>
  <si>
    <t>Entrega de Vehículos</t>
  </si>
  <si>
    <t>Levantamiento técnico</t>
  </si>
  <si>
    <t>Guía para la identificación de especies e intervenciones arbóreas</t>
  </si>
  <si>
    <t>Instructivo para la facturación de materiales de alumbrado público</t>
  </si>
  <si>
    <t>Manual para la facturación de materiales de alumbrado público</t>
  </si>
  <si>
    <t>Procedimiento para la entrega de materiales de alumbrado público</t>
  </si>
  <si>
    <t>Recibo de caja menor</t>
  </si>
  <si>
    <t>Acta de entrega programa de transparencia y ética empresarial - PTEE</t>
  </si>
  <si>
    <t>Procedimiento para gestión del cobro del impuesto de alumbrado público por medio de facturación directa</t>
  </si>
  <si>
    <t>Vale para alimentación</t>
  </si>
  <si>
    <t>Instructivo para la distribución de devengos</t>
  </si>
  <si>
    <t>Política de puertas abiertas</t>
  </si>
  <si>
    <t>Procedimiento reporte e investigación de incidentes y accidentes laborales</t>
  </si>
  <si>
    <t>Registro de Asistencia</t>
  </si>
  <si>
    <t>Solicitud de crédito</t>
  </si>
  <si>
    <t>Instructivo para la creación de cotizaciones en el CRM</t>
  </si>
  <si>
    <t>Procedimiento para la gestión de quejas y reclamos  por productos no conformes (garantías)</t>
  </si>
  <si>
    <t>Novedades de activos fijos</t>
  </si>
  <si>
    <t>Acta de entrega residuos ordinarios aprovechables</t>
  </si>
  <si>
    <t>Guía para el manejo y disposición de residuos sólidos con gestión diferenciada RAEE y de programas posconsumo</t>
  </si>
  <si>
    <t>Procedimiento banco de proyectos</t>
  </si>
  <si>
    <t>Manual para el adecuado manejo y disposición final de los residuos sólidos</t>
  </si>
  <si>
    <t>Procedimiento de facturación de materiales AP</t>
  </si>
  <si>
    <t>Datos personales PEP</t>
  </si>
  <si>
    <t>Inducción y reinducción</t>
  </si>
  <si>
    <t>Instructivo para la creación de empleado</t>
  </si>
  <si>
    <t>Matriz registro de exámenes medico ocupacionales</t>
  </si>
  <si>
    <t>Registro de hallazgos de auditoría - Base de datos maestra</t>
  </si>
  <si>
    <t>Pagaré a la orden y carta de instrucciones</t>
  </si>
  <si>
    <t>Instructivo para la creación de pedidos en el CRM</t>
  </si>
  <si>
    <t>Procedimiento de Selección y Evaluación de Proveedores</t>
  </si>
  <si>
    <t>Registro de correspondencia recibida y enviada</t>
  </si>
  <si>
    <t>Guía para la presentación de informes de intervenciones forestales</t>
  </si>
  <si>
    <t>Procedimiento para visita técnica y levantamiento técnico</t>
  </si>
  <si>
    <t>Lista de chequeo de documentos para debida diligencia intensificada de contrapartes</t>
  </si>
  <si>
    <t>Descripción del cargo</t>
  </si>
  <si>
    <t>Instructivo para prorrogas a contratos a término indefinido</t>
  </si>
  <si>
    <t>Procedimiento disciplinario</t>
  </si>
  <si>
    <t>Inspección de obras - Trabajo operativo</t>
  </si>
  <si>
    <t>Ficha de Proyecto</t>
  </si>
  <si>
    <t>Preaviso reporte a datacrédito</t>
  </si>
  <si>
    <t>Instructivo para el compromiso de pedidos en el ERP</t>
  </si>
  <si>
    <t>Procedimiento de ventas</t>
  </si>
  <si>
    <t>Registro de actividades de mensajería</t>
  </si>
  <si>
    <t>Registro de podas</t>
  </si>
  <si>
    <t>Guía para la identificación y evaluación de aspectos e impactos ambientales</t>
  </si>
  <si>
    <t>Procedimiento para el manejo y disposición de residuos sólidos con gestión diferenciada RAEE y de programas posconsumo</t>
  </si>
  <si>
    <t>Evaluación de inducción y reinducción SAGRILAFT y PTEE</t>
  </si>
  <si>
    <t>Autorización para trabajos extras en la empresa</t>
  </si>
  <si>
    <t>H-PR-12 Procedimiento de Nomina</t>
  </si>
  <si>
    <t>Instructivo para novedades de tiempo no laborado</t>
  </si>
  <si>
    <t>Instructivo para préstamos y cuotas fijas</t>
  </si>
  <si>
    <t>Validación de procedimientos del sistema de gestión de calidad</t>
  </si>
  <si>
    <t>Solicitud de garantía</t>
  </si>
  <si>
    <t>Instructivo para la facturación de pedidos a crédito en el ERP</t>
  </si>
  <si>
    <t>Control y hoja de vida de activos y equipos</t>
  </si>
  <si>
    <t>Relación de materiales para disposición final</t>
  </si>
  <si>
    <t>Procedimiento para manejo y disposición de residuos solidos ordinarios aprovechables y no aprovechables</t>
  </si>
  <si>
    <t>Guía metodológica para la gestión del riesgo integral de LA-FT-FPADM SAGRILAFT</t>
  </si>
  <si>
    <t>Control de incapacidades medicas</t>
  </si>
  <si>
    <t>Instructivo para transacciones</t>
  </si>
  <si>
    <t>Procedimiento plan carrera</t>
  </si>
  <si>
    <t>Plan de auditoría interna</t>
  </si>
  <si>
    <t>Análisis financiero para persona natural</t>
  </si>
  <si>
    <t>Instructivo para la conversión de mercancía en el ERP.</t>
  </si>
  <si>
    <t>Chequeo pos operacional turbo</t>
  </si>
  <si>
    <t>Guía para la identificación de señales de alerta por contrapartes y procesos</t>
  </si>
  <si>
    <t>Entrega de dotación</t>
  </si>
  <si>
    <t>Procedimiento de nómina</t>
  </si>
  <si>
    <t xml:space="preserve">Matriz inducción y reinducción contratistas </t>
  </si>
  <si>
    <t>Convenio de pago</t>
  </si>
  <si>
    <t>Instructivo para la realización de transferencias de mercancía en el ERP</t>
  </si>
  <si>
    <t>Procedimiento para el recuado de dinero</t>
  </si>
  <si>
    <t>Vale para transporte</t>
  </si>
  <si>
    <t>Correspondencia recibida y enviada</t>
  </si>
  <si>
    <t>A-PR-3 Procedimiento FPQRS Alumbrado público
A-MA-4 Manual de gestión y atención al usuario</t>
  </si>
  <si>
    <t>Guía metodológica para la gestión del riesgo del PTEE</t>
  </si>
  <si>
    <t>Autorización de tratamiento de datos personales</t>
  </si>
  <si>
    <t>H-PO-4 Política de tratamiento de datos personales</t>
  </si>
  <si>
    <t>Acta de compromiso para conducción de vehículos en misión de la empresa</t>
  </si>
  <si>
    <t>Normograma</t>
  </si>
  <si>
    <t>Aviso de cobro Pre-jurídico</t>
  </si>
  <si>
    <t>Instructivo para la creación de clientes y asignación de crédito en el ERP</t>
  </si>
  <si>
    <t>Procedimiento de traslado de materiales a la unidad de negocios de Alumbrado Público</t>
  </si>
  <si>
    <t>Tabla de retención documental</t>
  </si>
  <si>
    <t>Registro de instalaciones y retiros en el sistema de Alumbrado Público</t>
  </si>
  <si>
    <t>Procedimiento para la gestión de intervenciones arbóreas</t>
  </si>
  <si>
    <t>Metodología de segmentación de factores de riesgo</t>
  </si>
  <si>
    <t>Evaluación de inducción y reinducción SST</t>
  </si>
  <si>
    <t>H-PR-6 Procedimiento de Inducción y Reinducción</t>
  </si>
  <si>
    <t>Procedimiento de evaluación por competencias y planes de desarrollo</t>
  </si>
  <si>
    <t>Tabla central de indicadores</t>
  </si>
  <si>
    <t>Orden de Compra Importación</t>
  </si>
  <si>
    <t>Instructivo para la legalización de pagos por consignación en el ERP</t>
  </si>
  <si>
    <t>Manual de procedimiento SAGRILAFT</t>
  </si>
  <si>
    <t>Responsabilidades frente al SG-SST</t>
  </si>
  <si>
    <t>Chequeo preoperacional de motocicleta personal</t>
  </si>
  <si>
    <t>Aprobación de crédito</t>
  </si>
  <si>
    <t>Instructivo para generación de órdenes de compras en el ERP</t>
  </si>
  <si>
    <t>Formato unico de inventario documental</t>
  </si>
  <si>
    <t>Inspección del sistema de alumbrado público (S.A.P)</t>
  </si>
  <si>
    <t>Procedimiento de debida diligencia intensificada de contrapartes SAGRILAFT y PTEE</t>
  </si>
  <si>
    <t>Chequeo preoperacional del vehículo personal</t>
  </si>
  <si>
    <t>Procedimiento para el pago de cesantias, intereses a las cesantías o prima de servicios</t>
  </si>
  <si>
    <t>Acta de entrega</t>
  </si>
  <si>
    <t>Purchase Order Import</t>
  </si>
  <si>
    <t>Instructivo para ajustes de sobrecostos en compras en el ERP</t>
  </si>
  <si>
    <t>Control de ingreso de documentos</t>
  </si>
  <si>
    <t>Solicitud y entrega de materiales</t>
  </si>
  <si>
    <t>Procedimiento de atención a entes de control</t>
  </si>
  <si>
    <t>Instructivo para la identificación de peligros evaluación y valoración de los riesgos</t>
  </si>
  <si>
    <t>Procedimiento solicitud de vacaciones</t>
  </si>
  <si>
    <t>Devolución en venta</t>
  </si>
  <si>
    <t>Empleado en el ERP.</t>
  </si>
  <si>
    <t>Instructivo para la circularización de cartera en el ERP</t>
  </si>
  <si>
    <t>Rótulo de Carpetas</t>
  </si>
  <si>
    <t>Planilla de Terreno</t>
  </si>
  <si>
    <t>Procedimiento de varada</t>
  </si>
  <si>
    <t>Acta de reunión</t>
  </si>
  <si>
    <t>Devolución en compra</t>
  </si>
  <si>
    <t>Instructivo para la aprobación de pedidos en el ERP</t>
  </si>
  <si>
    <t>Rótulo de caja del archivo central</t>
  </si>
  <si>
    <t>Registro de materiales para mantenimiento</t>
  </si>
  <si>
    <t>Inspección de extintores</t>
  </si>
  <si>
    <t>Procedimiento de acciones correctivas y preventivas</t>
  </si>
  <si>
    <t>Indicadores y cálculos para cupo de crédito</t>
  </si>
  <si>
    <t>Instructivo para el seguimiento de documentos de cuentas por cobrar en el ERP</t>
  </si>
  <si>
    <t>Cronograma de limpieza</t>
  </si>
  <si>
    <t>Registro soporte de entrega, uso y devolución de materiales distintos a mantenimiento</t>
  </si>
  <si>
    <t>Pausas activas</t>
  </si>
  <si>
    <t>Procedimiento para la elaboración de certificados de ingresos y retenciones.</t>
  </si>
  <si>
    <t>Acta de conformación de comité</t>
  </si>
  <si>
    <t>Listado documental de crédito</t>
  </si>
  <si>
    <t>Préstamo de documentos</t>
  </si>
  <si>
    <t>Procedimiento para censos</t>
  </si>
  <si>
    <t>Permiso para trabajos de alto riesgo</t>
  </si>
  <si>
    <t>Procedimiento para la realización del pago de las obligaciones adquiridas por el trabajador con terceros.</t>
  </si>
  <si>
    <t>Solicitud de creación o renovación de comités</t>
  </si>
  <si>
    <t>Cotización</t>
  </si>
  <si>
    <t>Materiales para disposición final mensual</t>
  </si>
  <si>
    <t>Contiene desarrollo intermedio de VBA</t>
  </si>
  <si>
    <t>Inspección de botiquines y camillas</t>
  </si>
  <si>
    <t>Procedimiento de incapacidades</t>
  </si>
  <si>
    <t>Informe de resultados de inventarios</t>
  </si>
  <si>
    <t xml:space="preserve">C-P-1 Procedimiento de inventario y ajustes de activos corrientes </t>
  </si>
  <si>
    <t>Formulario datos de personas naturales en calidad de cliente</t>
  </si>
  <si>
    <t>Rutinas para el mantenimiento de vehículos</t>
  </si>
  <si>
    <t>Control de documentos enviados</t>
  </si>
  <si>
    <t>Entrevista de trabajo</t>
  </si>
  <si>
    <t>Manual de contratistas, subcontratistas y/o prestadores de servicios</t>
  </si>
  <si>
    <t>Acta de arqueo de caja menor</t>
  </si>
  <si>
    <t>Formulario datos de personas jurídicas en calidad de clientes</t>
  </si>
  <si>
    <t>Acta de entrega de archivo</t>
  </si>
  <si>
    <t>Matriz de aspectos e impactos ambientales</t>
  </si>
  <si>
    <t>Acta de diligencia de descargos</t>
  </si>
  <si>
    <t>H-PR-11 Procedimiento Disciplinario</t>
  </si>
  <si>
    <t>Procedimiento para presentación de quejas por vulneración del derecho a la desconexión laboral</t>
  </si>
  <si>
    <t>Requisicion de insumos, materiales y equipos</t>
  </si>
  <si>
    <t>Transferencia documental</t>
  </si>
  <si>
    <t>Lista de chequeo evaluación de proyectos de alumbrado público</t>
  </si>
  <si>
    <t>Plan anual de capacitación</t>
  </si>
  <si>
    <t>Procedimiento para habilitación de trabajo en casa</t>
  </si>
  <si>
    <t>Rótulo de caja del archivo histórico</t>
  </si>
  <si>
    <t>Programa de auditorías</t>
  </si>
  <si>
    <t>Procedimientos para realizar los aportes a la seguridad social (revisión y causación).</t>
  </si>
  <si>
    <t>Pagaré a la orden y carta de instrucciones (Consorcios o uniones temporales)</t>
  </si>
  <si>
    <t>Acta de eliminación de archivo</t>
  </si>
  <si>
    <t>Entrega y reposición de elementos de protección personal</t>
  </si>
  <si>
    <t>Provisiones de prestaciones sociales</t>
  </si>
  <si>
    <t>Formato de valoración documental</t>
  </si>
  <si>
    <t>Planilla de consumo</t>
  </si>
  <si>
    <t>Política de seguridad y salud en el trabajo</t>
  </si>
  <si>
    <t>Política de seguridad vial</t>
  </si>
  <si>
    <t>Transferencia de inventarios</t>
  </si>
  <si>
    <t>Inspección de seguridad</t>
  </si>
  <si>
    <t>Conversión de Productos (Ensamble de Kits)</t>
  </si>
  <si>
    <t>Procedimiento para codificación de infraestructura eléctrica del sistema de alumbrado público.</t>
  </si>
  <si>
    <t>Evaluación de desempeño laboral</t>
  </si>
  <si>
    <t>Orden de entrega</t>
  </si>
  <si>
    <t xml:space="preserve">Reglamento de higiene y seguridad industrial </t>
  </si>
  <si>
    <t>Pedido de Venta</t>
  </si>
  <si>
    <t>Procedimiento de identificación y manejo de elementos de protección personal</t>
  </si>
  <si>
    <t>Formulario datos de personas naturales en calidad de proveedor</t>
  </si>
  <si>
    <t>Inspección de escaleras</t>
  </si>
  <si>
    <t>Formulario datos de personas jurídicas en calidad de proveedor</t>
  </si>
  <si>
    <t>Hoja de vida de equipos para trabajo en alturas</t>
  </si>
  <si>
    <t>Entradas de Almacén</t>
  </si>
  <si>
    <t>Lista de chequeo documentación de SST para contratación de terceros</t>
  </si>
  <si>
    <t>Planilla de Cargue</t>
  </si>
  <si>
    <t>Matriz de acciones correctivas</t>
  </si>
  <si>
    <t>Requisición Interna</t>
  </si>
  <si>
    <t>Lista de chequeo para levantamientos técnicos en campo</t>
  </si>
  <si>
    <t>Documento usado en encuesta</t>
  </si>
  <si>
    <t>Matriz de acciones preventivas</t>
  </si>
  <si>
    <t>Lista de chequeo pre y pos operacional para manejo de equipo dron</t>
  </si>
  <si>
    <t>Procedimiento de contratación a terceros</t>
  </si>
  <si>
    <t>Ficha de registro contratistas y subcontratistas</t>
  </si>
  <si>
    <t>Entrevista previa a la medición con alcohosensor</t>
  </si>
  <si>
    <t>Lista de chequeo para uso de alcohosensor</t>
  </si>
  <si>
    <t>Inspección de Herramientas de mano o de impacto</t>
  </si>
  <si>
    <t>Lista de Chequeo Ergonómica</t>
  </si>
  <si>
    <t>Inspección de elementos de emergencia de vehículos</t>
  </si>
  <si>
    <t>Citación para diligencia de descargos laborales</t>
  </si>
  <si>
    <t>Entrevista vulneración del derecho a la desconexión laboral</t>
  </si>
  <si>
    <t>Control y registro de desplazamientos para visitas comerciales con terceros</t>
  </si>
  <si>
    <t>Solicitud de permiso no remunerado</t>
  </si>
  <si>
    <t>Acta de reincorporación socio laboral</t>
  </si>
  <si>
    <t>Seguimiento de reincorporación socio laboral</t>
  </si>
  <si>
    <t>Acta de cierre de recomendaciones médicas</t>
  </si>
  <si>
    <t>Análisis de tareas para alternativas de reincorporación socio laboral</t>
  </si>
  <si>
    <t>Base de datos casos médicos</t>
  </si>
  <si>
    <t>Lista de chequeo para la gestión del cambio frente al SG-SST</t>
  </si>
  <si>
    <t>Gestión del cambio para el SG-SST</t>
  </si>
  <si>
    <t>Matriz de identificación de peligros, evaluación y valoración del riesgos del sistema de gestión de seguridad y salud en el trabajo</t>
  </si>
  <si>
    <t>Matriz de identificación de peligros, evaluación, valoración y control de los riesgos de seguridad vial</t>
  </si>
  <si>
    <t>Actualización de datos personales de empleados</t>
  </si>
  <si>
    <t>Verificación de referencias laborales</t>
  </si>
  <si>
    <t>Evaluación izaje de cargas</t>
  </si>
  <si>
    <t>Hoja de vida de equipos de izajes de cargas</t>
  </si>
  <si>
    <t>Plan de izaje de cargas no critico con grúas</t>
  </si>
  <si>
    <t>Consentimiento informado para la toma de mediciones indirectas de alcoholemia a través de aire espirado</t>
  </si>
  <si>
    <t>Procedimiento del programa de reincorporación socio laboral</t>
  </si>
  <si>
    <t>Matriz de caracterización de accidentabilidad</t>
  </si>
  <si>
    <t>Acta de entrega de descripción del cargo</t>
  </si>
  <si>
    <t>Matriz de ausentismo</t>
  </si>
  <si>
    <t>Matriz registro de cursos</t>
  </si>
  <si>
    <t>Procedimiento para la identificación del peligro, evaluación, valoración y control de los riesgos en seguridad vial</t>
  </si>
  <si>
    <t>Matriz de requisitos legales en seguridad y salud en el trabajo</t>
  </si>
  <si>
    <t>Solicitud de vacaciones</t>
  </si>
  <si>
    <t>Matriz de equipos y elementos de protección personal</t>
  </si>
  <si>
    <t>Procedimiento para la toma de pruebas de alcoholemia</t>
  </si>
  <si>
    <t>Procedimiento de gestión de auditorías</t>
  </si>
  <si>
    <t>Procedimiento para la gestión del cambio en el sistema de seguridad y salud en el trabajo</t>
  </si>
  <si>
    <t>Acta de entrega de reglamento interno de trabajo</t>
  </si>
  <si>
    <t>Checklist de vinculación de personal</t>
  </si>
  <si>
    <t>Registro llamadas a entrevistas</t>
  </si>
  <si>
    <t>Acta de compromiso con el sistema de gestión de seguridad y salud en el trabajo</t>
  </si>
  <si>
    <t>Chequeo pre operacional de la grua</t>
  </si>
  <si>
    <t>Chequeo pre operacional de la grua araña</t>
  </si>
  <si>
    <t>Chequeo pre operacional del vehiculo</t>
  </si>
  <si>
    <t>Chequeo pre operacional montacarga</t>
  </si>
  <si>
    <t>Chequeo pre operacional motocicleta</t>
  </si>
  <si>
    <t>Chequeo pre operacional turbo</t>
  </si>
  <si>
    <t>Formato ficha aspecto e impacto ambiental</t>
  </si>
  <si>
    <t>Chequeo grua araña TZ 34/20 - Chequeo pre operacional TZ (Grúa araña) Versión 2</t>
  </si>
  <si>
    <t>Chequeo pos operacional de la grua</t>
  </si>
  <si>
    <t>Chequeo pos operacional de la grua araña</t>
  </si>
  <si>
    <t>Procedimiento para la elaboración del cronograma de actividades de las grúas</t>
  </si>
  <si>
    <t>Procedimiento para el mantenimiento de la flota vehícular</t>
  </si>
  <si>
    <t>Instructivo de baja de activos</t>
  </si>
  <si>
    <t>Política de activos fijos</t>
  </si>
  <si>
    <t>Procedimiento para etiqueta de activos fijos</t>
  </si>
  <si>
    <t>Programación de fumigación de sedes</t>
  </si>
  <si>
    <t>Procedimiento de factibilidad</t>
  </si>
  <si>
    <t>Instructivo para generar el informe de comprobación de saldos en el ERP</t>
  </si>
  <si>
    <t>Conciliacion bancaria en siesa</t>
  </si>
  <si>
    <t>procedimiento declaración del IVA</t>
  </si>
  <si>
    <t>Procedimiento para Reintegro de Caja Menor</t>
  </si>
  <si>
    <t xml:space="preserve">Procedimiento para el manejo de las tarjetas debito prepago </t>
  </si>
  <si>
    <t>Procedimiento de facturación de pedidos de contado</t>
  </si>
  <si>
    <t>Procedimiento para la declaración de retención en la fuente a título de industria y comercio (ICA)</t>
  </si>
  <si>
    <t>Procedimiento para el pago de anticipo a proveedores.</t>
  </si>
  <si>
    <t>Procedimiento retención a título de renta</t>
  </si>
  <si>
    <t>Formato acta de finalización proyectos privados</t>
  </si>
  <si>
    <t>Formato de informe de finalización de obra</t>
  </si>
  <si>
    <t>Formato acta de entrega de documentos de cierre de proyectos</t>
  </si>
  <si>
    <t>Acta liquidación para obras de proyectos AP (PQR - Expansión)</t>
  </si>
  <si>
    <t>Acta liquidación para obras de proyectos AP (Vegetativas)</t>
  </si>
  <si>
    <t>Informe de ejecución de PQR -Palmira-</t>
  </si>
  <si>
    <t>Formato de orden de trabajo y/o entrega de obra</t>
  </si>
  <si>
    <t>Presupuestos para proyectos privados</t>
  </si>
  <si>
    <t>Requerimiento e Insumos de cotización</t>
  </si>
  <si>
    <t>Bitacoras de obra</t>
  </si>
  <si>
    <t>Formato avance de obra</t>
  </si>
  <si>
    <t>Acta de entrega de herramientas</t>
  </si>
  <si>
    <t>Formato seguimiento de obras</t>
  </si>
  <si>
    <t>Cuenta de cobro para clientes externos</t>
  </si>
  <si>
    <t>Cuenta de cobro de proyectos a suministros</t>
  </si>
  <si>
    <t>Guía de estructura de carpeta de entrega final para clientes privados</t>
  </si>
  <si>
    <t>Guía de estructura de carpeta de entrega final para proyectos de expansión</t>
  </si>
  <si>
    <t>Instructivo de pedido y facturación de materiales</t>
  </si>
  <si>
    <t>Manual de cierre de proyectos privados y públicos</t>
  </si>
  <si>
    <t>Procedimiento para la gestión proyectos y servicios publicos y privados</t>
  </si>
  <si>
    <t>Procedimiento de control de inventarios</t>
  </si>
  <si>
    <t>Guía para detallar las unidades de medida del inventario </t>
  </si>
  <si>
    <t>Procedimiento para corte de cable</t>
  </si>
  <si>
    <t>Instructivo de uso de la máquina de corte de cable</t>
  </si>
  <si>
    <t>Procedimiento para pólizas de cumplimiento y responsabilidad civil</t>
  </si>
  <si>
    <t>Procedimiento para la gestión de contratos</t>
  </si>
  <si>
    <t xml:space="preserve">Procedimiento para incorporación de contratista </t>
  </si>
  <si>
    <t>Procedimiento para presentación de oferta</t>
  </si>
  <si>
    <t>Procedimiento para Contrato de arrendamiento</t>
  </si>
  <si>
    <t>Procedimiento para revisión de contratos</t>
  </si>
  <si>
    <t>Macroproceso</t>
  </si>
  <si>
    <t>Proceso</t>
  </si>
  <si>
    <t>Codigo Documento</t>
  </si>
  <si>
    <t>Nombre del Documento</t>
  </si>
  <si>
    <t>VERSION</t>
  </si>
  <si>
    <t>Tipo Documento</t>
  </si>
  <si>
    <t>Fecha_Creacion</t>
  </si>
  <si>
    <t>Nombre Revisor</t>
  </si>
  <si>
    <t>Fecha Revision</t>
  </si>
  <si>
    <t>Nombre_Aprobador</t>
  </si>
  <si>
    <t>Fecha_Aprobacion</t>
  </si>
  <si>
    <t>Fecha_Vigencia</t>
  </si>
  <si>
    <t>Estado</t>
  </si>
  <si>
    <t>Revisores</t>
  </si>
  <si>
    <t>Aprobadores</t>
  </si>
  <si>
    <t>Cargo_Ultima_Version_SubidaPor</t>
  </si>
  <si>
    <t>Cambios_Punto_Cambio</t>
  </si>
  <si>
    <t>Cambios_Descripcion</t>
  </si>
  <si>
    <t>Cambios_Solicita</t>
  </si>
  <si>
    <t>Gestión alumbrado Público e Iluminación</t>
  </si>
  <si>
    <t>A-FT-3</t>
  </si>
  <si>
    <t>1</t>
  </si>
  <si>
    <t>Harrison Morato</t>
  </si>
  <si>
    <t>Diego Armando Lomelin Dussan</t>
  </si>
  <si>
    <t>Aprobado</t>
  </si>
  <si>
    <t>Jenifer Ortiz Labrador,Harrison Morato</t>
  </si>
  <si>
    <t>Elbert Lopez Ortiz,Yelin Tatiana  Montoya Jiménez</t>
  </si>
  <si>
    <t>Director de alumbrado público</t>
  </si>
  <si>
    <t/>
  </si>
  <si>
    <t>A-CA-2</t>
  </si>
  <si>
    <t>Matriz de caracterización del proceso</t>
  </si>
  <si>
    <t>Jaime David Madroñero Urcuqui</t>
  </si>
  <si>
    <t>Jefe SIG (sistemas de información geografico)</t>
  </si>
  <si>
    <t>A-FT-32</t>
  </si>
  <si>
    <t>2</t>
  </si>
  <si>
    <t>Jaime David Madroñero Urcuqui,Oswaldo García Vaca</t>
  </si>
  <si>
    <t>Coordinador de levantamientos técnicos</t>
  </si>
  <si>
    <t>Todo el documento</t>
  </si>
  <si>
    <t>Se cambiaron algunos terminos</t>
  </si>
  <si>
    <t>Gabriela Catano Cardozo</t>
  </si>
  <si>
    <t>A-FT-15</t>
  </si>
  <si>
    <t>Elbert Lopez Ortiz</t>
  </si>
  <si>
    <t>.</t>
  </si>
  <si>
    <t>Administrador Binaps</t>
  </si>
  <si>
    <t>A-FT-20</t>
  </si>
  <si>
    <t>Planilla de terreno</t>
  </si>
  <si>
    <t>Ningún cambio</t>
  </si>
  <si>
    <t>A-FT-30</t>
  </si>
  <si>
    <t>A-GU-6</t>
  </si>
  <si>
    <t>Guías</t>
  </si>
  <si>
    <t>A-FT-34</t>
  </si>
  <si>
    <t>Marcación de luminarias convencionales</t>
  </si>
  <si>
    <t xml:space="preserve">Gestión administrativa </t>
  </si>
  <si>
    <t>D-FT-1</t>
  </si>
  <si>
    <t>Martha Bedoya Mejia</t>
  </si>
  <si>
    <t>Jefe administrativa</t>
  </si>
  <si>
    <t>D-FT-13</t>
  </si>
  <si>
    <t>En aprobacion</t>
  </si>
  <si>
    <t>Lina Maria Salazar Holguin</t>
  </si>
  <si>
    <t>Descarga</t>
  </si>
  <si>
    <t>Error en descarga</t>
  </si>
  <si>
    <t>Yelin Tatiana  Montoya Jiménez</t>
  </si>
  <si>
    <t>D-FT-6</t>
  </si>
  <si>
    <t>D-FT-15</t>
  </si>
  <si>
    <t>D-FT-2</t>
  </si>
  <si>
    <t>Chequeo pre y pos operacional de la motocicleta</t>
  </si>
  <si>
    <t>Eliminado</t>
  </si>
  <si>
    <t>Jose Luis Camargo Gallego,Martha Bedoya Mejia</t>
  </si>
  <si>
    <t>Coordinador de mantenimiento</t>
  </si>
  <si>
    <t>D-FT-11</t>
  </si>
  <si>
    <t>D-FT-12</t>
  </si>
  <si>
    <t>D-FT-25</t>
  </si>
  <si>
    <t>En Revision</t>
  </si>
  <si>
    <t>Martha Bedoya Mejia,Jose Luis Camargo Gallego,Claudia Bibiana Gironza</t>
  </si>
  <si>
    <t>D-IN-1</t>
  </si>
  <si>
    <t xml:space="preserve">Gestión humana </t>
  </si>
  <si>
    <t>H-CA-1</t>
  </si>
  <si>
    <t>Alejandra Parra Ocampo</t>
  </si>
  <si>
    <t>Rechazado</t>
  </si>
  <si>
    <t>H-FT-1</t>
  </si>
  <si>
    <t>Director administrativo y de mejora continua</t>
  </si>
  <si>
    <t>Fecha en el pie de página</t>
  </si>
  <si>
    <t>Se cambio por la fecha de creación</t>
  </si>
  <si>
    <t>Jenifer Ortiz Labrador</t>
  </si>
  <si>
    <t>H-FT-10</t>
  </si>
  <si>
    <t>Jefe de gestión humana</t>
  </si>
  <si>
    <t>H-FT-11</t>
  </si>
  <si>
    <t>H-FT-14</t>
  </si>
  <si>
    <t>Valentina Rubiano Silva</t>
  </si>
  <si>
    <t>Estructura del formato y nombres de campos.</t>
  </si>
  <si>
    <t>Se agregó el campo consecutivo de registros de entrega. Los nombres de los campos se cambiaron como sigue: Nombre se modificó a Empleado, Unidad de negocio se abrevió a U.N., Cargo que ocupa se simplificó a Cargo. Se eliminó el campo Proceso/Subproceso. La selección del tipo de entrega fue reemplazada por una casilla llamada Motivo.</t>
  </si>
  <si>
    <t>H-FT-15</t>
  </si>
  <si>
    <t>H-FT-12</t>
  </si>
  <si>
    <t>H-FT-2</t>
  </si>
  <si>
    <t>3</t>
  </si>
  <si>
    <t>Seguridad y salud</t>
  </si>
  <si>
    <t>H-CA-2</t>
  </si>
  <si>
    <t>Alejandra Parra Ocampo,Sonia Osorio Pérez</t>
  </si>
  <si>
    <t>Coordinador de seguridad y salud en el trabajo</t>
  </si>
  <si>
    <t>NN</t>
  </si>
  <si>
    <t>H-FT-16</t>
  </si>
  <si>
    <t>Se realizó cambio en todo el contenido del documento.</t>
  </si>
  <si>
    <t>H-FT-17</t>
  </si>
  <si>
    <t>Sonia Osorio Pérez</t>
  </si>
  <si>
    <t>H-FT-18</t>
  </si>
  <si>
    <t>Alejandra Parra Ocampo,Sonia Osorio Pérez,Claudia Bibiana Gironza</t>
  </si>
  <si>
    <t>Documento</t>
  </si>
  <si>
    <t>Versión 2</t>
  </si>
  <si>
    <t>H-FT-19</t>
  </si>
  <si>
    <t>Sonia Osorio Pérez,Alejandra Parra Ocampo</t>
  </si>
  <si>
    <t>Cambio de versión</t>
  </si>
  <si>
    <t>H-FT-21</t>
  </si>
  <si>
    <t>Claudia Bibiana Gironza</t>
  </si>
  <si>
    <t>Claudia Bibiana Gironza,Sonia Osorio Pérez,Alejandra Parra Ocampo</t>
  </si>
  <si>
    <t>Versión</t>
  </si>
  <si>
    <t>H-FT-22</t>
  </si>
  <si>
    <t>Alejandra Parra Ocampo,Claudia Bibiana Gironza,Sonia Osorio Pérez</t>
  </si>
  <si>
    <t xml:space="preserve">Versión </t>
  </si>
  <si>
    <t>Fórmulas</t>
  </si>
  <si>
    <t>H-FT-23</t>
  </si>
  <si>
    <t>Literal 1, 2, 3 y 4.</t>
  </si>
  <si>
    <t>Se modificó la estructura e información del documento</t>
  </si>
  <si>
    <t>H-FT-24</t>
  </si>
  <si>
    <t>H-FT-28</t>
  </si>
  <si>
    <t>Claudia Bibiana Gironza,Sonia Osorio Pérez</t>
  </si>
  <si>
    <t>Vigencia</t>
  </si>
  <si>
    <t>H-FT-29</t>
  </si>
  <si>
    <t>Revisión</t>
  </si>
  <si>
    <t>N/A</t>
  </si>
  <si>
    <t>H-FT-30</t>
  </si>
  <si>
    <t>Título y contenido</t>
  </si>
  <si>
    <t>Se realizaron cambios en el título del documento y se establecieron nuevos responsables para las firmas</t>
  </si>
  <si>
    <t>H-FT-31</t>
  </si>
  <si>
    <t>Claudia Bibiana Gironza,Alejandra Parra Ocampo,Sonia Osorio Pérez</t>
  </si>
  <si>
    <t>H-FT-33</t>
  </si>
  <si>
    <t>H-FT-34</t>
  </si>
  <si>
    <t>H-FT-35</t>
  </si>
  <si>
    <t>H-FT-36</t>
  </si>
  <si>
    <t>H-FT-37</t>
  </si>
  <si>
    <t>H-FT-38</t>
  </si>
  <si>
    <t>Sonia Osorio Pérez,Alejandra Parra Ocampo,Claudia Bibiana Gironza</t>
  </si>
  <si>
    <t>H-FT-39</t>
  </si>
  <si>
    <t>H-FT-40</t>
  </si>
  <si>
    <t>H-FT-41</t>
  </si>
  <si>
    <t>Sonia Osorio Pérez,Claudia Bibiana Gironza,Alejandra Parra Ocampo</t>
  </si>
  <si>
    <t>Se realizaron los ajustes pertinentes</t>
  </si>
  <si>
    <t>H-FT-42</t>
  </si>
  <si>
    <t>Se realizó cambio en la información que se le comparte al trabajador, se anexó el campo del lugar donde se toma la prueba y el campo observaciones cambió a concepto de alcoholimetría.</t>
  </si>
  <si>
    <t>H-FT-43</t>
  </si>
  <si>
    <t>H-FT-44</t>
  </si>
  <si>
    <t>Inspección de herramientas de mano o de impacto</t>
  </si>
  <si>
    <t>H-FT-25</t>
  </si>
  <si>
    <t>H-FT-26</t>
  </si>
  <si>
    <t>H-FT-45</t>
  </si>
  <si>
    <t>Lista de chequeo ergonómica</t>
  </si>
  <si>
    <t>H-FT-3</t>
  </si>
  <si>
    <t>H-FT-4</t>
  </si>
  <si>
    <t>A-FT-24</t>
  </si>
  <si>
    <t>Cambio</t>
  </si>
  <si>
    <t xml:space="preserve">Gestión mejora continua </t>
  </si>
  <si>
    <t>M-FT-22</t>
  </si>
  <si>
    <t>Fecha</t>
  </si>
  <si>
    <t>M-FT-18</t>
  </si>
  <si>
    <t>Jefe de calidad y medio ambiente</t>
  </si>
  <si>
    <t>Se agrego permiso de edición en tabla</t>
  </si>
  <si>
    <t>Se agrego permiso de edición en tabla para insertar filas.</t>
  </si>
  <si>
    <t>A-FT-10</t>
  </si>
  <si>
    <t>Código</t>
  </si>
  <si>
    <t>Se cambio el código del documento</t>
  </si>
  <si>
    <t>A-GU-11</t>
  </si>
  <si>
    <t>Francis Helen Velazco Lozano</t>
  </si>
  <si>
    <t>Analista de medio ambiente</t>
  </si>
  <si>
    <t xml:space="preserve">Gestión suministros </t>
  </si>
  <si>
    <t>S-FT-10</t>
  </si>
  <si>
    <t>Luisa Fernanda Quintero Russi</t>
  </si>
  <si>
    <t>Diego Fernando Velez Forero</t>
  </si>
  <si>
    <t>Luisa Fernanda Quintero Russi,Maria Alejandra Monroy Ospina</t>
  </si>
  <si>
    <t>Abogado junior</t>
  </si>
  <si>
    <t>FIRMAS</t>
  </si>
  <si>
    <t>Se reviso por vigencia, y se agrego el campo correo de notificación.</t>
  </si>
  <si>
    <t>S-FT-11</t>
  </si>
  <si>
    <t>Auxiliar de cartera</t>
  </si>
  <si>
    <t>Firmas</t>
  </si>
  <si>
    <t>Se estructuro el formato en hoja membretada y se le agrego el cargo, teléfono y correo de quien firma el preaviso.</t>
  </si>
  <si>
    <t>S-FT-14</t>
  </si>
  <si>
    <t>Maria Alejandra Monroy Ospina,Luisa Fernanda Quintero Russi</t>
  </si>
  <si>
    <t>Estructura del documento</t>
  </si>
  <si>
    <t>Se revisó por vigencia y se realizaron ajustes en la estructura general, sin alterar su contenido de manera significativa.</t>
  </si>
  <si>
    <t>S-FT-15</t>
  </si>
  <si>
    <t>S-FT-17</t>
  </si>
  <si>
    <t xml:space="preserve">Hoja membretada y firma </t>
  </si>
  <si>
    <t>Se estructuro el formato en la plantilla de oficios y se agregaron en la firma el cargo, correo y teléfono.</t>
  </si>
  <si>
    <t>S-FT-26</t>
  </si>
  <si>
    <t xml:space="preserve">Campos </t>
  </si>
  <si>
    <t>Se modificaron los términos de sucursal y destino, por centro de costo y unidad de negocio.</t>
  </si>
  <si>
    <t>S-FT-28</t>
  </si>
  <si>
    <t>Maria Alejandra Monroy Ospina</t>
  </si>
  <si>
    <t>En las firmas se agrego la ciudad, para que el deudor indique a que ciudad corresponde la dirección. Asimismo, se agrego el campo correo de notificación.</t>
  </si>
  <si>
    <t>A-FT-1</t>
  </si>
  <si>
    <t>Solicitudes generales de alumbrado público</t>
  </si>
  <si>
    <t>Ortografía</t>
  </si>
  <si>
    <t>A-FT-25</t>
  </si>
  <si>
    <t>A-FT-35</t>
  </si>
  <si>
    <t>Marcación de luminarias Led</t>
  </si>
  <si>
    <t>D-FT-3</t>
  </si>
  <si>
    <t>Chequeo pre y pos operacional del vehículo</t>
  </si>
  <si>
    <t>D-FT-4</t>
  </si>
  <si>
    <t>Chequeo pre y pos operacional de la grúa</t>
  </si>
  <si>
    <t>Todo el documentos</t>
  </si>
  <si>
    <t>Se agregaron campos que no se tenían contemplados en la versión anterior.</t>
  </si>
  <si>
    <t>M-FT-20</t>
  </si>
  <si>
    <t>D-FT-5</t>
  </si>
  <si>
    <t>Chequeo grúa araña TZ 34/20</t>
  </si>
  <si>
    <t>Martha Bedoya Mejia,Jose Luis Camargo Gallego</t>
  </si>
  <si>
    <t>M-FT-19</t>
  </si>
  <si>
    <t>Forma</t>
  </si>
  <si>
    <t>Se ajustan márgenes a la vista en pdf.</t>
  </si>
  <si>
    <t>H-FT-46</t>
  </si>
  <si>
    <t>H-FT-51</t>
  </si>
  <si>
    <t>A-GU-10</t>
  </si>
  <si>
    <t>Jenifer Ortiz Labrador,Francis Helen Velazco Lozano</t>
  </si>
  <si>
    <t>Se realizó cambios en todo el documento</t>
  </si>
  <si>
    <t>M-FT-3</t>
  </si>
  <si>
    <t>Evaluación de inducción y reinducción calidad y medio ambiente</t>
  </si>
  <si>
    <t>Yessica Andrea Castro Potes</t>
  </si>
  <si>
    <t>Jefe de auditoría</t>
  </si>
  <si>
    <t>Contenido</t>
  </si>
  <si>
    <t>A-PR-3</t>
  </si>
  <si>
    <t>Procedimiento atención FPQR´S Alumbrado Público</t>
  </si>
  <si>
    <t>Lina Vanessa Alzate Peñaranda</t>
  </si>
  <si>
    <t>A-GU-5</t>
  </si>
  <si>
    <t>Oscar Gonzalez Sanchez</t>
  </si>
  <si>
    <t>A-FT-21</t>
  </si>
  <si>
    <t>A-FT-22</t>
  </si>
  <si>
    <t>H-FT-47</t>
  </si>
  <si>
    <t>H-FT-48</t>
  </si>
  <si>
    <t>H-FT-49</t>
  </si>
  <si>
    <t>H-FT-5</t>
  </si>
  <si>
    <t>H-FT-6</t>
  </si>
  <si>
    <t>S-FT-12</t>
  </si>
  <si>
    <t>Olga Liliana Garcia Hernandez</t>
  </si>
  <si>
    <t>Olga Liliana Garcia Hernandez,Juan Camilo Monroy Ochoa</t>
  </si>
  <si>
    <t>Jefe de compras</t>
  </si>
  <si>
    <t>Se actualiza con el objetivo de que sea aplicable tanto al cliente externo como interno.</t>
  </si>
  <si>
    <t>A-FT-12</t>
  </si>
  <si>
    <t xml:space="preserve">Gestión proyectos </t>
  </si>
  <si>
    <t>P-GU-1</t>
  </si>
  <si>
    <t>H-FT-60</t>
  </si>
  <si>
    <t>A-PO-1</t>
  </si>
  <si>
    <t>Política de Medio Ambiente</t>
  </si>
  <si>
    <t>D-FT-16</t>
  </si>
  <si>
    <t>D-FT-18</t>
  </si>
  <si>
    <t>Formato único de inventario documental - FUID</t>
  </si>
  <si>
    <t>estructura</t>
  </si>
  <si>
    <t>D-FT-19</t>
  </si>
  <si>
    <t>D-FT-20</t>
  </si>
  <si>
    <t>Rótulo de carpetas</t>
  </si>
  <si>
    <t>Martha Bedoya Mejia,Claudia Bibiana Gironza</t>
  </si>
  <si>
    <t>D-FT-21</t>
  </si>
  <si>
    <t>Claudia Bibiana Gironza,Martha Bedoya Mejia</t>
  </si>
  <si>
    <t>D-GU-3</t>
  </si>
  <si>
    <t>H-FT-52</t>
  </si>
  <si>
    <t>S-FT-38</t>
  </si>
  <si>
    <t>Juan Camilo Monroy Ochoa</t>
  </si>
  <si>
    <t>S-FT-19</t>
  </si>
  <si>
    <t>Devolución en Venta</t>
  </si>
  <si>
    <t>Extensiones de Items</t>
  </si>
  <si>
    <t>Se agregaron los campos de extensiones.</t>
  </si>
  <si>
    <t>S-FT-20</t>
  </si>
  <si>
    <t>Devolución en Compra</t>
  </si>
  <si>
    <t>S-FT-32</t>
  </si>
  <si>
    <t>Orden de Entrega</t>
  </si>
  <si>
    <t>S-FT-31</t>
  </si>
  <si>
    <t>S-FT-33</t>
  </si>
  <si>
    <t>S-FT-36</t>
  </si>
  <si>
    <t>S-FT-23</t>
  </si>
  <si>
    <t>S-IN-8</t>
  </si>
  <si>
    <t>En el titulo</t>
  </si>
  <si>
    <t>Se cambio el titulo al documento</t>
  </si>
  <si>
    <t>S-IN-9</t>
  </si>
  <si>
    <t>Gerente de suministros y proyectos</t>
  </si>
  <si>
    <t>Contenido del documento</t>
  </si>
  <si>
    <t>Se agrego consulta de inventario de tramos de cable, y se cambio el nombre al documento.</t>
  </si>
  <si>
    <t>S-IN-10</t>
  </si>
  <si>
    <t>Se cambio el titulo del documento.</t>
  </si>
  <si>
    <t>H-FT-53</t>
  </si>
  <si>
    <t>H-FT-54</t>
  </si>
  <si>
    <t>H-FT-55</t>
  </si>
  <si>
    <t>H-FT-56</t>
  </si>
  <si>
    <t>Firma</t>
  </si>
  <si>
    <t>Responsable de firma</t>
  </si>
  <si>
    <t xml:space="preserve">Gestión contable </t>
  </si>
  <si>
    <t>T-FT-1</t>
  </si>
  <si>
    <t>Legalización Avances de Gestión</t>
  </si>
  <si>
    <t>Diana Marcela Barbosa Gonzalez</t>
  </si>
  <si>
    <t>Paula Andrea Jaramillo Castañeda</t>
  </si>
  <si>
    <t>Documentos</t>
  </si>
  <si>
    <t>T-FT-2</t>
  </si>
  <si>
    <t>Reintrego de Caja Menor</t>
  </si>
  <si>
    <t>H-FT-57</t>
  </si>
  <si>
    <t>H-FT-58</t>
  </si>
  <si>
    <t>T-IN-2</t>
  </si>
  <si>
    <t>A-PR-7</t>
  </si>
  <si>
    <t>Procedimiento para recepción y almacenamiento de materiales en bodegas de Alumbrado Público</t>
  </si>
  <si>
    <t>Jefferson Mauricio Moya García</t>
  </si>
  <si>
    <t>A-PR-9</t>
  </si>
  <si>
    <t>Procedimiento para la reposición y entrega de materiales de Alumbrado Público</t>
  </si>
  <si>
    <t>A-PT-1</t>
  </si>
  <si>
    <t>Protocolo de atención al usuario de Alumbrado Público</t>
  </si>
  <si>
    <t>A-MA-4</t>
  </si>
  <si>
    <t>Manuales</t>
  </si>
  <si>
    <t>A-GU-1</t>
  </si>
  <si>
    <t>A-PR-6</t>
  </si>
  <si>
    <t>D-FT-23</t>
  </si>
  <si>
    <t>Estructura</t>
  </si>
  <si>
    <t>Se agregaron columnas nuevas</t>
  </si>
  <si>
    <t>H-FT-59</t>
  </si>
  <si>
    <t>H-FT-62</t>
  </si>
  <si>
    <t>Punto 2</t>
  </si>
  <si>
    <t>Se cambio la revisión semestral por anual</t>
  </si>
  <si>
    <t>A-FT-4</t>
  </si>
  <si>
    <t>Columna Mtto. Preventivos</t>
  </si>
  <si>
    <t>Actualización de opciones en lista desplegable.</t>
  </si>
  <si>
    <t>A-FT-6</t>
  </si>
  <si>
    <t>Pie de pagina</t>
  </si>
  <si>
    <t>A-FT-16</t>
  </si>
  <si>
    <t>Registro de instalaciones y retiros en el sistema de alumbrado público</t>
  </si>
  <si>
    <t>Columna de potencia de la tecnología</t>
  </si>
  <si>
    <t>Se modifico el listado de opciones de la lista desplegable.</t>
  </si>
  <si>
    <t>M-GU-2</t>
  </si>
  <si>
    <t>Nombre del documento</t>
  </si>
  <si>
    <t>Se cambio el nombre del documento.</t>
  </si>
  <si>
    <t>M-GU-1</t>
  </si>
  <si>
    <t>Se cambio el nombre del documento</t>
  </si>
  <si>
    <t>H-FT-61</t>
  </si>
  <si>
    <t>Se habilitó el campo para diligenciar la fecha</t>
  </si>
  <si>
    <t>D-FT-9</t>
  </si>
  <si>
    <t>Entrega de vehículos</t>
  </si>
  <si>
    <t>Política y procedimiento para el manejo del vehículo, entrega y reintegro.</t>
  </si>
  <si>
    <t>Se agregaron políticas y procedimientos para el manejo del vehículo y se definieron los responsables para la entrega y el reintegro.</t>
  </si>
  <si>
    <t>H-FT-63</t>
  </si>
  <si>
    <t>H-FT-64</t>
  </si>
  <si>
    <t>H-FT-65</t>
  </si>
  <si>
    <t>H-FT-66</t>
  </si>
  <si>
    <t>Revisor</t>
  </si>
  <si>
    <t>Nuevo revisor</t>
  </si>
  <si>
    <t>A-FT-13</t>
  </si>
  <si>
    <t>A-PR-12</t>
  </si>
  <si>
    <t>Francis Helen Velazco Lozano,Jenifer Ortiz Labrador</t>
  </si>
  <si>
    <t>documento</t>
  </si>
  <si>
    <t>Palabra escrita de forma diferente</t>
  </si>
  <si>
    <t>T-MA-1</t>
  </si>
  <si>
    <t>Literal 3.4.1.2</t>
  </si>
  <si>
    <t>Se actualizó el parámetro de horas establecido para el derecho de toma de desayuno en ejecución de labores en ciudades diferentes a la de residencia.</t>
  </si>
  <si>
    <t>H-FT-68</t>
  </si>
  <si>
    <t>H-CA-3</t>
  </si>
  <si>
    <t>Maria Fernanda Zamudio Quenan,Alejandra Parra Ocampo</t>
  </si>
  <si>
    <t>Analista de nomina</t>
  </si>
  <si>
    <t>Código del documento</t>
  </si>
  <si>
    <t>H-FT-7</t>
  </si>
  <si>
    <t>H-FT-67</t>
  </si>
  <si>
    <t>H-FT-69</t>
  </si>
  <si>
    <t>H-FT-70</t>
  </si>
  <si>
    <t>H-FT-8</t>
  </si>
  <si>
    <t>A-IN-1</t>
  </si>
  <si>
    <t>Instructivo para inserción de mapas base en la herramienta AutoCAD</t>
  </si>
  <si>
    <t>Diana Marcela Trujillo Marin</t>
  </si>
  <si>
    <t xml:space="preserve">H-FT-9 </t>
  </si>
  <si>
    <t>A-CA-1</t>
  </si>
  <si>
    <t>Jefe de atención al usuario</t>
  </si>
  <si>
    <t>A-CA-4</t>
  </si>
  <si>
    <t>M-GU-3</t>
  </si>
  <si>
    <t>M-IN-5</t>
  </si>
  <si>
    <t>Instructivo de uso de la consola administrativa de Binaps: gestión de usuarios, cargos, procesos y permisos</t>
  </si>
  <si>
    <t>M-IN-4</t>
  </si>
  <si>
    <t>A-FT-36</t>
  </si>
  <si>
    <t>Marcación de postes exclusivos</t>
  </si>
  <si>
    <t>H-MA-1</t>
  </si>
  <si>
    <t>S-GU-1</t>
  </si>
  <si>
    <t>Documentos relacionados.</t>
  </si>
  <si>
    <t>Se quitaron algunos documentos relacionados a la guía, y se cambiaron algunos nombre de estos.</t>
  </si>
  <si>
    <t>M-IN-1</t>
  </si>
  <si>
    <t>S-FT-30</t>
  </si>
  <si>
    <t>D-PR-4</t>
  </si>
  <si>
    <t>Ningun cambio</t>
  </si>
  <si>
    <t>No se realizó cambio</t>
  </si>
  <si>
    <t>H-PO-1</t>
  </si>
  <si>
    <t>H-PR-16</t>
  </si>
  <si>
    <t>M-IN-2</t>
  </si>
  <si>
    <t>Corrección de ruta</t>
  </si>
  <si>
    <t>Se corrigió el paso 5, que permite la creación de un número documento.</t>
  </si>
  <si>
    <t xml:space="preserve">Gestion cumplimiento </t>
  </si>
  <si>
    <t>L-CA-1</t>
  </si>
  <si>
    <t>Yuli Patricia Sinisterra Solis,Claudia Bibiana Gironza</t>
  </si>
  <si>
    <t>Oficial de cumplimiento</t>
  </si>
  <si>
    <t>L-FT-1</t>
  </si>
  <si>
    <t>Yuli Patricia Sinisterra Solis</t>
  </si>
  <si>
    <t>L-FT-10</t>
  </si>
  <si>
    <t>Yuli Patricia Sinisterra Solis,Alejandra Parra Ocampo</t>
  </si>
  <si>
    <t>L-FT-11</t>
  </si>
  <si>
    <t>Aprobador</t>
  </si>
  <si>
    <t>Se cambia el escalamiento</t>
  </si>
  <si>
    <t>L-FT-12</t>
  </si>
  <si>
    <t>L-FT-2</t>
  </si>
  <si>
    <t>L-FT-3</t>
  </si>
  <si>
    <t>Cambia el escalamiento</t>
  </si>
  <si>
    <t>M-IN-3</t>
  </si>
  <si>
    <t>Paso 8</t>
  </si>
  <si>
    <t>Error de ortografía en la palabra obligatorio.</t>
  </si>
  <si>
    <t>A-GU-9</t>
  </si>
  <si>
    <t>Cambio en el contenido</t>
  </si>
  <si>
    <t>A-FT-37</t>
  </si>
  <si>
    <t>Marcación de transformadores exclusivos</t>
  </si>
  <si>
    <t>A-FT-39</t>
  </si>
  <si>
    <t>Pie de página</t>
  </si>
  <si>
    <t>Corrección de fecha de creación</t>
  </si>
  <si>
    <t>S-FT-2</t>
  </si>
  <si>
    <t>S-FT-3</t>
  </si>
  <si>
    <t>Vigencia de Certificados</t>
  </si>
  <si>
    <t>S-FT-5</t>
  </si>
  <si>
    <t>S-FT-6</t>
  </si>
  <si>
    <t>S-FT-4</t>
  </si>
  <si>
    <t>Notas y Decripción del item</t>
  </si>
  <si>
    <t>Se corrigió ortografía y se organizo el formato de celda del campo descripción del ítem.</t>
  </si>
  <si>
    <t>H-FT-71</t>
  </si>
  <si>
    <t>H-FT-72</t>
  </si>
  <si>
    <t>H-FT-74</t>
  </si>
  <si>
    <t>M-FT-1</t>
  </si>
  <si>
    <t>M-MA-5</t>
  </si>
  <si>
    <t>Jenifer Ortiz Labrador,Lina Maria Salazar Holguin</t>
  </si>
  <si>
    <t>M-FT-6</t>
  </si>
  <si>
    <t>L-FT-4</t>
  </si>
  <si>
    <t>Alejandra Parra Ocampo,Yuli Patricia Sinisterra Solis</t>
  </si>
  <si>
    <t>L-FT-5</t>
  </si>
  <si>
    <t>A-IN-9</t>
  </si>
  <si>
    <t>Desde el paso 9</t>
  </si>
  <si>
    <t xml:space="preserve">Cambio en pantallazos del documento que es descarga (factura) </t>
  </si>
  <si>
    <t>A-FT-40</t>
  </si>
  <si>
    <t>A-FT-5</t>
  </si>
  <si>
    <t>S-FT-8</t>
  </si>
  <si>
    <t>A-GU-2</t>
  </si>
  <si>
    <t>Guía para recorrido interdisciplinar</t>
  </si>
  <si>
    <t>Jefe de iluminación</t>
  </si>
  <si>
    <t>A-CA-3</t>
  </si>
  <si>
    <t>Matriz</t>
  </si>
  <si>
    <t>Se realizaron los cambios señalados, en el objetivo, alcance y actividad.</t>
  </si>
  <si>
    <t>A-GU-3</t>
  </si>
  <si>
    <t>A-GU-4</t>
  </si>
  <si>
    <t>Guía para el Direccionamiento de Proyectores en Escenarios Deportivos</t>
  </si>
  <si>
    <t>A-IN-2</t>
  </si>
  <si>
    <t>A-IN-3</t>
  </si>
  <si>
    <t>A-IN-4</t>
  </si>
  <si>
    <t>Se cambio el nombre del documento paso de diseño luminotécnico a diseño de iluminación.</t>
  </si>
  <si>
    <t>A-IN-5</t>
  </si>
  <si>
    <t>A-IN-6</t>
  </si>
  <si>
    <t>H-FT-75</t>
  </si>
  <si>
    <t>H-FT-76</t>
  </si>
  <si>
    <t>S-PR-11</t>
  </si>
  <si>
    <t>Procedimiento de Ventas</t>
  </si>
  <si>
    <t>S-IN-2</t>
  </si>
  <si>
    <t>Jefe logistico suministros</t>
  </si>
  <si>
    <t>S-IN-4</t>
  </si>
  <si>
    <t>S-IN-5</t>
  </si>
  <si>
    <t>S-IN-7</t>
  </si>
  <si>
    <t>S-IN-11</t>
  </si>
  <si>
    <t>S-IN-12</t>
  </si>
  <si>
    <t>S-IN-14</t>
  </si>
  <si>
    <t>S-FT-9</t>
  </si>
  <si>
    <t>H-PR-12</t>
  </si>
  <si>
    <t>S-IN-15</t>
  </si>
  <si>
    <t>S-IN-16</t>
  </si>
  <si>
    <t>S-IN-6</t>
  </si>
  <si>
    <t>S-FT-22</t>
  </si>
  <si>
    <t>S-CA-3</t>
  </si>
  <si>
    <t>T-FT-6</t>
  </si>
  <si>
    <t>A-IN-7</t>
  </si>
  <si>
    <t>M-FT-15</t>
  </si>
  <si>
    <t>S-CA-1</t>
  </si>
  <si>
    <t>S-FT-7</t>
  </si>
  <si>
    <t>S-FT-37</t>
  </si>
  <si>
    <t>H-PO-7</t>
  </si>
  <si>
    <t>H-PO-8</t>
  </si>
  <si>
    <t>S-PO-1</t>
  </si>
  <si>
    <t>En Elaboracion</t>
  </si>
  <si>
    <t>S-PO-2</t>
  </si>
  <si>
    <t>S-PO-3</t>
  </si>
  <si>
    <t>Cambio en cargo</t>
  </si>
  <si>
    <t>S-PR-15</t>
  </si>
  <si>
    <t>Ajustes ortográficos</t>
  </si>
  <si>
    <t>Se realizaron ajustes en la ortografía.</t>
  </si>
  <si>
    <t>S-PR-7</t>
  </si>
  <si>
    <t>S-PR-8</t>
  </si>
  <si>
    <t>A-MA-10</t>
  </si>
  <si>
    <t>archivo</t>
  </si>
  <si>
    <t>No se evidenciaba correctamente</t>
  </si>
  <si>
    <t>S-PR-6</t>
  </si>
  <si>
    <t>H-FT-77</t>
  </si>
  <si>
    <t>H-GU-1</t>
  </si>
  <si>
    <t>H-GU-2</t>
  </si>
  <si>
    <t>H-GU-3</t>
  </si>
  <si>
    <t>S-CA-4</t>
  </si>
  <si>
    <t>H-IN-1</t>
  </si>
  <si>
    <t>H-IN-2</t>
  </si>
  <si>
    <t>Imagenes</t>
  </si>
  <si>
    <t>Auditorías</t>
  </si>
  <si>
    <t>M-FT-24</t>
  </si>
  <si>
    <t>Contenido del formato</t>
  </si>
  <si>
    <t>Se modificaron algunos términos del documento. Asimismo, se incorporaron botones de guardado y limpieza del formato, y se crearon una hoja de reporte y una hoja de indicadores automatizada.</t>
  </si>
  <si>
    <t>M-FT-25</t>
  </si>
  <si>
    <t>M-FT-4</t>
  </si>
  <si>
    <t>Plan de acción</t>
  </si>
  <si>
    <t>D-PR-5</t>
  </si>
  <si>
    <t>M-PO-1</t>
  </si>
  <si>
    <t>FIRMA</t>
  </si>
  <si>
    <t>SE ADJUNTA EL DOCUMENTO FIRMADO</t>
  </si>
  <si>
    <t>S-FT-34</t>
  </si>
  <si>
    <t>Claudia Bibiana Gironza,Olga Liliana Garcia Hernandez</t>
  </si>
  <si>
    <t>S-FT-35</t>
  </si>
  <si>
    <t>Olga Liliana Garcia Hernandez,Claudia Bibiana Gironza</t>
  </si>
  <si>
    <t>S-FT-25</t>
  </si>
  <si>
    <t>Asesor comecial</t>
  </si>
  <si>
    <t>Ajustes recomendados</t>
  </si>
  <si>
    <t>S-FT-24</t>
  </si>
  <si>
    <t>Observaciones</t>
  </si>
  <si>
    <t>L-FT-6</t>
  </si>
  <si>
    <t>L-FT-7</t>
  </si>
  <si>
    <t>L-FT-8</t>
  </si>
  <si>
    <t>L-FT-9</t>
  </si>
  <si>
    <t>L-GU-1</t>
  </si>
  <si>
    <t>L-GU-2</t>
  </si>
  <si>
    <t>L-GU-3</t>
  </si>
  <si>
    <t>L-GU-4</t>
  </si>
  <si>
    <t xml:space="preserve">Se realizaron los ajustes pertinentes, en la consulta a trabajadores se hace a todos los aspirantes seleccionados después de superar el filtro de la entrevista laboral a un cargo y en el punto 3.1.3 La consulta se debe hacer por cartera o abogado jr: queda, así como está, ya que el abogado jr tendrá acceso a toda esta información </t>
  </si>
  <si>
    <t>D-FT-22</t>
  </si>
  <si>
    <t>S-IN-19</t>
  </si>
  <si>
    <t>L-GU-5</t>
  </si>
  <si>
    <t>S-PR-1</t>
  </si>
  <si>
    <t>L-MA-1</t>
  </si>
  <si>
    <t>Se realizaron los ajustes correspondientes</t>
  </si>
  <si>
    <t>S-IN-20</t>
  </si>
  <si>
    <t>S-IN-21</t>
  </si>
  <si>
    <t>L-PG-1</t>
  </si>
  <si>
    <t>L-PO-1</t>
  </si>
  <si>
    <t>L-PO-2</t>
  </si>
  <si>
    <t>Fecha de aprobación</t>
  </si>
  <si>
    <t>L-PR-1</t>
  </si>
  <si>
    <t>Claudia Bibiana Gironza,Yuli Patricia Sinisterra Solis</t>
  </si>
  <si>
    <t xml:space="preserve">Recomendaciones </t>
  </si>
  <si>
    <t>H-MA-3</t>
  </si>
  <si>
    <t>H-PO-2</t>
  </si>
  <si>
    <t>H-PO-3</t>
  </si>
  <si>
    <t>H-PO-5</t>
  </si>
  <si>
    <t>H-PO-6</t>
  </si>
  <si>
    <t>A-PR-10</t>
  </si>
  <si>
    <t>Lina Vanessa Alzate Peñaranda,Melissa Arias Patiño</t>
  </si>
  <si>
    <t>Auxiliar de facturación</t>
  </si>
  <si>
    <t>No aplica</t>
  </si>
  <si>
    <t>Ninguno, se rechazo por error</t>
  </si>
  <si>
    <t>A-MA-9</t>
  </si>
  <si>
    <t>Melissa Arias Patiño,Lina Vanessa Alzate Peñaranda</t>
  </si>
  <si>
    <t>Cambio de forma</t>
  </si>
  <si>
    <t>L-PR-2</t>
  </si>
  <si>
    <t>Se integraron los documentos nuevos</t>
  </si>
  <si>
    <t>L-PR-4</t>
  </si>
  <si>
    <t>Procedimiento de atención a requerimientos de entes de control o UIAF</t>
  </si>
  <si>
    <t>Se realizaron los ajustes solicitados</t>
  </si>
  <si>
    <t>L-PR-5</t>
  </si>
  <si>
    <t>H-PR-15</t>
  </si>
  <si>
    <t>Documento equivocado</t>
  </si>
  <si>
    <t>H-PR-20</t>
  </si>
  <si>
    <t xml:space="preserve">Cambios sugeridos </t>
  </si>
  <si>
    <t xml:space="preserve">Gestion estrategica </t>
  </si>
  <si>
    <t>Direccionamiento estrategico</t>
  </si>
  <si>
    <t>E-PO-1</t>
  </si>
  <si>
    <t>Política para la gestión del riesgo de fraude, soborno y corrupción</t>
  </si>
  <si>
    <t>L-PR-6</t>
  </si>
  <si>
    <t>A-PR-13</t>
  </si>
  <si>
    <t>S-IN-17</t>
  </si>
  <si>
    <t>S-IN-18</t>
  </si>
  <si>
    <t>S-FT-13</t>
  </si>
  <si>
    <t>S-FT-21</t>
  </si>
  <si>
    <t>Ajuste menores en formulas y colores del formato</t>
  </si>
  <si>
    <t>S-PO-7</t>
  </si>
  <si>
    <t>H-FT-73</t>
  </si>
  <si>
    <t>Claudia Bibiana Gironza,Alejandra Parra Ocampo,Maria Fernanda Zamudio Quenan</t>
  </si>
  <si>
    <t>A-PR-16</t>
  </si>
  <si>
    <t>Se ajusto conforme a reunión con Calidad y Medio Ambiente</t>
  </si>
  <si>
    <t>D-FT-26</t>
  </si>
  <si>
    <t>D-FT-27</t>
  </si>
  <si>
    <t>D-FT-28</t>
  </si>
  <si>
    <t>D-FT-29</t>
  </si>
  <si>
    <t>D-FT-30</t>
  </si>
  <si>
    <t>D-MA-2</t>
  </si>
  <si>
    <t>M-FT-5</t>
  </si>
  <si>
    <t>M-FT-10</t>
  </si>
  <si>
    <t>M-FT-11</t>
  </si>
  <si>
    <t>Cambio de nombre en firmas</t>
  </si>
  <si>
    <t>T-FT-5</t>
  </si>
  <si>
    <t>Juan David Torres Tascon</t>
  </si>
  <si>
    <t>T-IN-3</t>
  </si>
  <si>
    <t>Analista de impuestos</t>
  </si>
  <si>
    <t>El documento fue validado por el proceso y ajustado a las recomendaciones.</t>
  </si>
  <si>
    <t>T-IN-4</t>
  </si>
  <si>
    <t>T-IN-5</t>
  </si>
  <si>
    <t>T-IN-6</t>
  </si>
  <si>
    <t>S-IN-13</t>
  </si>
  <si>
    <t>D-GU-2</t>
  </si>
  <si>
    <t>Kevin Alexis Torres Lopez,Martha Bedoya Mejia</t>
  </si>
  <si>
    <t>Líder de activos fijos</t>
  </si>
  <si>
    <t>Documentos relacionados</t>
  </si>
  <si>
    <t>Durante la carga del documento hubo un error en los códigos de doc. relacionados</t>
  </si>
  <si>
    <t>D-IN-2</t>
  </si>
  <si>
    <t>Martha Bedoya Mejia,Kevin Alexis Torres Lopez</t>
  </si>
  <si>
    <t>D-IN-3</t>
  </si>
  <si>
    <t>D-PR-6</t>
  </si>
  <si>
    <t>S-PR-9</t>
  </si>
  <si>
    <t>S-PO-5</t>
  </si>
  <si>
    <t>H-PR-21</t>
  </si>
  <si>
    <t>H-PR-25</t>
  </si>
  <si>
    <t>se le anexó información.</t>
  </si>
  <si>
    <t>H-PR-30</t>
  </si>
  <si>
    <t>H-PR-8</t>
  </si>
  <si>
    <t>H-PR-9</t>
  </si>
  <si>
    <t>H-PT-1</t>
  </si>
  <si>
    <t>A-GU-7</t>
  </si>
  <si>
    <t>S-GU-2</t>
  </si>
  <si>
    <t>A-FT-7</t>
  </si>
  <si>
    <t>Datos básicos para visita técnica</t>
  </si>
  <si>
    <t>Se eliminan los logos de la empresa</t>
  </si>
  <si>
    <t>T-IN-7</t>
  </si>
  <si>
    <t>Instructivo para consultar y generar informes fiscales en el ERP</t>
  </si>
  <si>
    <t>A-FT-8</t>
  </si>
  <si>
    <t>A-FT-9</t>
  </si>
  <si>
    <t>T-GU-4</t>
  </si>
  <si>
    <t>Guía para consultas dinámicas o flex en SIESA</t>
  </si>
  <si>
    <t>Eduar Estiven Garcia Diaz</t>
  </si>
  <si>
    <t>Error en documento subido inicialmente</t>
  </si>
  <si>
    <t>S-FT-16</t>
  </si>
  <si>
    <t>S-FT-18</t>
  </si>
  <si>
    <t>D-MA-1</t>
  </si>
  <si>
    <t>A-IN-8</t>
  </si>
  <si>
    <t>M-PO-3</t>
  </si>
  <si>
    <t>Cambio en el código de documento relacionado</t>
  </si>
  <si>
    <t>Cambio en el código de documento relacionado. Formato recibo de caja menor.</t>
  </si>
  <si>
    <t>S-PO-4</t>
  </si>
  <si>
    <t>Calibre de cables</t>
  </si>
  <si>
    <t>Se agregaron calibres en el cuadro de cables</t>
  </si>
  <si>
    <t>T-FT-7</t>
  </si>
  <si>
    <t>Error en el escalamiento</t>
  </si>
  <si>
    <t>Error al seleccionar el rol de aprobador del documento.</t>
  </si>
  <si>
    <t>T-FT-8</t>
  </si>
  <si>
    <t>A-MA-1</t>
  </si>
  <si>
    <t>T-IN-8</t>
  </si>
  <si>
    <t>Juan David Torres Tascon,Eduar Estiven Garcia Diaz</t>
  </si>
  <si>
    <t>A-FT-26</t>
  </si>
  <si>
    <t>A-GU-12</t>
  </si>
  <si>
    <t>S-FT-1</t>
  </si>
  <si>
    <t>T-FT-9</t>
  </si>
  <si>
    <t>M-FT-12</t>
  </si>
  <si>
    <t>L-PR-7</t>
  </si>
  <si>
    <t>M-FT-9</t>
  </si>
  <si>
    <t>Registro de asistencia</t>
  </si>
  <si>
    <t>M-FT-23</t>
  </si>
  <si>
    <t>H-PR-26</t>
  </si>
  <si>
    <t>A-MA-3</t>
  </si>
  <si>
    <t>A-MA-5</t>
  </si>
  <si>
    <t>Software</t>
  </si>
  <si>
    <t>A-MA-6</t>
  </si>
  <si>
    <t>H-PR-27</t>
  </si>
  <si>
    <t>M-FT-2</t>
  </si>
  <si>
    <t>D-MA-3</t>
  </si>
  <si>
    <t>Nombre_MacroProceso</t>
  </si>
  <si>
    <t>Nombre_Proceso</t>
  </si>
  <si>
    <t>Nombre_SubProceso</t>
  </si>
  <si>
    <t>Codigo_Documento</t>
  </si>
  <si>
    <t>Nombre_Documento</t>
  </si>
  <si>
    <t>Tipo_Documento</t>
  </si>
  <si>
    <t>Nombre_Revisor</t>
  </si>
  <si>
    <t>Fecha_Revision</t>
  </si>
  <si>
    <t xml:space="preserve">P04 - Gestión alumbrado Público e Iluminación </t>
  </si>
  <si>
    <t>P16 - Atención al usuario</t>
  </si>
  <si>
    <t>2022-08-03</t>
  </si>
  <si>
    <t>2022-08-03 00:00:00</t>
  </si>
  <si>
    <t>2025-08-03</t>
  </si>
  <si>
    <t>P17 - SIG</t>
  </si>
  <si>
    <t>2024-05-07</t>
  </si>
  <si>
    <t>2024-07-30 08:25:23</t>
  </si>
  <si>
    <t>2024-08-01 08:58:24</t>
  </si>
  <si>
    <t>2027-05-07</t>
  </si>
  <si>
    <t>2023-06-19</t>
  </si>
  <si>
    <t>2024-10-17 10:49:57</t>
  </si>
  <si>
    <t>2025-09-25 10:39:41</t>
  </si>
  <si>
    <t>2026-09-25</t>
  </si>
  <si>
    <t>2021-06-11</t>
  </si>
  <si>
    <t>2021-06-11 00:00:00</t>
  </si>
  <si>
    <t>2028-01-24</t>
  </si>
  <si>
    <t>P18 - AOM</t>
  </si>
  <si>
    <t>2023-05-29</t>
  </si>
  <si>
    <t>2023-05-29 00:00:00</t>
  </si>
  <si>
    <t>2026-05-29</t>
  </si>
  <si>
    <t>2023-05-26</t>
  </si>
  <si>
    <t>2023-05-26 00:00:00</t>
  </si>
  <si>
    <t>2026-05-26</t>
  </si>
  <si>
    <t>2023-05-05</t>
  </si>
  <si>
    <t>2026-05-05</t>
  </si>
  <si>
    <t>P12 - Gestión administrativa</t>
  </si>
  <si>
    <t>P33 - Mantenimiento e infraestructura</t>
  </si>
  <si>
    <t>2019-11-22</t>
  </si>
  <si>
    <t>2019-11-22 00:00:00</t>
  </si>
  <si>
    <t>2022-11-22</t>
  </si>
  <si>
    <t>2022-04-09</t>
  </si>
  <si>
    <t>2026-01-08 14:53:25</t>
  </si>
  <si>
    <t>P34 - Sistemas</t>
  </si>
  <si>
    <t>2020-12-24</t>
  </si>
  <si>
    <t>2020-12-24 00:00:00</t>
  </si>
  <si>
    <t>2023-12-24</t>
  </si>
  <si>
    <t>2023-02-06</t>
  </si>
  <si>
    <t>2023-02-06 00:00:00</t>
  </si>
  <si>
    <t>2026-02-06</t>
  </si>
  <si>
    <t>2019-11-25</t>
  </si>
  <si>
    <t>2019-11-25 00:00:00</t>
  </si>
  <si>
    <t>2025-08-30</t>
  </si>
  <si>
    <t>2024-05-02</t>
  </si>
  <si>
    <t>2027-05-02</t>
  </si>
  <si>
    <t>P36 - Servicios generales</t>
  </si>
  <si>
    <t>2022-05-09</t>
  </si>
  <si>
    <t>2022-05-09 00:00:00</t>
  </si>
  <si>
    <t>2025-05-09</t>
  </si>
  <si>
    <t>2021-05-09</t>
  </si>
  <si>
    <t>2021-05-09 00:00:00</t>
  </si>
  <si>
    <t>2024-05-09</t>
  </si>
  <si>
    <t>2025-01-23</t>
  </si>
  <si>
    <t>2028-01-23</t>
  </si>
  <si>
    <t>2021-08-09</t>
  </si>
  <si>
    <t>2021-08-09 00:00:00</t>
  </si>
  <si>
    <t>2024-08-09</t>
  </si>
  <si>
    <t>P10 - Gestión humana</t>
  </si>
  <si>
    <t>P28 -  Gestión humana</t>
  </si>
  <si>
    <t>2025-02-13 10:44:16</t>
  </si>
  <si>
    <t>2019-08-26</t>
  </si>
  <si>
    <t>2019-08-26 00:00:00</t>
  </si>
  <si>
    <t>2025-05-06</t>
  </si>
  <si>
    <t>2019-11-16</t>
  </si>
  <si>
    <t>2024-06-20 16:53:12</t>
  </si>
  <si>
    <t>2024-06-20 17:36:55</t>
  </si>
  <si>
    <t>2027-06-20</t>
  </si>
  <si>
    <t>2022-05-06</t>
  </si>
  <si>
    <t>2022-05-05</t>
  </si>
  <si>
    <t>2024-04-23 16:27:12</t>
  </si>
  <si>
    <t>2027-04-15</t>
  </si>
  <si>
    <t>2022-05-06 00:00:00</t>
  </si>
  <si>
    <t>P30 - Nomina</t>
  </si>
  <si>
    <t>2026-01-23</t>
  </si>
  <si>
    <t>2023-10-23</t>
  </si>
  <si>
    <t>2023-12-05 14:59:03</t>
  </si>
  <si>
    <t>2026-10-23</t>
  </si>
  <si>
    <t>P29 - Seguridad y salud en el trabajo</t>
  </si>
  <si>
    <t>2025-02-13 10:44:53</t>
  </si>
  <si>
    <t>2025-04-15 15:49:52</t>
  </si>
  <si>
    <t>2027-05-09</t>
  </si>
  <si>
    <t>2019-12-03</t>
  </si>
  <si>
    <t>2024-06-20 17:05:48</t>
  </si>
  <si>
    <t>2024-06-20 17:36:47</t>
  </si>
  <si>
    <t>2024-02-08</t>
  </si>
  <si>
    <t>2024-02-29 14:22:17</t>
  </si>
  <si>
    <t>2027-02-08</t>
  </si>
  <si>
    <t>2020-11-21</t>
  </si>
  <si>
    <t>2025-07-04 17:11:21</t>
  </si>
  <si>
    <t>2028-05-29</t>
  </si>
  <si>
    <t>2025-07-04 16:40:08</t>
  </si>
  <si>
    <t>2025-08-08 10:46:13</t>
  </si>
  <si>
    <t>2026-08-08</t>
  </si>
  <si>
    <t>2020-11-20</t>
  </si>
  <si>
    <t>2025-07-08 08:40:35</t>
  </si>
  <si>
    <t>2025-08-08 10:47:05</t>
  </si>
  <si>
    <t>2020-11-23</t>
  </si>
  <si>
    <t>2025-07-08 08:41:51</t>
  </si>
  <si>
    <t>2025-08-08 10:47:11</t>
  </si>
  <si>
    <t>2019-12-16</t>
  </si>
  <si>
    <t>2024-02-29 11:50:53</t>
  </si>
  <si>
    <t>2027-01-22</t>
  </si>
  <si>
    <t>2025-07-08 08:42:21</t>
  </si>
  <si>
    <t>2025-08-08 10:47:19</t>
  </si>
  <si>
    <t>2020-01-03</t>
  </si>
  <si>
    <t>2025-03-27 14:32:09</t>
  </si>
  <si>
    <t>2025-04-15 15:52:40</t>
  </si>
  <si>
    <t>2026-04-15</t>
  </si>
  <si>
    <t>2020-01-04</t>
  </si>
  <si>
    <t>2020-01-04 00:00:00</t>
  </si>
  <si>
    <t>2028-03-28</t>
  </si>
  <si>
    <t>2020-01-09</t>
  </si>
  <si>
    <t>2024-04-29 11:01:13</t>
  </si>
  <si>
    <t>2024-05-15 15:12:15</t>
  </si>
  <si>
    <t>2027-04-29</t>
  </si>
  <si>
    <t>2020-01-12</t>
  </si>
  <si>
    <t>2025-07-08 08:42:52</t>
  </si>
  <si>
    <t>2025-08-08 10:47:28</t>
  </si>
  <si>
    <t>2020-01-16</t>
  </si>
  <si>
    <t>2020-01-16 00:00:00</t>
  </si>
  <si>
    <t>2026-01-21</t>
  </si>
  <si>
    <t>2023-01-16</t>
  </si>
  <si>
    <t>2020-01-20</t>
  </si>
  <si>
    <t>2025-07-08 08:43:17</t>
  </si>
  <si>
    <t>2025-08-08 10:47:36</t>
  </si>
  <si>
    <t>2020-01-20 00:00:00</t>
  </si>
  <si>
    <t>2023-01-20</t>
  </si>
  <si>
    <t>2025-05-29</t>
  </si>
  <si>
    <t>2025-07-25 15:16:32</t>
  </si>
  <si>
    <t>2025-07-25 15:28:09</t>
  </si>
  <si>
    <t>2025-07-25 15:29:39</t>
  </si>
  <si>
    <t>2025-07-25 15:34:40</t>
  </si>
  <si>
    <t>2025-08-08 10:48:39</t>
  </si>
  <si>
    <t>2021-08-03</t>
  </si>
  <si>
    <t>2025-07-25 14:13:46</t>
  </si>
  <si>
    <t>2028-03-31</t>
  </si>
  <si>
    <t>2022-09-29</t>
  </si>
  <si>
    <t>2024-06-04 16:56:13</t>
  </si>
  <si>
    <t>2024-06-12 16:42:16</t>
  </si>
  <si>
    <t>2027-04-12</t>
  </si>
  <si>
    <t>2022-09-29 00:00:00</t>
  </si>
  <si>
    <t>2025-09-29</t>
  </si>
  <si>
    <t>2022-11-25</t>
  </si>
  <si>
    <t>2025-07-15 10:30:48</t>
  </si>
  <si>
    <t>2025-11-21</t>
  </si>
  <si>
    <t>2026-02-21</t>
  </si>
  <si>
    <t>2022-12-26</t>
  </si>
  <si>
    <t>2025-07-08 08:46:00</t>
  </si>
  <si>
    <t>2025-08-08 10:47:43</t>
  </si>
  <si>
    <t>2023-03-08</t>
  </si>
  <si>
    <t>2024-08-08 10:57:05</t>
  </si>
  <si>
    <t>2026-03-08</t>
  </si>
  <si>
    <t>P38 - Medio ambiente</t>
  </si>
  <si>
    <t>2020-01-29</t>
  </si>
  <si>
    <t>2020-01-29 00:00:00</t>
  </si>
  <si>
    <t>2026-02-01</t>
  </si>
  <si>
    <t>P11 - Gestión mejora continua</t>
  </si>
  <si>
    <t>P31 - Calidad</t>
  </si>
  <si>
    <t>2024-04-17</t>
  </si>
  <si>
    <t>2024-05-02 15:49:18</t>
  </si>
  <si>
    <t>2027-04-17</t>
  </si>
  <si>
    <t>2024-07-17</t>
  </si>
  <si>
    <t>2024-07-17 14:19:13</t>
  </si>
  <si>
    <t>2024-08-05 16:13:22</t>
  </si>
  <si>
    <t>2027-07-17</t>
  </si>
  <si>
    <t>2023-04-26</t>
  </si>
  <si>
    <t>2023-04-26 00:00:00</t>
  </si>
  <si>
    <t>2026-04-26</t>
  </si>
  <si>
    <t>2022-03-05</t>
  </si>
  <si>
    <t>2025-10-14 11:32:50</t>
  </si>
  <si>
    <t>P05 - Gestión suministros</t>
  </si>
  <si>
    <t>P24 - Cartera</t>
  </si>
  <si>
    <t>2019-12-28</t>
  </si>
  <si>
    <t>2027-01-28</t>
  </si>
  <si>
    <t>2021-03-04</t>
  </si>
  <si>
    <t>2024-10-15 16:08:31</t>
  </si>
  <si>
    <t>2024-10-16 07:24:12</t>
  </si>
  <si>
    <t>2027-10-16</t>
  </si>
  <si>
    <t>2019-12-30</t>
  </si>
  <si>
    <t>2025-03-13 09:00:00</t>
  </si>
  <si>
    <t>2025-05-06 08:44:56</t>
  </si>
  <si>
    <t>2026-05-06</t>
  </si>
  <si>
    <t>2025-03-13 08:59:32</t>
  </si>
  <si>
    <t>2025-05-06 08:45:33</t>
  </si>
  <si>
    <t>2025-05-23 14:50:30</t>
  </si>
  <si>
    <t>2025-08-13 09:35:21</t>
  </si>
  <si>
    <t>2026-08-13</t>
  </si>
  <si>
    <t>P22 - Compras</t>
  </si>
  <si>
    <t>2021-09-10</t>
  </si>
  <si>
    <t>2024-12-12 14:49:59</t>
  </si>
  <si>
    <t>2027-07-29</t>
  </si>
  <si>
    <t>2023-04-05</t>
  </si>
  <si>
    <t>2023-10-18 15:10:26</t>
  </si>
  <si>
    <t>2028-03-20</t>
  </si>
  <si>
    <t>2023-03-17</t>
  </si>
  <si>
    <t>2023-10-18 15:24:50</t>
  </si>
  <si>
    <t>2026-03-17</t>
  </si>
  <si>
    <t>2025-11-21 16:35:03</t>
  </si>
  <si>
    <t>2026-11-21</t>
  </si>
  <si>
    <t>2025-02-25</t>
  </si>
  <si>
    <t>2020-01-07</t>
  </si>
  <si>
    <t>2024-06-13 08:44:13</t>
  </si>
  <si>
    <t>2024-06-20 17:37:16</t>
  </si>
  <si>
    <t>2022-09-03</t>
  </si>
  <si>
    <t>2023-11-08 14:58:20</t>
  </si>
  <si>
    <t>2026-09-20</t>
  </si>
  <si>
    <t>2020-04-12</t>
  </si>
  <si>
    <t>2024-08-08 10:50:59</t>
  </si>
  <si>
    <t>2023-04-12</t>
  </si>
  <si>
    <t>2020-07-01</t>
  </si>
  <si>
    <t>2024-07-18 11:28:43</t>
  </si>
  <si>
    <t>2024-08-05 17:51:57</t>
  </si>
  <si>
    <t>2027-07-18</t>
  </si>
  <si>
    <t>2022-12-26 00:00:00</t>
  </si>
  <si>
    <t>2025-12-26</t>
  </si>
  <si>
    <t>2024-01-15</t>
  </si>
  <si>
    <t>2024-03-04 16:01:21</t>
  </si>
  <si>
    <t>2027-01-15</t>
  </si>
  <si>
    <t>2021-03-17</t>
  </si>
  <si>
    <t>2024-07-22 15:13:10</t>
  </si>
  <si>
    <t>2024-08-05 17:11:17</t>
  </si>
  <si>
    <t>2027-05-15</t>
  </si>
  <si>
    <t>2019-12-06</t>
  </si>
  <si>
    <t>2025-05-22 08:15:07</t>
  </si>
  <si>
    <t>2025-08-08 10:45:59</t>
  </si>
  <si>
    <t>2023-06-01</t>
  </si>
  <si>
    <t>2023-11-29 09:24:59</t>
  </si>
  <si>
    <t>2026-06-01</t>
  </si>
  <si>
    <t>2023-11-29 10:08:54</t>
  </si>
  <si>
    <t>P19 - Logística AP</t>
  </si>
  <si>
    <t>2023-10-02</t>
  </si>
  <si>
    <t>2023-11-29 10:15:28</t>
  </si>
  <si>
    <t>2026-10-02</t>
  </si>
  <si>
    <t>2023-11-29 10:18:51</t>
  </si>
  <si>
    <t>2023-02-21</t>
  </si>
  <si>
    <t>2023-02-21 00:00:00</t>
  </si>
  <si>
    <t>2023-02-22</t>
  </si>
  <si>
    <t>2023-02-22 00:00:00</t>
  </si>
  <si>
    <t>2026-02-22</t>
  </si>
  <si>
    <t>2023-05-30</t>
  </si>
  <si>
    <t>2023-05-30 00:00:00</t>
  </si>
  <si>
    <t>2026-05-30</t>
  </si>
  <si>
    <t>2023-03-09</t>
  </si>
  <si>
    <t>2024-08-08 11:09:08</t>
  </si>
  <si>
    <t>2026-03-09</t>
  </si>
  <si>
    <t>2019-10-11</t>
  </si>
  <si>
    <t>2019-10-11 00:00:00</t>
  </si>
  <si>
    <t>2026-09-22</t>
  </si>
  <si>
    <t>2021-04-12</t>
  </si>
  <si>
    <t>2025-09-04 14:38:25</t>
  </si>
  <si>
    <t>2028-02-14</t>
  </si>
  <si>
    <t>2023-12-11</t>
  </si>
  <si>
    <t>2024-01-04 11:14:11</t>
  </si>
  <si>
    <t>2026-12-11</t>
  </si>
  <si>
    <t>P06 - Gestión proyectos</t>
  </si>
  <si>
    <t>P25 - Planeación</t>
  </si>
  <si>
    <t>2024-01-05 16:08:47</t>
  </si>
  <si>
    <t>2026-04-05</t>
  </si>
  <si>
    <t>2024-03-27</t>
  </si>
  <si>
    <t>2024-05-02 15:57:31</t>
  </si>
  <si>
    <t>2027-03-27</t>
  </si>
  <si>
    <t>2023-12-06</t>
  </si>
  <si>
    <t>2024-01-09 07:36:40</t>
  </si>
  <si>
    <t>2026-12-06</t>
  </si>
  <si>
    <t>P35 - Gestion documental</t>
  </si>
  <si>
    <t>2020-08-31</t>
  </si>
  <si>
    <t>2025-08-11 14:46:52</t>
  </si>
  <si>
    <t>2025-11-26 15:51:45</t>
  </si>
  <si>
    <t>2026-11-26</t>
  </si>
  <si>
    <t>2023-03-27</t>
  </si>
  <si>
    <t>2025-05-23 11:09:39</t>
  </si>
  <si>
    <t>2025-06-25 09:20:02</t>
  </si>
  <si>
    <t>2026-06-25</t>
  </si>
  <si>
    <t>2025-05-23 11:09:54</t>
  </si>
  <si>
    <t>2025-06-25 09:20:20</t>
  </si>
  <si>
    <t>2024-01-30 10:45:36</t>
  </si>
  <si>
    <t>2026-03-27</t>
  </si>
  <si>
    <t>2024-03-04 16:09:42</t>
  </si>
  <si>
    <t>P23 - Logística suministros</t>
  </si>
  <si>
    <t>2023-08-30</t>
  </si>
  <si>
    <t>2024-02-29 09:27:06</t>
  </si>
  <si>
    <t>2026-08-30</t>
  </si>
  <si>
    <t>2025-07-15 12:00:41</t>
  </si>
  <si>
    <t>2026-07-15</t>
  </si>
  <si>
    <t>2025-07-15 14:08:40</t>
  </si>
  <si>
    <t>2023-12-28</t>
  </si>
  <si>
    <t>2025-07-15 14:18:13</t>
  </si>
  <si>
    <t>2024-02-29 10:03:46</t>
  </si>
  <si>
    <t>2025-07-15 14:27:06</t>
  </si>
  <si>
    <t>2025-07-15 14:40:13</t>
  </si>
  <si>
    <t>P21 - Ventas</t>
  </si>
  <si>
    <t>2023-08-20</t>
  </si>
  <si>
    <t>2024-02-29 10:32:40</t>
  </si>
  <si>
    <t>2026-08-20</t>
  </si>
  <si>
    <t>2023-11-21</t>
  </si>
  <si>
    <t>2023-11-22</t>
  </si>
  <si>
    <t>2024-10-16 07:30:07</t>
  </si>
  <si>
    <t>2024-10-16 07:30:22</t>
  </si>
  <si>
    <t>2026-11-22</t>
  </si>
  <si>
    <t>2024-02-29 10:58:23</t>
  </si>
  <si>
    <t>2026-11-11</t>
  </si>
  <si>
    <t>2024-02-29 11:40:26</t>
  </si>
  <si>
    <t>2024-02-29 13:41:57</t>
  </si>
  <si>
    <t>2024-01-22</t>
  </si>
  <si>
    <t>2025-07-04 18:54:42</t>
  </si>
  <si>
    <t>2025-08-08 10:46:30</t>
  </si>
  <si>
    <t>2024-01-16</t>
  </si>
  <si>
    <t>2024-05-15 11:22:05</t>
  </si>
  <si>
    <t>2024-05-15 15:13:35</t>
  </si>
  <si>
    <t>2028-02-09</t>
  </si>
  <si>
    <t>P07 - Gestión contable</t>
  </si>
  <si>
    <t>2024-03-04 08:35:49</t>
  </si>
  <si>
    <t>2024-03-04 08:45:05</t>
  </si>
  <si>
    <t>2024-02-09</t>
  </si>
  <si>
    <t>2024-04-29 10:57:23</t>
  </si>
  <si>
    <t>2024-05-15 15:08:16</t>
  </si>
  <si>
    <t>2027-02-09</t>
  </si>
  <si>
    <t>2025-06-12</t>
  </si>
  <si>
    <t>2025-07-04 16:01:42</t>
  </si>
  <si>
    <t>2025-08-08 10:46:57</t>
  </si>
  <si>
    <t>2023-11-27</t>
  </si>
  <si>
    <t>2024-03-08 13:48:28</t>
  </si>
  <si>
    <t>2026-11-27</t>
  </si>
  <si>
    <t>2023-11-14</t>
  </si>
  <si>
    <t>2024-04-08 11:09:06</t>
  </si>
  <si>
    <t>2026-11-14</t>
  </si>
  <si>
    <t>2024-04-08 11:11:23</t>
  </si>
  <si>
    <t>2024-01-31</t>
  </si>
  <si>
    <t>2024-04-08 14:15:50</t>
  </si>
  <si>
    <t>2027-01-31</t>
  </si>
  <si>
    <t>2024-04-08 14:17:32</t>
  </si>
  <si>
    <t>2024-01-10</t>
  </si>
  <si>
    <t>2024-04-08 14:20:40</t>
  </si>
  <si>
    <t>2027-01-10</t>
  </si>
  <si>
    <t>2024-04-08 14:34:59</t>
  </si>
  <si>
    <t>2024-04-12</t>
  </si>
  <si>
    <t>2025-05-23 11:10:18</t>
  </si>
  <si>
    <t>2025-06-25 09:20:52</t>
  </si>
  <si>
    <t>2024-02-19</t>
  </si>
  <si>
    <t>2024-07-19 10:55:49</t>
  </si>
  <si>
    <t>2024-08-05 17:44:33</t>
  </si>
  <si>
    <t>2027-02-19</t>
  </si>
  <si>
    <t>2024-05-30</t>
  </si>
  <si>
    <t>2025-02-13 10:50:06</t>
  </si>
  <si>
    <t>2025-04-15 15:50:09</t>
  </si>
  <si>
    <t>2024-05-02 15:28:40</t>
  </si>
  <si>
    <t>2024-05-02 15:36:35</t>
  </si>
  <si>
    <t>2024-05-02 15:41:28</t>
  </si>
  <si>
    <t>2025-09-25</t>
  </si>
  <si>
    <t>2025-12-29 17:19:11</t>
  </si>
  <si>
    <t>2025-09-19</t>
  </si>
  <si>
    <t>2026-01-20 11:35:06</t>
  </si>
  <si>
    <t>2024-06-28</t>
  </si>
  <si>
    <t>2024-06-28 16:24:31</t>
  </si>
  <si>
    <t>2024-06-29 10:04:38</t>
  </si>
  <si>
    <t>2027-06-28</t>
  </si>
  <si>
    <t>2021-08-28</t>
  </si>
  <si>
    <t>2023-11-29 11:43:22</t>
  </si>
  <si>
    <t>2025-02-13 10:49:53</t>
  </si>
  <si>
    <t>2025-04-15 15:50:21</t>
  </si>
  <si>
    <t>2025-02-13 10:49:59</t>
  </si>
  <si>
    <t>2025-04-15 15:50:31</t>
  </si>
  <si>
    <t>2024-06-04 16:56:38</t>
  </si>
  <si>
    <t>2024-06-12 16:42:02</t>
  </si>
  <si>
    <t>2027-05-30</t>
  </si>
  <si>
    <t>2025-07-08 08:53:48</t>
  </si>
  <si>
    <t>2025-08-08 10:47:58</t>
  </si>
  <si>
    <t>2024-05-16</t>
  </si>
  <si>
    <t>2024-07-22 15:13:24</t>
  </si>
  <si>
    <t>2024-08-05 17:01:13</t>
  </si>
  <si>
    <t>2027-05-16</t>
  </si>
  <si>
    <t>2022-11-01</t>
  </si>
  <si>
    <t>2024-07-22 14:47:06</t>
  </si>
  <si>
    <t>2024-08-05 17:29:10</t>
  </si>
  <si>
    <t>2021-04-21</t>
  </si>
  <si>
    <t>Ninguno</t>
  </si>
  <si>
    <t>2024-07-18</t>
  </si>
  <si>
    <t>2024-07-29 11:19:16</t>
  </si>
  <si>
    <t>2024-08-05 16:05:43</t>
  </si>
  <si>
    <t>2024-04-30</t>
  </si>
  <si>
    <t>2025-01-23 14:59:53</t>
  </si>
  <si>
    <t>2025-02-05 17:33:37</t>
  </si>
  <si>
    <t>2027-04-30</t>
  </si>
  <si>
    <t>2025-03-18</t>
  </si>
  <si>
    <t>2025-07-25 13:50:24</t>
  </si>
  <si>
    <t>2025-08-08 10:48:12</t>
  </si>
  <si>
    <t>2025-07-08 09:09:38</t>
  </si>
  <si>
    <t>2025-03-18 09:46:51</t>
  </si>
  <si>
    <t>2025-07-08 09:11:07</t>
  </si>
  <si>
    <t>2025-03-18 09:56:19</t>
  </si>
  <si>
    <t>P20 - Iluminación</t>
  </si>
  <si>
    <t>2024-02-29</t>
  </si>
  <si>
    <t>2024-07-04 13:39:24</t>
  </si>
  <si>
    <t>2027-02-28</t>
  </si>
  <si>
    <t>2024-04-26</t>
  </si>
  <si>
    <t>2024-10-08 14:56:38</t>
  </si>
  <si>
    <t>2025-09-25 10:36:21</t>
  </si>
  <si>
    <t>2024-04-22</t>
  </si>
  <si>
    <t>2024-07-22 14:49:37</t>
  </si>
  <si>
    <t>2024-08-05 17:26:58</t>
  </si>
  <si>
    <t>2027-07-22</t>
  </si>
  <si>
    <t>2026-01-20 13:55:46</t>
  </si>
  <si>
    <t>2025-12-18</t>
  </si>
  <si>
    <t>2026-02-06 16:43:43</t>
  </si>
  <si>
    <t>2024-12-27</t>
  </si>
  <si>
    <t>2025-02-20 09:57:42</t>
  </si>
  <si>
    <t>2025-04-15 15:51:30</t>
  </si>
  <si>
    <t>2025-11-21 16:35:33</t>
  </si>
  <si>
    <t>2024-03-12</t>
  </si>
  <si>
    <t>2024-07-25 13:51:54</t>
  </si>
  <si>
    <t>2027-03-12</t>
  </si>
  <si>
    <t>2024-12-26</t>
  </si>
  <si>
    <t>2025-01-23 14:33:39</t>
  </si>
  <si>
    <t>2025-04-15 15:48:59</t>
  </si>
  <si>
    <t>2025-07-15 14:13:20</t>
  </si>
  <si>
    <t>2024-04-08</t>
  </si>
  <si>
    <t>2024-06-13 09:40:25</t>
  </si>
  <si>
    <t>2024-06-20 17:37:09</t>
  </si>
  <si>
    <t>2027-06-13</t>
  </si>
  <si>
    <t>2023-09-11</t>
  </si>
  <si>
    <t>2024-01-09 07:47:31</t>
  </si>
  <si>
    <t>2026-09-11</t>
  </si>
  <si>
    <t>2024-07-08</t>
  </si>
  <si>
    <t>2024-07-18 14:34:51</t>
  </si>
  <si>
    <t>2024-08-05 17:51:18</t>
  </si>
  <si>
    <t>2025-11-12</t>
  </si>
  <si>
    <t>2025-12-29 16:59:08</t>
  </si>
  <si>
    <t>P03 - Gestion cumplimiento</t>
  </si>
  <si>
    <t>2024-04-24</t>
  </si>
  <si>
    <t>2025-03-07 17:35:32</t>
  </si>
  <si>
    <t>2027-04-24</t>
  </si>
  <si>
    <t>2022-06-13</t>
  </si>
  <si>
    <t>2025-03-17 00:56:32</t>
  </si>
  <si>
    <t>2025-04-07 16:26:31</t>
  </si>
  <si>
    <t>2028-04-07</t>
  </si>
  <si>
    <t>2024-05-03</t>
  </si>
  <si>
    <t>2024-08-13 17:51:11</t>
  </si>
  <si>
    <t>2027-05-03</t>
  </si>
  <si>
    <t>2024-06-12</t>
  </si>
  <si>
    <t>2025-03-17 09:23:35</t>
  </si>
  <si>
    <t>2025-04-07 16:29:50</t>
  </si>
  <si>
    <t>2028-03-12</t>
  </si>
  <si>
    <t>2024-06-24</t>
  </si>
  <si>
    <t>2025-08-25 14:13:06</t>
  </si>
  <si>
    <t>2025-08-25 14:26:39</t>
  </si>
  <si>
    <t>2026-08-25</t>
  </si>
  <si>
    <t>2025-02-27 17:18:28</t>
  </si>
  <si>
    <t>2024-06-13</t>
  </si>
  <si>
    <t>2025-11-13 16:59:31</t>
  </si>
  <si>
    <t>2025-11-13 17:13:16</t>
  </si>
  <si>
    <t>2026-11-13</t>
  </si>
  <si>
    <t>2025-12-29 17:01:07</t>
  </si>
  <si>
    <t>2024-07-15</t>
  </si>
  <si>
    <t>2025-10-14 10:39:24</t>
  </si>
  <si>
    <t>2027-07-15</t>
  </si>
  <si>
    <t>2025-11-21 16:36:28</t>
  </si>
  <si>
    <t>2024-09-16 14:02:30</t>
  </si>
  <si>
    <t>2024-12-04 16:58:02</t>
  </si>
  <si>
    <t>2027-09-16</t>
  </si>
  <si>
    <t>2024-02-12</t>
  </si>
  <si>
    <t>2025-07-15 14:34:24</t>
  </si>
  <si>
    <t>2024-08-23</t>
  </si>
  <si>
    <t>2024-09-23 10:39:15</t>
  </si>
  <si>
    <t>2024-09-26 14:20:36</t>
  </si>
  <si>
    <t>2027-09-23</t>
  </si>
  <si>
    <t>2024-09-23 10:40:41</t>
  </si>
  <si>
    <t>2024-12-04 08:25:56</t>
  </si>
  <si>
    <t>2024-07-23</t>
  </si>
  <si>
    <t>2024-09-23 10:40:00</t>
  </si>
  <si>
    <t>2024-09-26 14:21:38</t>
  </si>
  <si>
    <t>2028-09-23</t>
  </si>
  <si>
    <t>2024-09-23 10:46:09</t>
  </si>
  <si>
    <t>2024-09-26 14:27:17</t>
  </si>
  <si>
    <t>2024-09-04</t>
  </si>
  <si>
    <t>2025-02-13 10:52:45</t>
  </si>
  <si>
    <t>2027-09-04</t>
  </si>
  <si>
    <t>2025-07-25 13:49:39</t>
  </si>
  <si>
    <t>2025-08-08 10:48:05</t>
  </si>
  <si>
    <t>2025-07-25 13:50:56</t>
  </si>
  <si>
    <t>2025-08-08 10:48:19</t>
  </si>
  <si>
    <t>2019-09-03</t>
  </si>
  <si>
    <t>2023-11-14 15:37:03</t>
  </si>
  <si>
    <t>2026-10-31</t>
  </si>
  <si>
    <t>2024-09-02</t>
  </si>
  <si>
    <t>2024-09-19 16:01:37</t>
  </si>
  <si>
    <t>2027-09-02</t>
  </si>
  <si>
    <t>2020-02-19</t>
  </si>
  <si>
    <t>2024-08-08 11:50:33</t>
  </si>
  <si>
    <t>2027-07-27</t>
  </si>
  <si>
    <t>Se socializo en reunión</t>
  </si>
  <si>
    <t>2023-12-20</t>
  </si>
  <si>
    <t>2024-08-14 08:29:50</t>
  </si>
  <si>
    <t>2026-12-20</t>
  </si>
  <si>
    <t>2023-11-16</t>
  </si>
  <si>
    <t>2024-08-13 16:39:47</t>
  </si>
  <si>
    <t>2026-11-16</t>
  </si>
  <si>
    <t>2024-07-10</t>
  </si>
  <si>
    <t>2029-01-08</t>
  </si>
  <si>
    <t>2023-07-25</t>
  </si>
  <si>
    <t>2025-10-06 09:20:41</t>
  </si>
  <si>
    <t>2025-07-21</t>
  </si>
  <si>
    <t>2025-07-21 16:13:08</t>
  </si>
  <si>
    <t>2024-09-30 15:42:08</t>
  </si>
  <si>
    <t>2024-10-16 07:23:35</t>
  </si>
  <si>
    <t>2027-06-24</t>
  </si>
  <si>
    <t>2024-09-23</t>
  </si>
  <si>
    <t>2024-10-01 14:28:21</t>
  </si>
  <si>
    <t>2024-10-24 16:31:40</t>
  </si>
  <si>
    <t>2025-01-20</t>
  </si>
  <si>
    <t>2025-03-24 19:08:18</t>
  </si>
  <si>
    <t>2025-03-26 13:59:13</t>
  </si>
  <si>
    <t>2026-03-26</t>
  </si>
  <si>
    <t>2024-09-06</t>
  </si>
  <si>
    <t>2024-10-20 19:31:08</t>
  </si>
  <si>
    <t>2024-10-24 16:46:35</t>
  </si>
  <si>
    <t>2027-09-06</t>
  </si>
  <si>
    <t>2024-10-20 19:31:17</t>
  </si>
  <si>
    <t>2024-10-24 16:55:57</t>
  </si>
  <si>
    <t>2024-08-21</t>
  </si>
  <si>
    <t>2024-10-20 19:31:23</t>
  </si>
  <si>
    <t>2024-10-24 16:57:52</t>
  </si>
  <si>
    <t>2027-08-21</t>
  </si>
  <si>
    <t>2024-10-02</t>
  </si>
  <si>
    <t>2024-10-20 19:31:28</t>
  </si>
  <si>
    <t>2024-10-24 17:00:51</t>
  </si>
  <si>
    <t>2027-10-20</t>
  </si>
  <si>
    <t>2024-10-20 19:31:33</t>
  </si>
  <si>
    <t>2024-10-24 17:06:29</t>
  </si>
  <si>
    <t>2029-01-25</t>
  </si>
  <si>
    <t>2024-09-25</t>
  </si>
  <si>
    <t>2024-10-20 19:31:37</t>
  </si>
  <si>
    <t>2024-10-24 17:14:21</t>
  </si>
  <si>
    <t>2027-09-25</t>
  </si>
  <si>
    <t>2024-10-20 19:31:41</t>
  </si>
  <si>
    <t>2024-10-24 17:23:37</t>
  </si>
  <si>
    <t>2025-02-14</t>
  </si>
  <si>
    <t>2025-07-25 14:02:52</t>
  </si>
  <si>
    <t>2025-08-08 10:48:26</t>
  </si>
  <si>
    <t>2025-07-25 14:00:01</t>
  </si>
  <si>
    <t>2028-03-18</t>
  </si>
  <si>
    <t>2024-09-12</t>
  </si>
  <si>
    <t>2024-10-16 07:31:12</t>
  </si>
  <si>
    <t>2024-10-16 07:31:26</t>
  </si>
  <si>
    <t>2027-09-12</t>
  </si>
  <si>
    <t>2024-05-20</t>
  </si>
  <si>
    <t>2024-06-20</t>
  </si>
  <si>
    <t>2024-10-16 16:15:45</t>
  </si>
  <si>
    <t>2024-12-04 08:28:05</t>
  </si>
  <si>
    <t>2024-10-16 16:20:20</t>
  </si>
  <si>
    <t>2024-12-04 08:28:22</t>
  </si>
  <si>
    <t>2024-05-17</t>
  </si>
  <si>
    <t>2024-10-16 16:22:19</t>
  </si>
  <si>
    <t>2024-12-04 08:29:22</t>
  </si>
  <si>
    <t>2027-05-17</t>
  </si>
  <si>
    <t>2024-06-21</t>
  </si>
  <si>
    <t>2024-10-16 16:23:44</t>
  </si>
  <si>
    <t>2024-12-04 08:30:05</t>
  </si>
  <si>
    <t>2027-12-04</t>
  </si>
  <si>
    <t>2024-10-16 16:24:42</t>
  </si>
  <si>
    <t>2024-12-04 08:30:37</t>
  </si>
  <si>
    <t>2024-10-16 16:27:34</t>
  </si>
  <si>
    <t>2024-12-04 08:31:32</t>
  </si>
  <si>
    <t>2024-07-05</t>
  </si>
  <si>
    <t>2025-07-30 11:15:16</t>
  </si>
  <si>
    <t>2025-08-13 09:35:54</t>
  </si>
  <si>
    <t>2025-07-04 14:26:15</t>
  </si>
  <si>
    <t>2025-08-08 10:46:38</t>
  </si>
  <si>
    <t>2024-10-08</t>
  </si>
  <si>
    <t>2024-10-18 11:10:57</t>
  </si>
  <si>
    <t>2024-12-04 08:32:33</t>
  </si>
  <si>
    <t>2027-10-18</t>
  </si>
  <si>
    <t>2024-10-18 11:11:39</t>
  </si>
  <si>
    <t>2024-12-04 08:33:37</t>
  </si>
  <si>
    <t>2024-10-18 11:13:40</t>
  </si>
  <si>
    <t>2024-12-04 08:35:00</t>
  </si>
  <si>
    <t>2024-08-29</t>
  </si>
  <si>
    <t>2024-08-13</t>
  </si>
  <si>
    <t>2024-02-26</t>
  </si>
  <si>
    <t>2024-12-04 10:50:26</t>
  </si>
  <si>
    <t>2027-02-26</t>
  </si>
  <si>
    <t>2024-12-02</t>
  </si>
  <si>
    <t>2024-12-20 14:21:58</t>
  </si>
  <si>
    <t>2025-01-13 14:11:00</t>
  </si>
  <si>
    <t>2029-01-26</t>
  </si>
  <si>
    <t>2024-07-26</t>
  </si>
  <si>
    <t>2024-07-29 10:02:05</t>
  </si>
  <si>
    <t>2024-08-05 16:59:54</t>
  </si>
  <si>
    <t>2024-08-05</t>
  </si>
  <si>
    <t>2026-02-12</t>
  </si>
  <si>
    <t>2024-12-17</t>
  </si>
  <si>
    <t>2025-03-20 14:24:56</t>
  </si>
  <si>
    <t>2025-08-13 09:34:59</t>
  </si>
  <si>
    <t>2025-01-13</t>
  </si>
  <si>
    <t>2025-03-20 14:47:22</t>
  </si>
  <si>
    <t>2025-08-13 09:35:06</t>
  </si>
  <si>
    <t>2025-02-26 06:38:58</t>
  </si>
  <si>
    <t>2025-01-24 07:51:20</t>
  </si>
  <si>
    <t>2025-02-12 08:44:05</t>
  </si>
  <si>
    <t>2024-12-30</t>
  </si>
  <si>
    <t>2025-01-24 07:51:24</t>
  </si>
  <si>
    <t>2025-02-12 08:44:13</t>
  </si>
  <si>
    <t>2024-12-12</t>
  </si>
  <si>
    <t>2025-01-24 10:18:36</t>
  </si>
  <si>
    <t>2025-02-14 15:47:20</t>
  </si>
  <si>
    <t>2025-03-14</t>
  </si>
  <si>
    <t>2025-07-28 09:27:42</t>
  </si>
  <si>
    <t>2024-02-05</t>
  </si>
  <si>
    <t>2024-04-29 10:52:22</t>
  </si>
  <si>
    <t>2024-05-15 15:07:16</t>
  </si>
  <si>
    <t>2027-02-05</t>
  </si>
  <si>
    <t>2024-07-19 11:01:03</t>
  </si>
  <si>
    <t>2024-08-05 17:42:28</t>
  </si>
  <si>
    <t>2024-05-24</t>
  </si>
  <si>
    <t>2024-06-11 15:50:29</t>
  </si>
  <si>
    <t>2024-06-12 16:41:39</t>
  </si>
  <si>
    <t>2027-05-24</t>
  </si>
  <si>
    <t>2024-10-28</t>
  </si>
  <si>
    <t>2027-10-28</t>
  </si>
  <si>
    <t>2019-12-12</t>
  </si>
  <si>
    <t>2025-07-28 09:37:58</t>
  </si>
  <si>
    <t>2025-08-08 10:49:00</t>
  </si>
  <si>
    <t>2020-10-07</t>
  </si>
  <si>
    <t>2025-07-04 18:55:46</t>
  </si>
  <si>
    <t>2025-08-08 10:46:21</t>
  </si>
  <si>
    <t>P37 - Auditorías</t>
  </si>
  <si>
    <t>2025-02-07</t>
  </si>
  <si>
    <t>2025-12-29 16:52:48</t>
  </si>
  <si>
    <t>2025-02-06</t>
  </si>
  <si>
    <t>2025-02-07 14:29:35</t>
  </si>
  <si>
    <t>2026-02-07</t>
  </si>
  <si>
    <t>2019-12-26</t>
  </si>
  <si>
    <t>2023-11-16 15:21:37</t>
  </si>
  <si>
    <t>2024-06-13 08:42:36</t>
  </si>
  <si>
    <t>2024-06-20 17:37:30</t>
  </si>
  <si>
    <t>2024-07-22</t>
  </si>
  <si>
    <t>2024-09-03 17:02:34</t>
  </si>
  <si>
    <t>2025-02-05</t>
  </si>
  <si>
    <t>2025-09-05 11:21:59</t>
  </si>
  <si>
    <t>2025-09-17 09:27:36</t>
  </si>
  <si>
    <t>2026-09-17</t>
  </si>
  <si>
    <t>2025-09-05 11:21:35</t>
  </si>
  <si>
    <t>2025-09-17 09:27:47</t>
  </si>
  <si>
    <t>2025-09-05 11:25:11</t>
  </si>
  <si>
    <t>2025-09-17 09:27:57</t>
  </si>
  <si>
    <t>2025-09-05 11:22:33</t>
  </si>
  <si>
    <t>2025-09-17 09:28:06</t>
  </si>
  <si>
    <t>2024-08-13 16:42:14</t>
  </si>
  <si>
    <t>2025-11-18</t>
  </si>
  <si>
    <t>2025-12-16 08:20:41</t>
  </si>
  <si>
    <t>2023-12-05</t>
  </si>
  <si>
    <t>2024-08-13 16:47:25</t>
  </si>
  <si>
    <t>2026-12-05</t>
  </si>
  <si>
    <t>2024-01-24</t>
  </si>
  <si>
    <t>2024-08-13 16:50:42</t>
  </si>
  <si>
    <t>2027-01-24</t>
  </si>
  <si>
    <t>2024-07-02</t>
  </si>
  <si>
    <t>2026-01-21 10:46:56</t>
  </si>
  <si>
    <t>De forma</t>
  </si>
  <si>
    <t xml:space="preserve">Ajustes sugeridos </t>
  </si>
  <si>
    <t>Se realizaron los ajustes recomendados</t>
  </si>
  <si>
    <t>Ajustado conforme a reunión</t>
  </si>
  <si>
    <t>2024-08-13 16:52:54</t>
  </si>
  <si>
    <t>2023-11-28</t>
  </si>
  <si>
    <t>2025-03-17 01:02:38</t>
  </si>
  <si>
    <t>2025-04-07 16:36:20</t>
  </si>
  <si>
    <t>2024-06-17</t>
  </si>
  <si>
    <t>2025-03-27 14:36:03</t>
  </si>
  <si>
    <t>2025-04-07 16:34:39</t>
  </si>
  <si>
    <t>2027-06-17</t>
  </si>
  <si>
    <t>2025-05-23 11:10:44</t>
  </si>
  <si>
    <t>2025-06-25 09:21:04</t>
  </si>
  <si>
    <t>2025-03-10</t>
  </si>
  <si>
    <t>2025-03-12 15:39:45</t>
  </si>
  <si>
    <t>2025-05-06 08:33:55</t>
  </si>
  <si>
    <t>2025-02-27</t>
  </si>
  <si>
    <t>2025-08-05 10:29:00</t>
  </si>
  <si>
    <t>2025-08-12 15:38:04</t>
  </si>
  <si>
    <t>2026-08-12</t>
  </si>
  <si>
    <t>2025-03-17 11:31:13</t>
  </si>
  <si>
    <t>Ajustes conforme a la reunión</t>
  </si>
  <si>
    <t>2025-08-29 08:06:49</t>
  </si>
  <si>
    <t>2025-03-12 16:24:14</t>
  </si>
  <si>
    <t>2025-05-06 08:34:59</t>
  </si>
  <si>
    <t>2025-03-12 16:24:58</t>
  </si>
  <si>
    <t>2025-05-06 08:39:11</t>
  </si>
  <si>
    <t>Se añade la guía L-GU-6</t>
  </si>
  <si>
    <t>2025-03-28 11:22:06</t>
  </si>
  <si>
    <t>2025-03-28 11:27:46</t>
  </si>
  <si>
    <t>2025-09-05 11:41:43</t>
  </si>
  <si>
    <t>de forma</t>
  </si>
  <si>
    <t>2025-07-28 09:58:30</t>
  </si>
  <si>
    <t>2025-08-08 10:49:10</t>
  </si>
  <si>
    <t>2023-09-14</t>
  </si>
  <si>
    <t>2025-06-25 10:36:18</t>
  </si>
  <si>
    <t>2024-01-03</t>
  </si>
  <si>
    <t>2024-02-07 07:56:22</t>
  </si>
  <si>
    <t>2027-01-03</t>
  </si>
  <si>
    <t>2024-06-05</t>
  </si>
  <si>
    <t>2024-10-09 10:40:30</t>
  </si>
  <si>
    <t>2027-06-05</t>
  </si>
  <si>
    <t>2025-02-04</t>
  </si>
  <si>
    <t>2025-08-06 15:57:48</t>
  </si>
  <si>
    <t>2025-09-25 11:21:03</t>
  </si>
  <si>
    <t>2024-10-30</t>
  </si>
  <si>
    <t>2025-08-06 16:04:40</t>
  </si>
  <si>
    <t>2025-09-25 11:22:12</t>
  </si>
  <si>
    <t>2024-06-18</t>
  </si>
  <si>
    <t>2025-03-27 14:26:09</t>
  </si>
  <si>
    <t>2025-04-07 16:40:17</t>
  </si>
  <si>
    <t>2027-06-18</t>
  </si>
  <si>
    <t>2025-03-03</t>
  </si>
  <si>
    <t>2025-03-27 12:28:34</t>
  </si>
  <si>
    <t>2025-04-07 16:40:49</t>
  </si>
  <si>
    <t>2028-03-13</t>
  </si>
  <si>
    <t>2023-12-07</t>
  </si>
  <si>
    <t>2025-03-27 14:27:39</t>
  </si>
  <si>
    <t>2025-04-07 16:41:26</t>
  </si>
  <si>
    <t>2025-01-22</t>
  </si>
  <si>
    <t>2025-02-26 06:41:36</t>
  </si>
  <si>
    <t>2025-04-15 15:51:44</t>
  </si>
  <si>
    <t>2025-07-25 15:38:11</t>
  </si>
  <si>
    <t>2025-08-08 10:48:51</t>
  </si>
  <si>
    <t>P01 - Gestion estrategica</t>
  </si>
  <si>
    <t>P13 - Direccionamiento estrategico</t>
  </si>
  <si>
    <t>2025-04-04 11:55:17</t>
  </si>
  <si>
    <t>2028-04-04</t>
  </si>
  <si>
    <t>2024-08-13 16:58:22</t>
  </si>
  <si>
    <t>2026-12-07</t>
  </si>
  <si>
    <t>2021-06-16</t>
  </si>
  <si>
    <t>2025-10-14 07:44:17</t>
  </si>
  <si>
    <t>Cambio de código en los documentos</t>
  </si>
  <si>
    <t>Se ajusto en reunión con Calidad y Medio Ambiente</t>
  </si>
  <si>
    <t>2025-04-22</t>
  </si>
  <si>
    <t>2025-09-04 14:32:06</t>
  </si>
  <si>
    <t>2025-09-17 09:26:36</t>
  </si>
  <si>
    <t>2025-04-21</t>
  </si>
  <si>
    <t>2025-09-04 14:36:00</t>
  </si>
  <si>
    <t>2025-09-17 09:26:58</t>
  </si>
  <si>
    <t>2025-03-07</t>
  </si>
  <si>
    <t>2025-05-23 14:50:41</t>
  </si>
  <si>
    <t>2025-08-13 09:35:28</t>
  </si>
  <si>
    <t>2025-07-24</t>
  </si>
  <si>
    <t>2025-08-01 11:38:46</t>
  </si>
  <si>
    <t>2025-08-13 09:36:07</t>
  </si>
  <si>
    <t>Se agregaron codigos a los conceptos</t>
  </si>
  <si>
    <t>Se agregaron códigos a los conceptos</t>
  </si>
  <si>
    <t>2025-05-08</t>
  </si>
  <si>
    <t>2025-08-13 09:35:13</t>
  </si>
  <si>
    <t>2025-08-13 09:36:30</t>
  </si>
  <si>
    <t>2025-07-25 14:21:08</t>
  </si>
  <si>
    <t>2025-08-08 10:48:33</t>
  </si>
  <si>
    <t>2022-08-17</t>
  </si>
  <si>
    <t>2025-10-14 09:01:08</t>
  </si>
  <si>
    <t>2025-05-14</t>
  </si>
  <si>
    <t>2025-05-23 11:11:12</t>
  </si>
  <si>
    <t>2025-06-25 09:21:56</t>
  </si>
  <si>
    <t>2025-05-23 11:11:45</t>
  </si>
  <si>
    <t>2025-06-25 09:22:32</t>
  </si>
  <si>
    <t>2025-04-08</t>
  </si>
  <si>
    <t>2025-05-23 11:11:58</t>
  </si>
  <si>
    <t>2025-06-25 09:22:42</t>
  </si>
  <si>
    <t>2025-05-23 11:12:45</t>
  </si>
  <si>
    <t>2025-06-25 09:23:29</t>
  </si>
  <si>
    <t>2025-04-09</t>
  </si>
  <si>
    <t>2025-05-23 11:13:34</t>
  </si>
  <si>
    <t>2025-06-25 09:23:54</t>
  </si>
  <si>
    <t>2025-05-23 11:14:23</t>
  </si>
  <si>
    <t>2025-06-25 09:24:47</t>
  </si>
  <si>
    <t>2025-05-16</t>
  </si>
  <si>
    <t>2025-05-19 11:26:19</t>
  </si>
  <si>
    <t>2025-05-19 18:05:36</t>
  </si>
  <si>
    <t>2026-05-19</t>
  </si>
  <si>
    <t>2025-05-15</t>
  </si>
  <si>
    <t>2025-05-19 11:30:02</t>
  </si>
  <si>
    <t>2025-05-19 18:06:00</t>
  </si>
  <si>
    <t>2025-12-16 16:21:39</t>
  </si>
  <si>
    <t>Cambio en el literal 8 y 9</t>
  </si>
  <si>
    <t>Se realizaron ajustes en los procesos encargados del diligenciamiento de los formatos referenciados en el documento.</t>
  </si>
  <si>
    <t>2024-11-29</t>
  </si>
  <si>
    <t>2025-05-16 15:07:46</t>
  </si>
  <si>
    <t>2026-05-16</t>
  </si>
  <si>
    <t>2025-08-25 14:09:00</t>
  </si>
  <si>
    <t>2025-08-13 17:03:14</t>
  </si>
  <si>
    <t>2027-08-13</t>
  </si>
  <si>
    <t>2024-12-04</t>
  </si>
  <si>
    <t>2025-06-18 15:36:37</t>
  </si>
  <si>
    <t>2024-09-10</t>
  </si>
  <si>
    <t>2025-06-18 15:35:26</t>
  </si>
  <si>
    <t>2027-09-10</t>
  </si>
  <si>
    <t>2025-06-18 15:37:56</t>
  </si>
  <si>
    <t>2027-12-12</t>
  </si>
  <si>
    <t>2025-04-30</t>
  </si>
  <si>
    <t>2025-05-28 08:41:07</t>
  </si>
  <si>
    <t>2025-08-13 09:35:43</t>
  </si>
  <si>
    <t>P39 - Activos Fijos</t>
  </si>
  <si>
    <t>2024-09-19</t>
  </si>
  <si>
    <t>2025-08-11 14:37:00</t>
  </si>
  <si>
    <t>2025-11-26 15:51:52</t>
  </si>
  <si>
    <t>2024-09-18</t>
  </si>
  <si>
    <t>2025-08-11 14:38:09</t>
  </si>
  <si>
    <t>2025-11-26 15:52:02</t>
  </si>
  <si>
    <t>2025-08-11 14:38:18</t>
  </si>
  <si>
    <t>2025-11-26 15:52:07</t>
  </si>
  <si>
    <t>2025-02-20</t>
  </si>
  <si>
    <t>2025-09-04 14:37:13</t>
  </si>
  <si>
    <t>2025-09-17 09:27:11</t>
  </si>
  <si>
    <t>2025-09-04 14:37:49</t>
  </si>
  <si>
    <t>2025-09-17 09:27:24</t>
  </si>
  <si>
    <t>Cambio de fecha</t>
  </si>
  <si>
    <t>2024-06-04 16:58:34</t>
  </si>
  <si>
    <t>2024-06-12 16:42:26</t>
  </si>
  <si>
    <t>2025-07-04 14:28:10</t>
  </si>
  <si>
    <t>2025-08-08 10:46:47</t>
  </si>
  <si>
    <t>2025-07-25 15:43:47</t>
  </si>
  <si>
    <t>2025-08-08 10:48:45</t>
  </si>
  <si>
    <t>2020-04-24</t>
  </si>
  <si>
    <t>2025-07-08 08:50:11</t>
  </si>
  <si>
    <t>2025-08-08 10:47:51</t>
  </si>
  <si>
    <t>2025-04-28</t>
  </si>
  <si>
    <t>2025-07-07 16:02:37</t>
  </si>
  <si>
    <t>2025-07-08 16:14:18</t>
  </si>
  <si>
    <t>2026-07-08</t>
  </si>
  <si>
    <t>2025-05-27</t>
  </si>
  <si>
    <t>2021-10-25</t>
  </si>
  <si>
    <t>2025-06-05 10:25:55</t>
  </si>
  <si>
    <t>2025-09-25 17:09:24</t>
  </si>
  <si>
    <t>2024-10-25</t>
  </si>
  <si>
    <t>2024-12-11</t>
  </si>
  <si>
    <t>2025-08-19 07:44:03</t>
  </si>
  <si>
    <t>2027-12-11</t>
  </si>
  <si>
    <t>2022-08-29</t>
  </si>
  <si>
    <t>2022-08-29 00:00:00</t>
  </si>
  <si>
    <t>2025-08-29</t>
  </si>
  <si>
    <t>2025-06-26</t>
  </si>
  <si>
    <t>2025-08-19 07:42:51</t>
  </si>
  <si>
    <t>2028-06-26</t>
  </si>
  <si>
    <t>2025-07-15</t>
  </si>
  <si>
    <t>2025-07-15 14:56:03</t>
  </si>
  <si>
    <t>2025-07-15 15:03:09</t>
  </si>
  <si>
    <t>2025-07-16</t>
  </si>
  <si>
    <t>2025-06-05 10:20:59</t>
  </si>
  <si>
    <t>2025-07-25</t>
  </si>
  <si>
    <t>2025-12-29 16:54:58</t>
  </si>
  <si>
    <t>Cambio en los documentos relacionados</t>
  </si>
  <si>
    <t>Se modifico el código al recibo de caja y se agrego el formato M-FT-25, como documento relacionado.</t>
  </si>
  <si>
    <t>2025-07-30</t>
  </si>
  <si>
    <t>2025-08-11 10:58:55</t>
  </si>
  <si>
    <t>2025-11-26 15:52:13</t>
  </si>
  <si>
    <t>2025-08-06 17:01:33</t>
  </si>
  <si>
    <t>2025-08-08 10:49:22</t>
  </si>
  <si>
    <t>2023-01-30</t>
  </si>
  <si>
    <t>2023-01-30 00:00:00</t>
  </si>
  <si>
    <t>2026-01-30</t>
  </si>
  <si>
    <t>2025-08-14</t>
  </si>
  <si>
    <t>2028-08-14</t>
  </si>
  <si>
    <t>2025-10-14</t>
  </si>
  <si>
    <t>2025-10-14 09:56:27</t>
  </si>
  <si>
    <t>2025-10-14 17:17:20</t>
  </si>
  <si>
    <t>2025-10-21</t>
  </si>
  <si>
    <t>2025-11-21 08:04:30</t>
  </si>
  <si>
    <t>2026-01-28 10:45:51</t>
  </si>
  <si>
    <t>2025-12-16 16:22:36</t>
  </si>
  <si>
    <t>2025-11-07</t>
  </si>
  <si>
    <t>2025-12-16 16:23:05</t>
  </si>
  <si>
    <t>2024-08-13 17:00:26</t>
  </si>
  <si>
    <t>2025-06-13</t>
  </si>
  <si>
    <t>2020-12-07</t>
  </si>
  <si>
    <t>2020-12-07 00:00:00</t>
  </si>
  <si>
    <t>2024-01-26</t>
  </si>
  <si>
    <t>2024-05-02 15:53:38</t>
  </si>
  <si>
    <t>2027-01-26</t>
  </si>
  <si>
    <t>2023-09-11 00:00:00</t>
  </si>
  <si>
    <t>2025-07-07 14:15:39</t>
  </si>
  <si>
    <t>2025-08-19 10:01:25</t>
  </si>
  <si>
    <t>2025-07-07 14:28:11</t>
  </si>
  <si>
    <t>2022-08-25</t>
  </si>
  <si>
    <t>2023-11-16 10:21:36</t>
  </si>
  <si>
    <t>2026-01-26</t>
  </si>
  <si>
    <t>TIPO DE PROCESO</t>
  </si>
  <si>
    <t>Estrategicos</t>
  </si>
  <si>
    <t>Control</t>
  </si>
  <si>
    <t>Gestión de cumplimiento</t>
  </si>
  <si>
    <t>SAGRILAFT Y PTEE</t>
  </si>
  <si>
    <t>Misionales</t>
  </si>
  <si>
    <t>Compras de Suministros</t>
  </si>
  <si>
    <t>Apoyo</t>
  </si>
  <si>
    <t>Mantenimiento</t>
  </si>
  <si>
    <t>Activos fijos</t>
  </si>
  <si>
    <t>Gobierno Corporativo</t>
  </si>
  <si>
    <t>Gestión de activos</t>
  </si>
  <si>
    <t>Compras generales</t>
  </si>
  <si>
    <t>Gestión Tecnologica</t>
  </si>
  <si>
    <t>Gestion de proyectos corporativos</t>
  </si>
  <si>
    <t>Planeacion financiera corporativa - Ejecución financiera Unidades de Negocios.</t>
  </si>
  <si>
    <t>Costos y presupuestos</t>
  </si>
  <si>
    <r>
      <t xml:space="preserve">Gestion contractual - Seguimiento y control contractual
</t>
    </r>
    <r>
      <rPr>
        <sz val="11"/>
        <color rgb="FF00B050"/>
        <rFont val="Century Gothic"/>
        <family val="2"/>
      </rPr>
      <t>Actualizacion jurisprudencia - Realizar informes de gestion</t>
    </r>
    <r>
      <rPr>
        <sz val="11"/>
        <color theme="1"/>
        <rFont val="Century Gothic"/>
        <family val="2"/>
      </rPr>
      <t xml:space="preserve">
</t>
    </r>
    <r>
      <rPr>
        <sz val="11"/>
        <color rgb="FFFF0000"/>
        <rFont val="Century Gothic"/>
        <family val="2"/>
      </rPr>
      <t>Atencion juridica
Representación legal
Cobro juridico</t>
    </r>
  </si>
  <si>
    <r>
      <rPr>
        <sz val="11"/>
        <color rgb="FF00B050"/>
        <rFont val="Century Gothic"/>
        <family val="2"/>
      </rPr>
      <t xml:space="preserve">Elaboración de Estados Financieros e informes de gestion y cumplimiento.
Contabilización y cierre contable, elaboracion, revision y conciliacion de facturas 
Parametrizacion del sistema contable, Validación en listas vinculante y creación de terceros (proveedores), creación de unidades de negocios, centros de costos, documentos, cuentas
normativos
Auditoria al cierre mensual, arqueos de caja
Archivar documentación contable
</t>
    </r>
    <r>
      <rPr>
        <sz val="11"/>
        <color rgb="FFFF0000"/>
        <rFont val="Century Gothic"/>
        <family val="2"/>
      </rPr>
      <t xml:space="preserve">Gestion tributaria - gestion de certificados, Renovación de cámara de comercio, gestión de resoluciones de documentos electrónicos.
Respuesta a Requerimientos
Implementación de cambios contables
</t>
    </r>
    <r>
      <rPr>
        <sz val="11"/>
        <color theme="1"/>
        <rFont val="Century Gothic"/>
        <family val="2"/>
      </rPr>
      <t xml:space="preserve">Tesoreria, flujo de caja y pagos. Gestión de recaudo de ingresos AP, Cuadre de la caja, viaticos y legalizacion de pagos.
</t>
    </r>
  </si>
  <si>
    <t>Aviso de cobro pre-juridico</t>
  </si>
  <si>
    <t>Se cambio en la fecha de creación debido a cambio de proceso, paso de control interno a auditoria.</t>
  </si>
  <si>
    <t>2026-02-11</t>
  </si>
  <si>
    <t>2029-02-11</t>
  </si>
  <si>
    <t>Acta de devolución de equipos tecnológicos</t>
  </si>
  <si>
    <t>Procedimiento de ingreso de personal, accesos y permisos.</t>
  </si>
  <si>
    <t>Instructivo para creación de usuarios para ingreso a sedes</t>
  </si>
  <si>
    <t>Instructiva creación de espacios (salas de juntas)</t>
  </si>
  <si>
    <t>Instructiva reinstalación de un equipo</t>
  </si>
  <si>
    <t>Instructivo de reinicio de sensores y panel de alarma</t>
  </si>
  <si>
    <t>Instructivo de uso de mesa de ayuda Electroingeniería</t>
  </si>
  <si>
    <t>Instructivo para uso Sophos</t>
  </si>
  <si>
    <t>Procedimiento recepcion, etiquetado, ensamble de materiales para modernizaciones</t>
  </si>
  <si>
    <t>Desmonte y disposición final de materiales retirados (entrega a  interventoria)</t>
  </si>
  <si>
    <t>Proceso de garantias de luminarias</t>
  </si>
  <si>
    <t>Instructivo de ingreso de mercancia en el ERP de las compras de AP</t>
  </si>
  <si>
    <t>Instructivo para manejo de sustancias quimicas</t>
  </si>
  <si>
    <t>Procedieminto de instalación y mantenimiento de tableros de distribución general en baja tensión</t>
  </si>
  <si>
    <t>Instructivo para izaje de postes</t>
  </si>
  <si>
    <t>Procedimiento general para el trabajo en alturas</t>
  </si>
  <si>
    <t>Instructivo para trbajo seguro en caliente (Corte, Soldadura SMAW, Exotermica)</t>
  </si>
  <si>
    <t>Procedimento de rescate en alturas</t>
  </si>
  <si>
    <t>Instructivo para trabajos con grúa articula con canasta</t>
  </si>
  <si>
    <t>Instructivo para el uso de los EPP y herramientas</t>
  </si>
  <si>
    <t>Instructivo de uso de Exati administrador</t>
  </si>
  <si>
    <t>Instructivo de uso de Exati operativo</t>
  </si>
  <si>
    <t>Guía para el bloqueo y etiquetado de energias peligrosas</t>
  </si>
  <si>
    <t>Guía para la gestión de comunicaciones internas</t>
  </si>
  <si>
    <t>Guía para la elaboración y envío de plantillas de ingreso y cambio de cargo</t>
  </si>
  <si>
    <t>Guía para realizar entrevistas laborales</t>
  </si>
  <si>
    <t>H-FT-80</t>
  </si>
  <si>
    <t>2026-02-20</t>
  </si>
  <si>
    <t>2029-02-20</t>
  </si>
  <si>
    <t>H-FT-78</t>
  </si>
  <si>
    <t>H-FT-79</t>
  </si>
  <si>
    <t>H-FT-81</t>
  </si>
  <si>
    <t>H-PT-2</t>
  </si>
  <si>
    <t>Guía de afiliación a EPS</t>
  </si>
  <si>
    <t>Guía de lineamientos para convocatorias internas</t>
  </si>
  <si>
    <t>H-FT-9</t>
  </si>
  <si>
    <t>Procedimiento para creación de cuentas en bancos</t>
  </si>
  <si>
    <t>Guía Proyección de la unidad (suministro – Proyectos)</t>
  </si>
  <si>
    <t>Rotación de cartera, inventario, proveedores</t>
  </si>
  <si>
    <t>Guía para Actualizar cupo de créditos en bancos</t>
  </si>
  <si>
    <t>Plantilla de presupuesto por unidad de negocio</t>
  </si>
  <si>
    <t>Plantilla de presupuesto por áreas</t>
  </si>
  <si>
    <t>Plantilla de presupuesto, Resumen</t>
  </si>
  <si>
    <t>Bitacora de modificaciones presupuestales</t>
  </si>
  <si>
    <t>Bitacora de desviciones por área</t>
  </si>
  <si>
    <t>Bitacora de desviciones presupuestales (acumulada)</t>
  </si>
  <si>
    <t>Instructivos de actualizacion de presupuestos en power bi</t>
  </si>
  <si>
    <t>Procedimiento de modificaciones para presupuestos</t>
  </si>
  <si>
    <t>Procediemiento para subir información a siesa</t>
  </si>
  <si>
    <t>Política presupuestal</t>
  </si>
  <si>
    <t>Formato para contrato de concesión.</t>
  </si>
  <si>
    <t>Formato Resumen de los usuarios consumo.</t>
  </si>
  <si>
    <t>Procedimiento indexación de las tarifas.</t>
  </si>
  <si>
    <t>Procedimiento Consolidación de fiducias.</t>
  </si>
  <si>
    <t>Procedimiento Identificación de los usuarios.</t>
  </si>
  <si>
    <t>Procedimiento Para el seguimiento de identificación de comercializadoras.</t>
  </si>
  <si>
    <t>Formato de identificación de consignaciones cuentas fiducias</t>
  </si>
  <si>
    <t>Finanzas</t>
  </si>
  <si>
    <t>Juridico</t>
  </si>
  <si>
    <t>Contabilidad</t>
  </si>
  <si>
    <t>Cumplimiento</t>
  </si>
  <si>
    <t>Procedimiento de importaciones</t>
  </si>
  <si>
    <t>Matriz control de vacantes</t>
  </si>
  <si>
    <t xml:space="preserve">Formato publicación de vacante interna </t>
  </si>
  <si>
    <t xml:space="preserve">Formato para publicación de vacante interna </t>
  </si>
  <si>
    <t xml:space="preserve">Matriz de calificación convocatoria interna </t>
  </si>
  <si>
    <t>Base de datos llamadas a entrevista</t>
  </si>
  <si>
    <t>Instructivo para realizar plantillas de ingreso</t>
  </si>
  <si>
    <t>Lineamientos basicos para comunicaciones internas</t>
  </si>
  <si>
    <t>Procedimiento de selección y contratación</t>
  </si>
  <si>
    <t>Instructivo de afiliación por EPS</t>
  </si>
  <si>
    <t>Formato de solicitud de personal</t>
  </si>
  <si>
    <t>Diligenciar base de datos llamadas a entrevista</t>
  </si>
  <si>
    <t>Guia para la realizacion de enrevistas</t>
  </si>
  <si>
    <t>Formato para validación de referencias laborales</t>
  </si>
  <si>
    <t>Envio de forms caracterización del personal</t>
  </si>
  <si>
    <t>Formato de inducción</t>
  </si>
  <si>
    <t>Video corporativo inducción laboral</t>
  </si>
  <si>
    <t>Formato de datos personales</t>
  </si>
  <si>
    <t>Formatos de evaluación</t>
  </si>
  <si>
    <t>Formato entrega de dotación y EPPS</t>
  </si>
  <si>
    <t>Formato entrega descriptor de cargo y descriptor de cargo</t>
  </si>
  <si>
    <t xml:space="preserve">Formato de contrato </t>
  </si>
  <si>
    <t>Formato documentos de ingreso</t>
  </si>
  <si>
    <t>Acta de entrega del reglamento, carnet y documentos sst</t>
  </si>
  <si>
    <t>Protocolo para llamadas a entrevistas</t>
  </si>
  <si>
    <t>Lineamientos para calificacón de convocatorias internas</t>
  </si>
  <si>
    <t>Formato de notificacion convocatoria interna</t>
  </si>
  <si>
    <t>Procedimiento de incorporación laboral (onboarding)</t>
  </si>
  <si>
    <t>Protocolo onboarding (que se le da de bienvenida, presentación formal de la persona reunion virtual y digital, presentación al equipo, quien lo apadrina, presentación del organigrama, valores, sst debe de hacer induccion en campo para cargos operativos)</t>
  </si>
  <si>
    <t>Formato de entrega de elementos de trabajo</t>
  </si>
  <si>
    <t>Formato de seguimiento y retroalimentación (Reunión de seguimiento (30, 60 o 90 días))</t>
  </si>
  <si>
    <t>Formato de evaluación (6 meses)</t>
  </si>
  <si>
    <t>Procedimiento para la desvinculación del personal (offboarding)</t>
  </si>
  <si>
    <t>Formatos para formalizacion del egreso (examen medico egreso,documentos de egreso que corresponda, carta laboral, seguridad social)</t>
  </si>
  <si>
    <t>Formato entrevista de retiro (si aplica)</t>
  </si>
  <si>
    <t>Formato entrega del puesto</t>
  </si>
  <si>
    <t>Notificación interna a las áreas involucradas (GH, jefe inmediato, nómina, TI, SST)</t>
  </si>
  <si>
    <t>Checklist desvinculación</t>
  </si>
  <si>
    <t>Checklist novedades y cambios contractuales</t>
  </si>
  <si>
    <t>Acuerdos de servicio</t>
  </si>
  <si>
    <t>Instructivo novedades a reportar</t>
  </si>
  <si>
    <t>Procedimiento para la administración de la dotación
(definir dias para cambios) dentro del proceso poner que hacer en caso de una garantia o devolución</t>
  </si>
  <si>
    <t>Excel tallas del personal</t>
  </si>
  <si>
    <t>Formato excel admi inventario</t>
  </si>
  <si>
    <t>Formato pedido de dotación</t>
  </si>
  <si>
    <t>Formato entrega de dotación</t>
  </si>
  <si>
    <t>Instructivo para la administracion del inventario (entradas y slaidas en siesa)</t>
  </si>
  <si>
    <t>Procedimiento de avisos y notificacion de prorrogas
(incluir normatividad)</t>
  </si>
  <si>
    <t>Formatos de finalización y prorroga</t>
  </si>
  <si>
    <t>Matriz control vencimientos de contrato</t>
  </si>
  <si>
    <t>Programa de bienestar</t>
  </si>
  <si>
    <t>Cronograma de ejecución</t>
  </si>
  <si>
    <t>Presupuesto aprobado para la vigencia</t>
  </si>
  <si>
    <t>Encuesta y diagnostico clima organizacinal (definir si debemos realizar instructivo o procedimiento de las encuestas de clima)</t>
  </si>
  <si>
    <t>Instructivo para salvaguardar la información física y digital</t>
  </si>
  <si>
    <t xml:space="preserve">
Procedimiento evaluaicones de desempeño
</t>
  </si>
  <si>
    <t>Diccionario de competencias</t>
  </si>
  <si>
    <t>Descriptores de cargo</t>
  </si>
  <si>
    <t>Grupos orgnizacionales</t>
  </si>
  <si>
    <t>Instructivos uso de la plataforma</t>
  </si>
  <si>
    <t>Matriz resultados consolidados</t>
  </si>
  <si>
    <t>Procedimiento planes de desarrollo</t>
  </si>
  <si>
    <t>Acta de compromiso</t>
  </si>
  <si>
    <t>Excel seguimientos</t>
  </si>
  <si>
    <t>Procedimineto de incapacidades</t>
  </si>
  <si>
    <t>Excel reporte de incapacidades</t>
  </si>
  <si>
    <t>Excel seguimiento al cobro de las incapacidades</t>
  </si>
  <si>
    <t>Instructivo para radicar ante cada EPS</t>
  </si>
  <si>
    <t xml:space="preserve">Procedimiento para capacitaciones </t>
  </si>
  <si>
    <t xml:space="preserve"> Excel registro de capacitaciones </t>
  </si>
  <si>
    <t>Procedimiento para la elaboración y actualización de los descriptores de cargo</t>
  </si>
  <si>
    <t>Plantilla borrador funciones</t>
  </si>
  <si>
    <t>Excel avance y seguimiento</t>
  </si>
  <si>
    <t>Entrevista preoperacional</t>
  </si>
  <si>
    <t>Formato descriptor de cargo</t>
  </si>
  <si>
    <t>Acta de entrega descriptor de cargo</t>
  </si>
  <si>
    <t>Procedimiento para el retiro de cesantias</t>
  </si>
  <si>
    <t>Formato carta autorización retiro de cesantias</t>
  </si>
  <si>
    <t>Formato solicitud retiro de cesantias</t>
  </si>
  <si>
    <t>Procedimiento para solicitud y autorización de compensaciones</t>
  </si>
  <si>
    <t>Procedimiento para iniciar procesos disciplinarios</t>
  </si>
  <si>
    <t>Formato de citación a descargos</t>
  </si>
  <si>
    <t>Acta de descargos</t>
  </si>
  <si>
    <t>Formato de llamado de atención, suspensión o finalización de contrato</t>
  </si>
  <si>
    <t>Procedimiento para solicitud de permisos</t>
  </si>
  <si>
    <t>Formato de permiso no remunerado</t>
  </si>
  <si>
    <t>Formato de aprobación</t>
  </si>
  <si>
    <t>Checklist de vinculación</t>
  </si>
  <si>
    <t>Acuerdo de servicio</t>
  </si>
  <si>
    <t>2026-03-02 15:54:37</t>
  </si>
  <si>
    <t>2027-03-02</t>
  </si>
  <si>
    <t>2026-03-02 15:54:03</t>
  </si>
  <si>
    <t>2026-03-02 14:35:48</t>
  </si>
  <si>
    <t>2026-03-02 15:53:46</t>
  </si>
  <si>
    <t>2026-03-02 15:54:08</t>
  </si>
  <si>
    <t>2026-03-02 15:53:52</t>
  </si>
  <si>
    <t>2026-03-02 15:53:57</t>
  </si>
  <si>
    <t>2026-03-02 14:29:23</t>
  </si>
  <si>
    <t>2026-03-02 15:54:16</t>
  </si>
  <si>
    <t>2026-03-02 15:54:22</t>
  </si>
  <si>
    <t>2026-03-02 15:54:43</t>
  </si>
  <si>
    <t>2026-03-02 15:54:29</t>
  </si>
  <si>
    <t>2026-03-02 15:54:51</t>
  </si>
  <si>
    <t>2026-03-02 15:55:00</t>
  </si>
  <si>
    <t>H-GU-5</t>
  </si>
  <si>
    <t>H-GU-6</t>
  </si>
  <si>
    <t>Se adicionaron políticas y procedimientos para el manejo del vehículo y se definieron los responsables de la entrega y el reintegro de este.</t>
  </si>
  <si>
    <t>PDF editable</t>
  </si>
  <si>
    <t>PDF editable.</t>
  </si>
  <si>
    <t>Pregunta 4</t>
  </si>
  <si>
    <t>Se realiza modificación a la definición de la pregunta 4</t>
  </si>
  <si>
    <t>Revisior</t>
  </si>
  <si>
    <t>nuevo</t>
  </si>
  <si>
    <t>revisor</t>
  </si>
  <si>
    <t>Se agrego un anexo</t>
  </si>
  <si>
    <t>Nuevo</t>
  </si>
  <si>
    <t>Estructura y contenido</t>
  </si>
  <si>
    <t>Se toma en cuenta recomendaciones dadas y se agregan nuevas filas en blanco</t>
  </si>
  <si>
    <t>Se ajusto conforme a las recomendaciones dadas.</t>
  </si>
  <si>
    <t>contenido de disposición final</t>
  </si>
  <si>
    <t>5</t>
  </si>
  <si>
    <t>En las firmas se agrego la ciudad, para que el deudor indique a que ciudad corresponde la dirección.</t>
  </si>
  <si>
    <t>cambios en la hoja 1 y 3</t>
  </si>
  <si>
    <t>se agregaron parametros</t>
  </si>
  <si>
    <t>Juan Camilo Montoya Peñaranda</t>
  </si>
  <si>
    <t>Hoja membrete</t>
  </si>
  <si>
    <t>Cambio de la hoja membrete</t>
  </si>
  <si>
    <t>Alcance para la edición del formato.</t>
  </si>
  <si>
    <t>El alcance para la edición en el apartado del cupo se amplio para que pueda ser modificado cuando se requiera que el cupo sea variable.</t>
  </si>
  <si>
    <t>En el contenido del formato</t>
  </si>
  <si>
    <t xml:space="preserve">Se eliminó el párrafo correspondiente a solicitar la documentación de manera física. </t>
  </si>
  <si>
    <t>Se eliminó el pie de página con la aclaración El presente pagaré aplica para créditos por cuantías mayores o iguales a 300 SMMLV... y se agrego el campo correo de notificación de los deudores.</t>
  </si>
  <si>
    <t>se agregaron nuevos parametros</t>
  </si>
  <si>
    <t>en la hoja 2 y 3</t>
  </si>
  <si>
    <t>Estructura del formato</t>
  </si>
  <si>
    <t>Se adecuó para ser utilizado por los demás procesos administrativos en el registro y seguimiento de los activos y equipos de la empresa.</t>
  </si>
  <si>
    <t>Cambio en la codificación de documentos</t>
  </si>
  <si>
    <t>Nombre, Sección 1, Sección 7, cláusulas y  autorizaciones.</t>
  </si>
  <si>
    <t>El documento cambio de nombre, se le modificó la sección de información personal, información contable y tributaria, se le agrego cláusulas y autorizaciones, se definieron responsables para firma.</t>
  </si>
  <si>
    <t>Error en documento cargado</t>
  </si>
  <si>
    <t xml:space="preserve">Nuevo revisor </t>
  </si>
  <si>
    <t>actualización</t>
  </si>
  <si>
    <t>Formulas</t>
  </si>
  <si>
    <t>Daniela  Murgueitio</t>
  </si>
  <si>
    <t>NA</t>
  </si>
  <si>
    <t>Macro</t>
  </si>
  <si>
    <t>Actualización de macros</t>
  </si>
  <si>
    <t>Cambio en la codificación de los documentos</t>
  </si>
  <si>
    <t>Contenido con un código antiguo</t>
  </si>
  <si>
    <t>Ajuste de estructura.</t>
  </si>
  <si>
    <t>Actualizacion anual</t>
  </si>
  <si>
    <t>Actualizacion de abril 2025</t>
  </si>
  <si>
    <t>Actualizacion Anual</t>
  </si>
  <si>
    <t>Cambio de tarifas y condición aprobadas. (Abril 2025)</t>
  </si>
  <si>
    <t>Actualizacion Junio 2025</t>
  </si>
  <si>
    <t>Cambios en tarifas aplicables, revisado con las diferentes áreas de la empresa. Sea aprueba directamente porque previamente via correo electronico hubo revisiones aprobaciones por parte de Lina Salazar y Claudia Gironza.</t>
  </si>
  <si>
    <t>Se modifico la fecha de creación, ya que tenia la fecha de la primera versión del documento.</t>
  </si>
  <si>
    <t>Cambio de código</t>
  </si>
  <si>
    <t>DOCUMENTO CON FIRMA</t>
  </si>
  <si>
    <t>Error en versiones</t>
  </si>
  <si>
    <t>Error en versiones.</t>
  </si>
  <si>
    <t>Listado de documentos solicitados al cliente</t>
  </si>
  <si>
    <t>Cambio en listado de documentos solicitados al cliente.</t>
  </si>
  <si>
    <t>Se agregaron al listado documentos</t>
  </si>
  <si>
    <t>Se agregaron al listado documentos y se modificaron algunos ya presentes en el documento.</t>
  </si>
  <si>
    <t>SIESA</t>
  </si>
  <si>
    <t>Se carga el formato exportado directamente de SIESA.</t>
  </si>
  <si>
    <t>Fecha errónea</t>
  </si>
  <si>
    <t>Se eliminaron algunos revisores</t>
  </si>
  <si>
    <t>Contenido de las preguntas</t>
  </si>
  <si>
    <t>Documento Correcto</t>
  </si>
  <si>
    <t>Se agregaron los documentos nuevos</t>
  </si>
  <si>
    <t>Ajustes pertinentes</t>
  </si>
  <si>
    <t>Buen día, me permito subir documento con los ajustes pertinentes.</t>
  </si>
  <si>
    <t>Imagen</t>
  </si>
  <si>
    <t>2026-03-10 17:06:40</t>
  </si>
  <si>
    <t>2029-03-10</t>
  </si>
  <si>
    <t>se aprueba el documento en el Acta Extraordinaria de Asamblea  de Accionistas No 84 de Diciembre 09 2025</t>
  </si>
  <si>
    <t>Ajustes de formato en la tabla de contenido</t>
  </si>
  <si>
    <t>aprobado</t>
  </si>
  <si>
    <t>El programa es aprobado por el Acta Extraordinaria de Asamblea  de Accionistas No 84 de Diciembre 09 2025</t>
  </si>
  <si>
    <t>2026-03-10 17:20:04</t>
  </si>
  <si>
    <t>2027-03-10</t>
  </si>
  <si>
    <t>Actualización</t>
  </si>
  <si>
    <t>Ajustes en la versión</t>
  </si>
  <si>
    <t>2026-03-12 17:06:00</t>
  </si>
  <si>
    <t>2026-03-12 17:13:14</t>
  </si>
  <si>
    <t>2026-03-12 17:06:06</t>
  </si>
  <si>
    <t>2026-03-12 17:13:19</t>
  </si>
  <si>
    <t>2026-03-09 17:17:32</t>
  </si>
  <si>
    <t>2027-03-09</t>
  </si>
  <si>
    <t>2026-03-09 17:17:16</t>
  </si>
  <si>
    <t>2026-03-12 16:41:49</t>
  </si>
  <si>
    <t>2026-03-12 17:13:24</t>
  </si>
  <si>
    <t>2026-03-12 17:05:54</t>
  </si>
  <si>
    <t>2026-03-12 17:13:28</t>
  </si>
  <si>
    <t>2026-03-12 15:36:59</t>
  </si>
  <si>
    <t>2026-03-12 17:13:35</t>
  </si>
  <si>
    <t>2026-03-12 15:43:18</t>
  </si>
  <si>
    <t>2026-03-12 17:13:40</t>
  </si>
  <si>
    <t>2026-03-12 15:49:11</t>
  </si>
  <si>
    <t>2026-03-12 17:08:55</t>
  </si>
  <si>
    <t>2026-03-12 17:13:46</t>
  </si>
  <si>
    <t>2026-03-12 16:40:21</t>
  </si>
  <si>
    <t>2026-03-12 17:13:53</t>
  </si>
  <si>
    <t>2026-03-12 15:39:47</t>
  </si>
  <si>
    <t>2026-03-12 17:13:59</t>
  </si>
  <si>
    <t>2026-03-12 14:51:25</t>
  </si>
  <si>
    <t>2026-03-12 17:14:05</t>
  </si>
  <si>
    <t>P09 - Gestión juridica</t>
  </si>
  <si>
    <t>Política de tratamiento de datos personales</t>
  </si>
  <si>
    <t>J-PO-1</t>
  </si>
  <si>
    <t>2026-03-10</t>
  </si>
  <si>
    <t>2026-03-11 09:54:21</t>
  </si>
  <si>
    <t>Nathalia Escobar Velasquez</t>
  </si>
  <si>
    <t xml:space="preserve">Gestión juridica </t>
  </si>
  <si>
    <t>Checklist de preingreso y vinculación de personal</t>
  </si>
  <si>
    <t>Control de entrada y salida de herramientas y equipos</t>
  </si>
  <si>
    <t>Instructivo para solicitud de crédito en la plataforma seguroexpo (cesce)</t>
  </si>
  <si>
    <t>Instructivo para reporte de ventas en la plataforma seguroexpo (cesce)</t>
  </si>
  <si>
    <t>Instructivo para firma de documentos electronicos en platafomra auco</t>
  </si>
  <si>
    <t>2026-03-16 10:11:02</t>
  </si>
  <si>
    <t>2026-03-17 07:59:09</t>
  </si>
  <si>
    <t>2026-03-17 12:00:07</t>
  </si>
  <si>
    <t>2027-03-17</t>
  </si>
  <si>
    <t>Cambio de margenes</t>
  </si>
  <si>
    <t>actualización de margenes y espacios</t>
  </si>
  <si>
    <t>2026-03-27 11:24:18</t>
  </si>
  <si>
    <t>2026-03-27 11:24:49</t>
  </si>
  <si>
    <t>7</t>
  </si>
  <si>
    <t>Contenido en general</t>
  </si>
  <si>
    <t xml:space="preserve">Reestructuración en las tarifas del combustible, casino y restaurante, refrigerios grupales, se agregó una nota donde se menciona que todo trabajador que tenga programado el disfrute de vacaciones deberá dejar legalizados los avances de gestión pendientes, en el literal 3.1, se menciona un documento equivalente este se refiere a cualquier tipo de comprobante que, aunque no sea un documento físico o formalmente emitido como factura o recibo., en medios de justificación autorizados, se debe enviar el formato por correo electrónico al área contable. El contenido de la autorización o justificación </t>
  </si>
  <si>
    <t>2026-03-17 07:59:11</t>
  </si>
  <si>
    <t>2026-03-17 12:00:16</t>
  </si>
  <si>
    <t>Se modifican entradas</t>
  </si>
  <si>
    <t>Se actualizan nombres de formatos y descripción de algunas entradas</t>
  </si>
  <si>
    <t>Margenes del documento</t>
  </si>
  <si>
    <t>Se ajusto margenes del documento</t>
  </si>
  <si>
    <t>HORARIOS DE RECEPCIÓN DE  MERCANCÍA</t>
  </si>
  <si>
    <t xml:space="preserve">Se cambiaron los horarios de recepción de mercancía. </t>
  </si>
  <si>
    <t>Maria Fernanda Zamudio Quenan</t>
  </si>
  <si>
    <t>Paso 7.7</t>
  </si>
  <si>
    <t>Se cambiaron los valores de las cantidades mínimas</t>
  </si>
  <si>
    <t>2026-03-31 11:37:39</t>
  </si>
  <si>
    <t>2027-03-31</t>
  </si>
  <si>
    <t>MANUAL DE IDENTIDAD CORPORATIVA</t>
  </si>
  <si>
    <t>E-MA-1</t>
  </si>
  <si>
    <t>2026-04-13</t>
  </si>
  <si>
    <t>2026-04-13 08:36:33</t>
  </si>
  <si>
    <t>2027-04-13</t>
  </si>
  <si>
    <t>Carga del documento</t>
  </si>
  <si>
    <t>Se carga manual al Binaps</t>
  </si>
  <si>
    <t>carga de docuemnto</t>
  </si>
  <si>
    <t>la anterior carga no fue exitosa</t>
  </si>
  <si>
    <t>GUIA DE AFILIACIÓN A EPS</t>
  </si>
  <si>
    <t>2029-04-15</t>
  </si>
  <si>
    <t>July Andrea Lopez Valencia</t>
  </si>
  <si>
    <t>H-GU-7</t>
  </si>
  <si>
    <t>Matriz de calificación convocatoria Interna</t>
  </si>
  <si>
    <t>Caracterización datos del personal</t>
  </si>
  <si>
    <t>Procedimiento desvinculación del personal</t>
  </si>
  <si>
    <t>Instructivo para la administración del inventario</t>
  </si>
  <si>
    <t>Instructivo de manejo de plataforma auco para firmas digitales</t>
  </si>
  <si>
    <t>instructivo de manejo de plataforma  datacredito EXPERIAN</t>
  </si>
  <si>
    <t>Instructivo para la aprobación de horas extras en BUK asistencia</t>
  </si>
  <si>
    <t xml:space="preserve">Instructivo para la asignación de turnos en BUK asistencia </t>
  </si>
  <si>
    <t>Instructivo para el registro de marcaciones en el aplicativo</t>
  </si>
  <si>
    <t>Instructivo para el registro de marcaciones en el biométrico</t>
  </si>
  <si>
    <t>Manual de gestión de cobro</t>
  </si>
  <si>
    <t>Política de aprobación de solicitudes de crédito</t>
  </si>
  <si>
    <t>Requisicion de compras administrativas</t>
  </si>
  <si>
    <t>INSTRUCTIVO PARA EL USO DE LA MAQUINA DE CABLES</t>
  </si>
  <si>
    <t>INSTRUCTIVO PARA LA EJECUCIÓN DE INVENTARIOS INTERNOS DEL ÁREA DE LOGÍSTICA FALTANIMG</t>
  </si>
  <si>
    <t xml:space="preserve">GUIA PARA ATENCIÓN Y SERVICIO AL CLIENTE </t>
  </si>
  <si>
    <t>PROCEDIMIENTO CONTABILIZACIÓN Y VERIFICACIÓN DE INVENTARIOS</t>
  </si>
  <si>
    <t>GUÍA PARA EL CORRECTO ALMACENAMIENTO</t>
  </si>
  <si>
    <t>Insumo de obras</t>
  </si>
  <si>
    <t>Procedimiento de compras administrativas</t>
  </si>
  <si>
    <t>Politica de confirmación de pagos y validación de soportes</t>
  </si>
  <si>
    <t>Política de aprobación de horas extras y tiempo adicional</t>
  </si>
  <si>
    <t>Programa de prevención y protección contra caídas en altura</t>
  </si>
  <si>
    <t>Procedimiento de compras de suministros eléctricos - Logistica</t>
  </si>
  <si>
    <t>Procedimiento de compras de suministros eléctricos - Ventas</t>
  </si>
  <si>
    <t>PROCEDIMIENTO DE FACTURACIÓN DEL PEDIDO</t>
  </si>
  <si>
    <t>Procedimiento de  entrega o despacho de mercancía</t>
  </si>
  <si>
    <t>PROCEDIMIENTO DE ALISTAMIENTO DE MERCANCÍA</t>
  </si>
  <si>
    <t>PROCEDIMIENTO RECEPCIÓN DE PEDIDOS</t>
  </si>
  <si>
    <t>PROCEDIMIENTO PARA LA GESTIÓN Y EJECUCIÓN DE CORTE DE CABLES</t>
  </si>
  <si>
    <t>MANUAL OPERATIVO Y GUÍA TÉCNICA DEL AUX LOGISTICO</t>
  </si>
  <si>
    <t>Guía de señalización TA</t>
  </si>
  <si>
    <t>INSTRUCTIVO DE CÓMO CREAR UNA REQUISICIÓN DE COMPRA ADMINISTRATIVA</t>
  </si>
  <si>
    <t>Checklist de ingreso para técnico electricista</t>
  </si>
  <si>
    <t>Política para solicitud y control de permisos laborales</t>
  </si>
  <si>
    <t>P</t>
  </si>
  <si>
    <t>Manual de connvivencia laboral</t>
  </si>
  <si>
    <t>2026-05-12 16:33:05</t>
  </si>
  <si>
    <t>2027-05-12</t>
  </si>
  <si>
    <t>SE ACUTALIZAN IMAGENES YSE AÑADE PROCESO</t>
  </si>
  <si>
    <t>Juan Esteban Perez Tobon</t>
  </si>
  <si>
    <t>2026-05-25 10:01:48</t>
  </si>
  <si>
    <t>2026-05-25 10:10:51</t>
  </si>
  <si>
    <t>2027-05-25</t>
  </si>
  <si>
    <t>tabla de tarifas de casino</t>
  </si>
  <si>
    <t>se actualizo Rio frio</t>
  </si>
  <si>
    <t>2026-05-12 16:45:15</t>
  </si>
  <si>
    <t>2026-05-12 16:30:51</t>
  </si>
  <si>
    <t>2026-06-04 08:20:31</t>
  </si>
  <si>
    <t>2026-07-15 14:29:44</t>
  </si>
  <si>
    <t xml:space="preserve">Paso 3 y 4 </t>
  </si>
  <si>
    <t>Acutalización</t>
  </si>
  <si>
    <t>4</t>
  </si>
  <si>
    <t>2026-07-15 11:19:44</t>
  </si>
  <si>
    <t>2026-07-15 11:22:37</t>
  </si>
  <si>
    <t>actualización del documento</t>
  </si>
  <si>
    <t>actualización del listado de documentos requeridos</t>
  </si>
  <si>
    <t>2026-06-04 08:20:49</t>
  </si>
  <si>
    <t>2026-07-15 14:29:49</t>
  </si>
  <si>
    <t>ACTUALIZACION GENERAL</t>
  </si>
  <si>
    <t>LA MAYORIA DE PUNTOS</t>
  </si>
  <si>
    <t>2026-06-03</t>
  </si>
  <si>
    <t>2026-06-04 08:21:49</t>
  </si>
  <si>
    <t>2026-07-15 14:29:53</t>
  </si>
  <si>
    <t>Actualizacion</t>
  </si>
  <si>
    <t>correccion de errores</t>
  </si>
  <si>
    <t>2026-06-04 08:23:26</t>
  </si>
  <si>
    <t>2026-07-15 14:30:00</t>
  </si>
  <si>
    <t>actualizacion</t>
  </si>
  <si>
    <t>actualizacion total</t>
  </si>
  <si>
    <t>2026-06-04 08:24:27</t>
  </si>
  <si>
    <t>2026-07-15 14:30:09</t>
  </si>
  <si>
    <t>modificacion de parametros</t>
  </si>
  <si>
    <t>2026-06-04 08:24:40</t>
  </si>
  <si>
    <t>2026-07-15 14:30:40</t>
  </si>
  <si>
    <t>Procedimiento de despacho de mercancía</t>
  </si>
  <si>
    <t>2026-06-04 08:24:55</t>
  </si>
  <si>
    <t>2026-07-15 14:30:48</t>
  </si>
  <si>
    <t xml:space="preserve">ACTUALIZACIÓN DE DOCUMENTO </t>
  </si>
  <si>
    <t>2026-04-30 08:45:33</t>
  </si>
  <si>
    <t>2026-06-10 15:02:39</t>
  </si>
  <si>
    <t>2027-06-10</t>
  </si>
  <si>
    <t>2026-05-12 16:48:07</t>
  </si>
  <si>
    <t>2026-05-12 16:50:46</t>
  </si>
  <si>
    <t>2026-07-07 08:25:23</t>
  </si>
  <si>
    <t>Política de garantías</t>
  </si>
  <si>
    <t>2026-06-04 08:24:59</t>
  </si>
  <si>
    <t>2026-07-15 14:32:08</t>
  </si>
  <si>
    <t>ACTUALIZACION</t>
  </si>
  <si>
    <t>EN GENERALIDAD TODO EL DOCUMENTO</t>
  </si>
  <si>
    <t>2026-04-28 16:15:45</t>
  </si>
  <si>
    <t>2027-04-28</t>
  </si>
  <si>
    <t>2026-04-28 16:24:10</t>
  </si>
  <si>
    <t>2026-05-12 16:20:04</t>
  </si>
  <si>
    <t>2026-06-10 13:59:15</t>
  </si>
  <si>
    <t>2026-06-10 15:02:44</t>
  </si>
  <si>
    <t>literal 3.12.3</t>
  </si>
  <si>
    <t>se anexa el alcance, uso y lineamientos de la hoja de control</t>
  </si>
  <si>
    <t>actualización tabla de contenido</t>
  </si>
  <si>
    <t>2026-05-12 16:21:01</t>
  </si>
  <si>
    <t>2026-06-04 08:25:03</t>
  </si>
  <si>
    <t>2026-07-15 14:32:15</t>
  </si>
  <si>
    <t>Modificacion de parametros</t>
  </si>
  <si>
    <t>2026-05-12 16:28:24</t>
  </si>
  <si>
    <t>2026-05-12 16:54:22</t>
  </si>
  <si>
    <t>2026-05-12 17:05:28</t>
  </si>
  <si>
    <t>2026-04-21 08:26:52</t>
  </si>
  <si>
    <t>2026-06-10 15:02:32</t>
  </si>
  <si>
    <t>2026-06-22 11:52:54</t>
  </si>
  <si>
    <t>Analista de gestión humana</t>
  </si>
  <si>
    <t>H-FT-20</t>
  </si>
  <si>
    <t>2026-06-22 11:53:03</t>
  </si>
  <si>
    <t>Política de confirmación de pagos y validación de soportes</t>
  </si>
  <si>
    <t>S-PO-9</t>
  </si>
  <si>
    <t>2026-05-13</t>
  </si>
  <si>
    <t xml:space="preserve">Milton Augusto Gil Velásquez </t>
  </si>
  <si>
    <t>2026-05-14 07:27:31</t>
  </si>
  <si>
    <t xml:space="preserve">Luisa Fernanda Quintero Russi,Milton Augusto Gil Velásquez </t>
  </si>
  <si>
    <t>Ajuste en las responsabilidades</t>
  </si>
  <si>
    <t>asignación de responsabilidades a logistica</t>
  </si>
  <si>
    <t>2026-05-14</t>
  </si>
  <si>
    <t>2026-05-26 15:09:07</t>
  </si>
  <si>
    <t>2026-06-18 11:40:10</t>
  </si>
  <si>
    <t>E-PO-2</t>
  </si>
  <si>
    <t>2026-06-18 11:41:07</t>
  </si>
  <si>
    <t>2026-07-07 11:18:05</t>
  </si>
  <si>
    <t>2027-07-07</t>
  </si>
  <si>
    <t>Instructivo para reporte de ventas en la plataforma seguroexpo</t>
  </si>
  <si>
    <t>S-IN-22</t>
  </si>
  <si>
    <t>2026-06-03 16:56:16</t>
  </si>
  <si>
    <t>2026-06-03 17:03:11</t>
  </si>
  <si>
    <t>2027-06-03</t>
  </si>
  <si>
    <t>Instructivo para solicitud de crédito en la plataforma seguroexpo</t>
  </si>
  <si>
    <t>S-IN-23</t>
  </si>
  <si>
    <t>2026-06-03 16:56:54</t>
  </si>
  <si>
    <t>2026-06-03 17:03:14</t>
  </si>
  <si>
    <t>Instructivo para firma de documentos electrónicos en la plataforma AUCO</t>
  </si>
  <si>
    <t>S-IN-25</t>
  </si>
  <si>
    <t>2026-06-03 16:57:11</t>
  </si>
  <si>
    <t>2026-06-03 17:03:17</t>
  </si>
  <si>
    <t>Instructivo de manejo de plataforma AUCO para firmas digitales</t>
  </si>
  <si>
    <t>S-IN-26</t>
  </si>
  <si>
    <t>2026-06-03 16:57:03</t>
  </si>
  <si>
    <t>2026-06-03 17:03:20</t>
  </si>
  <si>
    <t>Instructivo de manejo de la plataforma DATACREDITO EXPERIAN</t>
  </si>
  <si>
    <t>S-IN-27</t>
  </si>
  <si>
    <t>2026-06-03 16:57:08</t>
  </si>
  <si>
    <t>2026-06-03 17:03:23</t>
  </si>
  <si>
    <t>S-MA-1</t>
  </si>
  <si>
    <t>2026-06-03 16:57:06</t>
  </si>
  <si>
    <t>2026-06-03 17:03:27</t>
  </si>
  <si>
    <t>Política de apertura de crédito</t>
  </si>
  <si>
    <t>S-PO-8</t>
  </si>
  <si>
    <t>2026-06-03 16:57:14</t>
  </si>
  <si>
    <t>2026-06-03 17:03:35</t>
  </si>
  <si>
    <t xml:space="preserve">Procedimiento de compras de suministros eléctricos - Logistica </t>
  </si>
  <si>
    <t>2026-06-18 14:03:20</t>
  </si>
  <si>
    <t>2026-07-15 14:35:30</t>
  </si>
  <si>
    <t>S-PR-2</t>
  </si>
  <si>
    <t>2029-06-26</t>
  </si>
  <si>
    <t>S-PR-16</t>
  </si>
  <si>
    <t>2029-06-20</t>
  </si>
  <si>
    <t>Política para el aprovisionamiento de suministros</t>
  </si>
  <si>
    <t>S-PO-6</t>
  </si>
  <si>
    <t>2029-06-06</t>
  </si>
  <si>
    <t>S-PR-28</t>
  </si>
  <si>
    <t>2026-06-04 08:25:06</t>
  </si>
  <si>
    <t>2026-07-15 14:32:59</t>
  </si>
  <si>
    <t>PROCEDIMIENTO DE ALISTAMIENTO, ENTREGA O DESPACHO DE MERCANCIA</t>
  </si>
  <si>
    <t>S-PR-27</t>
  </si>
  <si>
    <t>2026-06-04 08:25:10</t>
  </si>
  <si>
    <t>2026-07-15 14:33:07</t>
  </si>
  <si>
    <t>S-PR-26</t>
  </si>
  <si>
    <t>2026-06-04 08:25:14</t>
  </si>
  <si>
    <t>2026-07-15 14:33:15</t>
  </si>
  <si>
    <t xml:space="preserve"> PROCEDIMIENTO RECEPCIÓN DE PEDIDOS </t>
  </si>
  <si>
    <t>S-PR-29</t>
  </si>
  <si>
    <t>2026-06-04 08:25:19</t>
  </si>
  <si>
    <t>2026-07-15 14:33:24</t>
  </si>
  <si>
    <t xml:space="preserve"> PROCEDIMIENTO CONTEO Y VERIFICACIÓN DE INVENTARIOS</t>
  </si>
  <si>
    <t>S-PR-25</t>
  </si>
  <si>
    <t>2026-06-04 08:25:29</t>
  </si>
  <si>
    <t>2026-07-15 14:33:29</t>
  </si>
  <si>
    <t xml:space="preserve"> PROCEDIMIENTO PARA LA GESTIÓN Y EJECUCIÓN DE CORTE DE CABLES</t>
  </si>
  <si>
    <t>S-PR-30</t>
  </si>
  <si>
    <t>2026-06-04 08:25:35</t>
  </si>
  <si>
    <t>2026-07-15 14:33:35</t>
  </si>
  <si>
    <t xml:space="preserve"> INSTRUCTIVO PARA LA EJECUCIÓN DE INVENTARIOS INTERNOS DEL ÁREA DE LOGÍSTICA</t>
  </si>
  <si>
    <t>S-IN-29</t>
  </si>
  <si>
    <t>2026-06-04 08:25:39</t>
  </si>
  <si>
    <t>2026-07-15 14:34:07</t>
  </si>
  <si>
    <t xml:space="preserve"> INSTRUCTIVO PARA EL USO DE LA MAQUINA DE CABLES</t>
  </si>
  <si>
    <t>S-IN-28</t>
  </si>
  <si>
    <t>2026-06-04 08:25:45</t>
  </si>
  <si>
    <t>2026-07-15 14:34:13</t>
  </si>
  <si>
    <t>GUÍA PARA EL CORRECTO ALMACENAMIENTO  DE MERCANCÍA EN BODEGA</t>
  </si>
  <si>
    <t>S-GU-7</t>
  </si>
  <si>
    <t>2026-06-04 08:25:57</t>
  </si>
  <si>
    <t>2026-07-15 14:34:17</t>
  </si>
  <si>
    <t>GUIA PARA ATENCIÓN Y SERVICIO AL CLIENTE</t>
  </si>
  <si>
    <t>S-GU-6</t>
  </si>
  <si>
    <t>2026-06-04 08:26:51</t>
  </si>
  <si>
    <t>2026-07-15 14:34:22</t>
  </si>
  <si>
    <t>MANUAL OPERATIVO Y GUÍA TÉCNICA DEL AUXILIAR LOGÍSTICO</t>
  </si>
  <si>
    <t>S-MA-2</t>
  </si>
  <si>
    <t>2026-06-04 08:27:05</t>
  </si>
  <si>
    <t>2026-07-15 14:35:27</t>
  </si>
  <si>
    <t>POLÍTICA DE DESPACHO DE MERCANCÍA</t>
  </si>
  <si>
    <t xml:space="preserve"> POLÍTICA DE RECEPCIÓN DE MERCANCÍA</t>
  </si>
  <si>
    <t>Política de aprobación de horas extras y tiempos adicionales</t>
  </si>
  <si>
    <t>H-PO-10</t>
  </si>
  <si>
    <t>2026-06-18</t>
  </si>
  <si>
    <t>2026-06-18 11:41:20</t>
  </si>
  <si>
    <t>2026-06-18 14:41:36</t>
  </si>
  <si>
    <t>Se carga Documento escaneado</t>
  </si>
  <si>
    <t>Documento escaneado</t>
  </si>
  <si>
    <t>Política para el aprovisionamiento de suministos</t>
  </si>
  <si>
    <t>2029-06-18</t>
  </si>
  <si>
    <t>Política para la solicitud y control de permisos laborales</t>
  </si>
  <si>
    <t>H-PO-11</t>
  </si>
  <si>
    <t>2026-06-23</t>
  </si>
  <si>
    <t>2026-06-23 10:17:04</t>
  </si>
  <si>
    <t>2026-06-23 14:52:51</t>
  </si>
  <si>
    <t>2027-06-23</t>
  </si>
  <si>
    <t>MATRIZ DE CARACTERIZACIÓN DEL PROCESO DE VENTAS</t>
  </si>
  <si>
    <t>S-CA-2</t>
  </si>
  <si>
    <t>2026-07-16</t>
  </si>
  <si>
    <t>S-PT-1</t>
  </si>
  <si>
    <t>Columna1</t>
  </si>
  <si>
    <t>Fecha de creación</t>
  </si>
  <si>
    <t>Política de prevención de acoso laboral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</si>
</sst>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m/yyyy;@"/>
    <numFmt numFmtId="165" formatCode="0.000%"/>
  </numFmts>
  <fonts count="37" x14ac:knownFonts="1">
    <font>
      <sz val="11"/>
      <color theme="1"/>
      <name val="Arial"/>
      <family val="2"/>
    </font>
    <font>
      <sz val="11"/>
      <color theme="1"/>
      <name val="Century Gothic"/>
      <family val="2"/>
    </font>
    <font>
      <sz val="11"/>
      <color theme="1"/>
      <name val="Century Gothic"/>
      <family val="2"/>
    </font>
    <font>
      <sz val="11"/>
      <color theme="1"/>
      <name val="Century Gothic"/>
      <family val="2"/>
    </font>
    <font>
      <sz val="11"/>
      <color theme="1"/>
      <name val="Century Gothic"/>
      <family val="2"/>
    </font>
    <font>
      <sz val="11"/>
      <color theme="1"/>
      <name val="Century Gothic"/>
      <family val="2"/>
    </font>
    <font>
      <sz val="11"/>
      <color theme="1"/>
      <name val="Century Gothic"/>
      <family val="2"/>
    </font>
    <font>
      <sz val="11"/>
      <color theme="1"/>
      <name val="Century Gothic"/>
      <family val="2"/>
    </font>
    <font>
      <sz val="11"/>
      <color theme="1"/>
      <name val="Century Gothic"/>
      <family val="2"/>
    </font>
    <font>
      <sz val="11"/>
      <color theme="1"/>
      <name val="Century Gothic"/>
      <family val="2"/>
    </font>
    <font>
      <sz val="11"/>
      <color theme="1"/>
      <name val="Century Gothic"/>
      <family val="2"/>
    </font>
    <font>
      <sz val="11"/>
      <color theme="1"/>
      <name val="Century Gothic"/>
      <family val="2"/>
    </font>
    <font>
      <sz val="11"/>
      <color theme="1"/>
      <name val="Century Gothic"/>
      <family val="2"/>
    </font>
    <font>
      <sz val="11"/>
      <color theme="1"/>
      <name val="Century Gothic"/>
      <family val="2"/>
    </font>
    <font>
      <sz val="11"/>
      <color theme="1"/>
      <name val="Century Gothic"/>
      <family val="2"/>
    </font>
    <font>
      <sz val="11"/>
      <color theme="1"/>
      <name val="Century Gothic"/>
      <family val="2"/>
    </font>
    <font>
      <sz val="11"/>
      <color theme="1"/>
      <name val="Century Gothic"/>
      <family val="2"/>
    </font>
    <font>
      <b/>
      <sz val="11"/>
      <color theme="1"/>
      <name val="Century Gothic"/>
      <family val="2"/>
    </font>
    <font>
      <sz val="11"/>
      <color theme="1"/>
      <name val="Century Gothic"/>
      <family val="2"/>
    </font>
    <font>
      <b/>
      <i/>
      <sz val="12"/>
      <color theme="0"/>
      <name val="Century Gothic"/>
      <family val="2"/>
    </font>
    <font>
      <b/>
      <sz val="12"/>
      <color rgb="FFEAC800"/>
      <name val="Century Gothic"/>
      <family val="2"/>
    </font>
    <font>
      <sz val="11"/>
      <color rgb="FF000000"/>
      <name val="Century Gothic"/>
      <family val="2"/>
    </font>
    <font>
      <sz val="8"/>
      <name val="Arial"/>
      <family val="2"/>
    </font>
    <font>
      <b/>
      <sz val="11"/>
      <color theme="0"/>
      <name val="Century Gothic"/>
      <family val="2"/>
    </font>
    <font>
      <sz val="11"/>
      <name val="Century Gothic"/>
      <family val="2"/>
    </font>
    <font>
      <sz val="11"/>
      <color rgb="FFFF0000"/>
      <name val="Century Gothic"/>
      <family val="2"/>
    </font>
    <font>
      <sz val="11"/>
      <color rgb="FF00B050"/>
      <name val="Century Gothic"/>
      <family val="2"/>
    </font>
    <font>
      <sz val="11"/>
      <color theme="1"/>
      <name val="Arial"/>
      <family val="2"/>
    </font>
    <font>
      <sz val="10"/>
      <name val="Arial"/>
      <family val="2"/>
    </font>
    <font>
      <sz val="10"/>
      <color theme="1"/>
      <name val="Century Gothic"/>
      <family val="2"/>
    </font>
    <font>
      <sz val="10"/>
      <name val="Arial"/>
      <family val="2"/>
    </font>
    <font>
      <b/>
      <sz val="11"/>
      <name val="Century Gothic"/>
      <family val="2"/>
    </font>
    <font>
      <sz val="10"/>
      <name val="Arial"/>
      <family val="2"/>
    </font>
    <font>
      <b/>
      <sz val="10"/>
      <name val="Arial"/>
      <family val="2"/>
    </font>
    <font>
      <sz val="11"/>
      <color theme="1"/>
      <name val="Century Gothic"/>
      <family val="2"/>
    </font>
    <font>
      <u/>
      <sz val="11"/>
      <color theme="10"/>
      <name val="Arial"/>
      <family val="2"/>
    </font>
    <font>
      <sz val="11"/>
      <color rgb="FFC00000"/>
      <name val="Arial"/>
      <family val="2"/>
    </font>
  </fonts>
  <fills count="12">
    <fill>
      <patternFill patternType="none"/>
    </fill>
    <fill>
      <patternFill patternType="gray125"/>
    </fill>
    <fill>
      <patternFill patternType="solid">
        <fgColor theme="0" tint="-0.14999847407452621"/>
        <bgColor indexed="64"/>
      </patternFill>
    </fill>
    <fill>
      <patternFill patternType="solid">
        <fgColor rgb="FF00378A"/>
        <bgColor indexed="64"/>
      </patternFill>
    </fill>
    <fill>
      <patternFill patternType="solid">
        <fgColor rgb="FFA4A8AB"/>
        <bgColor rgb="FFA4A8AB"/>
      </patternFill>
    </fill>
    <fill>
      <patternFill patternType="solid">
        <fgColor rgb="FFFFFF00"/>
        <bgColor indexed="64"/>
      </patternFill>
    </fill>
    <fill>
      <patternFill patternType="solid">
        <fgColor rgb="FFFF00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4.9989318521683403E-2"/>
        <bgColor indexed="64"/>
      </patternFill>
    </fill>
  </fills>
  <borders count="31">
    <border>
      <left/>
      <right/>
      <top/>
      <bottom/>
      <diagonal/>
    </border>
    <border>
      <left style="thin">
        <color rgb="FFD8D8D8"/>
      </left>
      <right/>
      <top/>
      <bottom/>
      <diagonal/>
    </border>
    <border>
      <left style="thin">
        <color theme="0"/>
      </left>
      <right/>
      <top style="thin">
        <color theme="0" tint="-0.34998626667073579"/>
      </top>
      <bottom style="thin">
        <color theme="0" tint="-0.34998626667073579"/>
      </bottom>
      <diagonal/>
    </border>
    <border>
      <left style="thin">
        <color theme="0"/>
      </left>
      <right/>
      <top/>
      <bottom/>
      <diagonal/>
    </border>
    <border>
      <left style="thin">
        <color theme="0"/>
      </left>
      <right/>
      <top/>
      <bottom style="thin">
        <color rgb="FFA6A6A6"/>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bottom style="thin">
        <color rgb="FFA6A6A6"/>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rgb="FFA6A6A6"/>
      </left>
      <right style="thin">
        <color rgb="FFA6A6A6"/>
      </right>
      <top style="thin">
        <color rgb="FFA6A6A6"/>
      </top>
      <bottom/>
      <diagonal/>
    </border>
    <border>
      <left style="thin">
        <color rgb="FFA6A6A6"/>
      </left>
      <right style="thin">
        <color rgb="FFA6A6A6"/>
      </right>
      <top/>
      <bottom/>
      <diagonal/>
    </border>
    <border>
      <left/>
      <right style="thin">
        <color theme="0" tint="-0.34998626667073579"/>
      </right>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ck">
        <color theme="0" tint="-0.34998626667073579"/>
      </bottom>
      <diagonal/>
    </border>
    <border>
      <left style="thin">
        <color theme="0" tint="-0.34998626667073579"/>
      </left>
      <right style="thin">
        <color theme="0" tint="-0.34998626667073579"/>
      </right>
      <top style="thick">
        <color theme="0" tint="-0.34998626667073579"/>
      </top>
      <bottom style="thin">
        <color theme="0" tint="-0.34998626667073579"/>
      </bottom>
      <diagonal/>
    </border>
    <border>
      <left style="thin">
        <color theme="0" tint="-0.34998626667073579"/>
      </left>
      <right style="thin">
        <color theme="0" tint="-0.34998626667073579"/>
      </right>
      <top style="thick">
        <color theme="0" tint="-0.34998626667073579"/>
      </top>
      <bottom style="thick">
        <color theme="0" tint="-0.34998626667073579"/>
      </bottom>
      <diagonal/>
    </border>
    <border>
      <left style="thin">
        <color theme="0" tint="-0.34998626667073579"/>
      </left>
      <right style="thin">
        <color theme="0" tint="-0.34998626667073579"/>
      </right>
      <top style="thick">
        <color theme="0" tint="-0.34998626667073579"/>
      </top>
      <bottom/>
      <diagonal/>
    </border>
    <border>
      <left style="thin">
        <color theme="0" tint="-0.34998626667073579"/>
      </left>
      <right style="thin">
        <color theme="0" tint="-0.34998626667073579"/>
      </right>
      <top/>
      <bottom style="thick">
        <color theme="0" tint="-0.34998626667073579"/>
      </bottom>
      <diagonal/>
    </border>
    <border>
      <left/>
      <right/>
      <top style="thick">
        <color theme="0" tint="-0.34998626667073579"/>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A6A6A6"/>
      </left>
      <right style="thin">
        <color rgb="FFA6A6A6"/>
      </right>
      <top style="thin">
        <color rgb="FFA6A6A6"/>
      </top>
      <bottom style="thin">
        <color theme="0" tint="-0.34998626667073579"/>
      </bottom>
      <diagonal/>
    </border>
  </borders>
  <cellStyleXfs count="8">
    <xf numFmtId="0" fontId="0" fillId="0" borderId="0"/>
    <xf numFmtId="9" fontId="27" fillId="0" borderId="0" applyFont="0" applyFill="0" applyBorder="0" applyAlignment="0" applyProtection="0"/>
    <xf numFmtId="0" fontId="28" fillId="0" borderId="0" applyNumberFormat="0" applyFont="0" applyFill="0" applyBorder="0" applyAlignment="0" applyProtection="0"/>
    <xf numFmtId="0" fontId="30" fillId="0" borderId="0" applyNumberFormat="0" applyFont="0" applyFill="0" applyBorder="0" applyAlignment="0" applyProtection="0"/>
    <xf numFmtId="0" fontId="11" fillId="0" borderId="0"/>
    <xf numFmtId="0" fontId="28" fillId="0" borderId="0"/>
    <xf numFmtId="0" fontId="32" fillId="0" borderId="0" applyNumberFormat="0" applyFont="0" applyFill="0" applyBorder="0" applyAlignment="0" applyProtection="0"/>
    <xf numFmtId="0" fontId="35" fillId="0" borderId="0" applyNumberFormat="0" applyFill="0" applyBorder="0" applyAlignment="0" applyProtection="0"/>
  </cellStyleXfs>
  <cellXfs count="298">
    <xf numFmtId="0" fontId="0" fillId="0" borderId="0" xfId="0"/>
    <xf numFmtId="0" fontId="18" fillId="0" borderId="0" xfId="0" applyFont="1" applyAlignment="1">
      <alignment vertical="center"/>
    </xf>
    <xf numFmtId="0" fontId="18" fillId="0" borderId="0" xfId="0" applyFont="1"/>
    <xf numFmtId="0" fontId="19" fillId="4" borderId="1"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9" fillId="4" borderId="3" xfId="0" applyFont="1" applyFill="1" applyBorder="1" applyAlignment="1">
      <alignment horizontal="center" vertical="center" wrapText="1"/>
    </xf>
    <xf numFmtId="0" fontId="19" fillId="4" borderId="4" xfId="0" applyFont="1" applyFill="1" applyBorder="1" applyAlignment="1">
      <alignment horizontal="center" vertical="center"/>
    </xf>
    <xf numFmtId="14" fontId="19" fillId="4" borderId="0" xfId="0" applyNumberFormat="1" applyFont="1" applyFill="1" applyAlignment="1">
      <alignment horizontal="center" vertical="center" wrapText="1"/>
    </xf>
    <xf numFmtId="0" fontId="19" fillId="4" borderId="4" xfId="0" applyFont="1" applyFill="1" applyBorder="1" applyAlignment="1">
      <alignment horizontal="center" vertical="center" wrapText="1"/>
    </xf>
    <xf numFmtId="0" fontId="19" fillId="4" borderId="5" xfId="0" applyFont="1" applyFill="1" applyBorder="1" applyAlignment="1">
      <alignment horizontal="center" vertical="center" wrapText="1"/>
    </xf>
    <xf numFmtId="0" fontId="17" fillId="2" borderId="8" xfId="0" applyFont="1" applyFill="1" applyBorder="1" applyAlignment="1">
      <alignment vertical="center"/>
    </xf>
    <xf numFmtId="0" fontId="17" fillId="2" borderId="9" xfId="0" applyFont="1" applyFill="1" applyBorder="1" applyAlignment="1">
      <alignment horizontal="center" vertical="center"/>
    </xf>
    <xf numFmtId="0" fontId="17" fillId="2" borderId="5" xfId="0" applyFont="1" applyFill="1" applyBorder="1" applyAlignment="1">
      <alignment horizontal="left" vertical="center"/>
    </xf>
    <xf numFmtId="0" fontId="16" fillId="0" borderId="0" xfId="0" applyFont="1"/>
    <xf numFmtId="0" fontId="23" fillId="3" borderId="5" xfId="0" applyFont="1" applyFill="1" applyBorder="1" applyAlignment="1">
      <alignment horizontal="center" vertical="center"/>
    </xf>
    <xf numFmtId="0" fontId="23" fillId="3" borderId="5" xfId="0" applyFont="1" applyFill="1" applyBorder="1" applyAlignment="1">
      <alignment horizontal="left" vertical="center"/>
    </xf>
    <xf numFmtId="0" fontId="0" fillId="0" borderId="24" xfId="0" applyBorder="1"/>
    <xf numFmtId="0" fontId="15" fillId="0" borderId="0" xfId="0" applyFont="1"/>
    <xf numFmtId="0" fontId="14" fillId="0" borderId="0" xfId="0" applyFont="1"/>
    <xf numFmtId="0" fontId="23" fillId="3" borderId="26" xfId="0" applyFont="1" applyFill="1" applyBorder="1" applyAlignment="1">
      <alignment horizontal="center" vertical="center"/>
    </xf>
    <xf numFmtId="14" fontId="18" fillId="0" borderId="0" xfId="0" applyNumberFormat="1" applyFont="1"/>
    <xf numFmtId="1" fontId="18" fillId="0" borderId="0" xfId="0" applyNumberFormat="1" applyFont="1"/>
    <xf numFmtId="165" fontId="0" fillId="0" borderId="0" xfId="1" applyNumberFormat="1" applyFont="1"/>
    <xf numFmtId="165" fontId="0" fillId="0" borderId="0" xfId="0" applyNumberFormat="1"/>
    <xf numFmtId="0" fontId="24" fillId="0" borderId="6" xfId="0" applyFont="1" applyBorder="1" applyAlignment="1">
      <alignment horizontal="left" vertical="center" wrapText="1"/>
    </xf>
    <xf numFmtId="9" fontId="0" fillId="0" borderId="0" xfId="1" applyFont="1" applyAlignment="1">
      <alignment horizontal="center"/>
    </xf>
    <xf numFmtId="0" fontId="24" fillId="0" borderId="15" xfId="0" applyFont="1" applyBorder="1" applyAlignment="1">
      <alignment horizontal="left" vertical="center" wrapText="1"/>
    </xf>
    <xf numFmtId="0" fontId="24" fillId="0" borderId="6" xfId="0" applyFont="1" applyBorder="1" applyAlignment="1">
      <alignment horizontal="center" vertical="center" wrapText="1"/>
    </xf>
    <xf numFmtId="0" fontId="24" fillId="0" borderId="0" xfId="0" applyFont="1"/>
    <xf numFmtId="0" fontId="13" fillId="6" borderId="0" xfId="0" applyFont="1" applyFill="1"/>
    <xf numFmtId="0" fontId="12" fillId="0" borderId="0" xfId="0" applyFont="1"/>
    <xf numFmtId="0" fontId="30" fillId="0" borderId="0" xfId="3" applyNumberFormat="1" applyFont="1" applyFill="1" applyBorder="1" applyAlignment="1"/>
    <xf numFmtId="14" fontId="0" fillId="0" borderId="0" xfId="0" applyNumberFormat="1"/>
    <xf numFmtId="14" fontId="24" fillId="0" borderId="6" xfId="0" applyNumberFormat="1" applyFont="1" applyBorder="1" applyAlignment="1">
      <alignment horizontal="center" vertical="center" wrapText="1"/>
    </xf>
    <xf numFmtId="164" fontId="24" fillId="0" borderId="6" xfId="0" applyNumberFormat="1" applyFont="1" applyBorder="1" applyAlignment="1">
      <alignment horizontal="center" vertical="center" wrapText="1"/>
    </xf>
    <xf numFmtId="49" fontId="24" fillId="0" borderId="6" xfId="0" applyNumberFormat="1" applyFont="1" applyBorder="1" applyAlignment="1">
      <alignment vertical="center"/>
    </xf>
    <xf numFmtId="49" fontId="24" fillId="0" borderId="6" xfId="0" applyNumberFormat="1" applyFont="1" applyBorder="1" applyAlignment="1">
      <alignment horizontal="center" vertical="center" wrapText="1"/>
    </xf>
    <xf numFmtId="0" fontId="21" fillId="0" borderId="0" xfId="0" applyFont="1" applyAlignment="1">
      <alignment horizontal="left" vertical="center" wrapText="1"/>
    </xf>
    <xf numFmtId="0" fontId="11" fillId="0" borderId="6" xfId="4" applyBorder="1" applyAlignment="1">
      <alignment horizontal="left" vertical="center" wrapText="1"/>
    </xf>
    <xf numFmtId="0" fontId="11" fillId="0" borderId="6" xfId="4" applyBorder="1" applyAlignment="1">
      <alignment horizontal="center" vertical="center" wrapText="1"/>
    </xf>
    <xf numFmtId="0" fontId="11" fillId="0" borderId="15" xfId="4" applyBorder="1" applyAlignment="1">
      <alignment horizontal="left" vertical="center" wrapText="1"/>
    </xf>
    <xf numFmtId="0" fontId="11" fillId="0" borderId="15" xfId="4" applyBorder="1" applyAlignment="1">
      <alignment horizontal="center" vertical="center" wrapText="1"/>
    </xf>
    <xf numFmtId="0" fontId="29" fillId="10" borderId="15" xfId="0" applyFont="1" applyFill="1" applyBorder="1" applyAlignment="1">
      <alignment horizontal="left" vertical="center" wrapText="1"/>
    </xf>
    <xf numFmtId="0" fontId="17" fillId="0" borderId="9" xfId="0" applyFont="1" applyBorder="1" applyAlignment="1">
      <alignment vertical="center"/>
    </xf>
    <xf numFmtId="0" fontId="31" fillId="2" borderId="5" xfId="0" applyFont="1" applyFill="1" applyBorder="1" applyAlignment="1">
      <alignment horizontal="left" vertical="center"/>
    </xf>
    <xf numFmtId="0" fontId="24" fillId="0" borderId="15" xfId="0" applyFont="1" applyBorder="1" applyAlignment="1">
      <alignment horizontal="center" vertical="center" wrapText="1"/>
    </xf>
    <xf numFmtId="0" fontId="11" fillId="0" borderId="15" xfId="4" applyBorder="1" applyAlignment="1">
      <alignment vertical="center" wrapText="1"/>
    </xf>
    <xf numFmtId="0" fontId="11" fillId="0" borderId="0" xfId="4" applyAlignment="1">
      <alignment vertical="center" wrapText="1"/>
    </xf>
    <xf numFmtId="0" fontId="11" fillId="0" borderId="7" xfId="4" applyBorder="1" applyAlignment="1">
      <alignment horizontal="left" vertical="center" wrapText="1"/>
    </xf>
    <xf numFmtId="0" fontId="11" fillId="0" borderId="6" xfId="4" applyBorder="1" applyAlignment="1">
      <alignment vertical="center" wrapText="1"/>
    </xf>
    <xf numFmtId="0" fontId="10" fillId="0" borderId="0" xfId="0" applyFont="1" applyAlignment="1">
      <alignment vertical="center"/>
    </xf>
    <xf numFmtId="0" fontId="10" fillId="0" borderId="10" xfId="0" applyFont="1" applyBorder="1" applyAlignment="1">
      <alignment vertical="center"/>
    </xf>
    <xf numFmtId="0" fontId="10" fillId="0" borderId="5" xfId="0" applyFont="1" applyBorder="1" applyAlignment="1">
      <alignment horizontal="center" vertical="center"/>
    </xf>
    <xf numFmtId="0" fontId="10" fillId="0" borderId="0" xfId="0" applyFont="1" applyAlignment="1">
      <alignment horizontal="center" vertical="center"/>
    </xf>
    <xf numFmtId="0" fontId="10" fillId="0" borderId="5" xfId="0" applyFont="1" applyBorder="1" applyAlignment="1">
      <alignment vertical="center"/>
    </xf>
    <xf numFmtId="0" fontId="10" fillId="0" borderId="11" xfId="0" applyFont="1" applyBorder="1" applyAlignment="1">
      <alignment horizontal="center" vertical="center"/>
    </xf>
    <xf numFmtId="0" fontId="10" fillId="0" borderId="12" xfId="0" applyFont="1" applyBorder="1" applyAlignment="1">
      <alignment vertical="center"/>
    </xf>
    <xf numFmtId="0" fontId="10" fillId="0" borderId="14" xfId="0" applyFont="1" applyBorder="1" applyAlignment="1">
      <alignment horizontal="center" vertical="center"/>
    </xf>
    <xf numFmtId="0" fontId="10" fillId="0" borderId="13" xfId="0" applyFont="1" applyBorder="1" applyAlignment="1">
      <alignment horizontal="center" vertical="center"/>
    </xf>
    <xf numFmtId="0" fontId="10" fillId="0" borderId="0" xfId="0" applyFont="1"/>
    <xf numFmtId="0" fontId="10" fillId="0" borderId="6" xfId="0" applyFont="1" applyBorder="1" applyAlignment="1">
      <alignment horizontal="center" vertical="center" wrapText="1"/>
    </xf>
    <xf numFmtId="0" fontId="10" fillId="0" borderId="7" xfId="0" applyFont="1" applyBorder="1" applyAlignment="1">
      <alignment horizontal="left" vertical="center" wrapText="1"/>
    </xf>
    <xf numFmtId="0" fontId="10" fillId="0" borderId="7" xfId="0" applyFont="1" applyBorder="1" applyAlignment="1">
      <alignment horizontal="center" vertical="center" wrapText="1"/>
    </xf>
    <xf numFmtId="0" fontId="10" fillId="11" borderId="6" xfId="0" applyFont="1" applyFill="1" applyBorder="1" applyAlignment="1">
      <alignment horizontal="left" vertical="center" wrapText="1"/>
    </xf>
    <xf numFmtId="0" fontId="10" fillId="0" borderId="15" xfId="0" applyFont="1" applyBorder="1" applyAlignment="1">
      <alignment horizontal="center" vertical="center" wrapText="1"/>
    </xf>
    <xf numFmtId="14" fontId="10" fillId="0" borderId="6" xfId="0" applyNumberFormat="1" applyFont="1" applyBorder="1" applyAlignment="1">
      <alignment horizontal="center" vertical="center" wrapText="1"/>
    </xf>
    <xf numFmtId="14" fontId="10" fillId="0" borderId="15" xfId="0" applyNumberFormat="1" applyFont="1" applyBorder="1" applyAlignment="1">
      <alignment horizontal="center" vertical="center" wrapText="1"/>
    </xf>
    <xf numFmtId="164" fontId="10" fillId="0" borderId="6" xfId="0" applyNumberFormat="1" applyFont="1" applyBorder="1" applyAlignment="1">
      <alignment horizontal="center" vertical="center" wrapText="1"/>
    </xf>
    <xf numFmtId="49" fontId="10" fillId="0" borderId="6" xfId="0" applyNumberFormat="1" applyFont="1" applyBorder="1" applyAlignment="1">
      <alignment vertical="center"/>
    </xf>
    <xf numFmtId="49" fontId="10" fillId="0" borderId="6" xfId="0" applyNumberFormat="1" applyFont="1" applyBorder="1" applyAlignment="1">
      <alignment horizontal="center" vertical="center" wrapText="1"/>
    </xf>
    <xf numFmtId="0" fontId="10" fillId="0" borderId="6" xfId="0" applyFont="1" applyBorder="1" applyAlignment="1">
      <alignment horizontal="left" vertical="center" wrapText="1"/>
    </xf>
    <xf numFmtId="49" fontId="10" fillId="0" borderId="7" xfId="0" applyNumberFormat="1" applyFont="1" applyBorder="1" applyAlignment="1">
      <alignment vertical="center"/>
    </xf>
    <xf numFmtId="49" fontId="10" fillId="0" borderId="7" xfId="0" applyNumberFormat="1" applyFont="1" applyBorder="1" applyAlignment="1">
      <alignment horizontal="center" vertical="center" wrapText="1"/>
    </xf>
    <xf numFmtId="0" fontId="10" fillId="0" borderId="15" xfId="0" applyFont="1" applyBorder="1" applyAlignment="1">
      <alignment horizontal="left" vertical="center" wrapText="1"/>
    </xf>
    <xf numFmtId="164" fontId="10" fillId="0" borderId="15" xfId="0" applyNumberFormat="1" applyFont="1" applyBorder="1" applyAlignment="1">
      <alignment horizontal="center" vertical="center" wrapText="1"/>
    </xf>
    <xf numFmtId="49" fontId="10" fillId="0" borderId="15" xfId="0" applyNumberFormat="1" applyFont="1" applyBorder="1" applyAlignment="1">
      <alignment vertical="center"/>
    </xf>
    <xf numFmtId="49" fontId="10" fillId="0" borderId="15" xfId="0" applyNumberFormat="1" applyFont="1" applyBorder="1" applyAlignment="1">
      <alignment horizontal="center" vertical="center" wrapText="1"/>
    </xf>
    <xf numFmtId="1" fontId="10" fillId="0" borderId="15" xfId="0" applyNumberFormat="1" applyFont="1" applyBorder="1" applyAlignment="1">
      <alignment horizontal="center" vertical="center" wrapText="1"/>
    </xf>
    <xf numFmtId="0" fontId="10" fillId="0" borderId="15" xfId="0" applyFont="1" applyBorder="1" applyAlignment="1">
      <alignment horizontal="center" vertical="center"/>
    </xf>
    <xf numFmtId="0" fontId="10" fillId="0" borderId="15" xfId="0" applyFont="1" applyBorder="1"/>
    <xf numFmtId="1" fontId="10" fillId="0" borderId="15" xfId="0" applyNumberFormat="1" applyFont="1" applyBorder="1" applyAlignment="1">
      <alignment horizontal="left" vertical="center" wrapText="1"/>
    </xf>
    <xf numFmtId="0" fontId="10" fillId="0" borderId="6" xfId="0" applyFont="1" applyBorder="1" applyAlignment="1">
      <alignment wrapText="1"/>
    </xf>
    <xf numFmtId="0" fontId="10" fillId="0" borderId="15" xfId="0" applyFont="1" applyBorder="1" applyAlignment="1">
      <alignment horizontal="center" wrapText="1"/>
    </xf>
    <xf numFmtId="0" fontId="10" fillId="0" borderId="15" xfId="0" applyFont="1" applyBorder="1" applyAlignment="1">
      <alignment horizontal="center"/>
    </xf>
    <xf numFmtId="0" fontId="10" fillId="11" borderId="15" xfId="0" applyFont="1" applyFill="1" applyBorder="1" applyAlignment="1">
      <alignment horizontal="left" vertical="center" wrapText="1"/>
    </xf>
    <xf numFmtId="0" fontId="10" fillId="0" borderId="6" xfId="0" applyFont="1" applyBorder="1" applyAlignment="1">
      <alignment horizontal="center" vertical="center"/>
    </xf>
    <xf numFmtId="0" fontId="10" fillId="0" borderId="6" xfId="0" applyFont="1" applyBorder="1"/>
    <xf numFmtId="1" fontId="10" fillId="0" borderId="6" xfId="0" applyNumberFormat="1" applyFont="1" applyBorder="1" applyAlignment="1">
      <alignment horizontal="left" vertical="center" wrapText="1"/>
    </xf>
    <xf numFmtId="0" fontId="10" fillId="0" borderId="6" xfId="0" applyFont="1" applyBorder="1" applyAlignment="1">
      <alignment horizontal="center" wrapText="1"/>
    </xf>
    <xf numFmtId="0" fontId="10" fillId="0" borderId="25" xfId="0" applyFont="1" applyBorder="1" applyAlignment="1">
      <alignment horizontal="left" vertical="center" wrapText="1"/>
    </xf>
    <xf numFmtId="0" fontId="10" fillId="0" borderId="25" xfId="0" applyFont="1" applyBorder="1" applyAlignment="1">
      <alignment horizontal="center" vertical="center" wrapText="1"/>
    </xf>
    <xf numFmtId="49" fontId="10" fillId="0" borderId="25" xfId="0" applyNumberFormat="1" applyFont="1" applyBorder="1" applyAlignment="1">
      <alignment horizontal="center" vertical="center" wrapText="1"/>
    </xf>
    <xf numFmtId="14" fontId="10" fillId="0" borderId="25" xfId="0" applyNumberFormat="1" applyFont="1" applyBorder="1" applyAlignment="1">
      <alignment horizontal="center" vertical="center" wrapText="1"/>
    </xf>
    <xf numFmtId="14" fontId="10" fillId="0" borderId="0" xfId="0" applyNumberFormat="1" applyFont="1" applyAlignment="1">
      <alignment horizontal="center" vertical="center" wrapText="1"/>
    </xf>
    <xf numFmtId="164" fontId="10" fillId="0" borderId="25" xfId="0" applyNumberFormat="1" applyFont="1" applyBorder="1" applyAlignment="1">
      <alignment horizontal="center" vertical="center" wrapText="1"/>
    </xf>
    <xf numFmtId="0" fontId="10" fillId="0" borderId="25" xfId="0" applyFont="1" applyBorder="1" applyAlignment="1">
      <alignment horizontal="center" vertical="center"/>
    </xf>
    <xf numFmtId="0" fontId="10" fillId="0" borderId="25" xfId="0" applyFont="1" applyBorder="1" applyAlignment="1">
      <alignment horizontal="center"/>
    </xf>
    <xf numFmtId="0" fontId="10" fillId="0" borderId="15" xfId="0" applyFont="1" applyBorder="1" applyAlignment="1">
      <alignment wrapText="1"/>
    </xf>
    <xf numFmtId="0" fontId="10" fillId="0" borderId="0" xfId="0" applyFont="1" applyAlignment="1">
      <alignment horizontal="left" vertical="center" wrapText="1"/>
    </xf>
    <xf numFmtId="0" fontId="10" fillId="0" borderId="6" xfId="0" applyFont="1" applyBorder="1" applyAlignment="1">
      <alignment vertical="center" wrapText="1"/>
    </xf>
    <xf numFmtId="0" fontId="10" fillId="0" borderId="6" xfId="0" applyFont="1" applyBorder="1" applyAlignment="1">
      <alignment horizontal="center"/>
    </xf>
    <xf numFmtId="0" fontId="10" fillId="0" borderId="15" xfId="0" applyFont="1" applyBorder="1" applyAlignment="1">
      <alignment vertical="center" wrapText="1"/>
    </xf>
    <xf numFmtId="0" fontId="10" fillId="0" borderId="15" xfId="0" applyFont="1" applyBorder="1" applyAlignment="1">
      <alignment horizontal="justify" vertical="center" wrapText="1"/>
    </xf>
    <xf numFmtId="0" fontId="10" fillId="0" borderId="0" xfId="0" applyFont="1" applyAlignment="1">
      <alignment horizontal="center" vertical="center" wrapText="1"/>
    </xf>
    <xf numFmtId="164" fontId="10" fillId="0" borderId="0" xfId="0" applyNumberFormat="1" applyFont="1" applyAlignment="1">
      <alignment horizontal="center" vertical="center" wrapText="1"/>
    </xf>
    <xf numFmtId="49" fontId="10" fillId="0" borderId="0" xfId="0" applyNumberFormat="1" applyFont="1" applyAlignment="1">
      <alignment vertical="center"/>
    </xf>
    <xf numFmtId="49" fontId="10" fillId="0" borderId="0" xfId="0" applyNumberFormat="1" applyFont="1" applyAlignment="1">
      <alignment horizontal="center" vertical="center" wrapText="1"/>
    </xf>
    <xf numFmtId="0" fontId="10" fillId="10" borderId="0" xfId="0" applyFont="1" applyFill="1" applyAlignment="1">
      <alignment horizontal="left" vertical="center" wrapText="1"/>
    </xf>
    <xf numFmtId="0" fontId="10" fillId="11" borderId="0" xfId="0" applyFont="1" applyFill="1" applyAlignment="1">
      <alignment horizontal="left" vertical="center" wrapText="1"/>
    </xf>
    <xf numFmtId="0" fontId="10" fillId="0" borderId="12" xfId="0" applyFont="1" applyBorder="1" applyAlignment="1">
      <alignment horizontal="left" vertical="center" wrapText="1"/>
    </xf>
    <xf numFmtId="14" fontId="10" fillId="0" borderId="16" xfId="0" applyNumberFormat="1" applyFont="1" applyBorder="1" applyAlignment="1">
      <alignment horizontal="center" vertical="center" wrapText="1"/>
    </xf>
    <xf numFmtId="164" fontId="10" fillId="0" borderId="16" xfId="0" applyNumberFormat="1" applyFont="1" applyBorder="1" applyAlignment="1">
      <alignment horizontal="center" vertical="center" wrapText="1"/>
    </xf>
    <xf numFmtId="1" fontId="10" fillId="0" borderId="0" xfId="0" applyNumberFormat="1" applyFont="1"/>
    <xf numFmtId="0" fontId="10" fillId="0" borderId="0" xfId="0" applyFont="1" applyAlignment="1">
      <alignment horizontal="left"/>
    </xf>
    <xf numFmtId="14" fontId="10" fillId="0" borderId="0" xfId="0" applyNumberFormat="1" applyFont="1" applyAlignment="1">
      <alignment horizontal="center" vertical="center"/>
    </xf>
    <xf numFmtId="1" fontId="10" fillId="0" borderId="0" xfId="0" applyNumberFormat="1" applyFont="1" applyAlignment="1">
      <alignment horizontal="center" vertical="center"/>
    </xf>
    <xf numFmtId="14" fontId="10" fillId="0" borderId="0" xfId="0" applyNumberFormat="1" applyFont="1"/>
    <xf numFmtId="0" fontId="10" fillId="2" borderId="26" xfId="0" applyFont="1" applyFill="1" applyBorder="1" applyAlignment="1">
      <alignment horizontal="center" vertical="center"/>
    </xf>
    <xf numFmtId="0" fontId="10" fillId="5" borderId="26" xfId="0" applyFont="1" applyFill="1" applyBorder="1" applyAlignment="1">
      <alignment vertical="center"/>
    </xf>
    <xf numFmtId="0" fontId="10" fillId="8" borderId="26" xfId="0" applyFont="1" applyFill="1" applyBorder="1" applyAlignment="1">
      <alignment horizontal="center" vertical="center"/>
    </xf>
    <xf numFmtId="0" fontId="10" fillId="0" borderId="26" xfId="0" applyFont="1" applyBorder="1" applyAlignment="1">
      <alignment vertical="center"/>
    </xf>
    <xf numFmtId="0" fontId="10" fillId="5" borderId="26" xfId="0" applyFont="1" applyFill="1" applyBorder="1" applyAlignment="1">
      <alignment horizontal="left" vertical="center"/>
    </xf>
    <xf numFmtId="0" fontId="10" fillId="5" borderId="26" xfId="0" applyFont="1" applyFill="1" applyBorder="1" applyAlignment="1">
      <alignment vertical="center" wrapText="1"/>
    </xf>
    <xf numFmtId="0" fontId="10" fillId="2" borderId="13" xfId="0" applyFont="1" applyFill="1" applyBorder="1" applyAlignment="1">
      <alignment horizontal="center" vertical="center"/>
    </xf>
    <xf numFmtId="0" fontId="10" fillId="0" borderId="19" xfId="0" applyFont="1" applyBorder="1" applyAlignment="1">
      <alignment vertical="center"/>
    </xf>
    <xf numFmtId="0" fontId="10" fillId="2" borderId="18" xfId="0" applyFont="1" applyFill="1" applyBorder="1" applyAlignment="1">
      <alignment horizontal="center" vertical="center"/>
    </xf>
    <xf numFmtId="0" fontId="10" fillId="0" borderId="18" xfId="0" applyFont="1" applyBorder="1" applyAlignment="1">
      <alignment vertical="center"/>
    </xf>
    <xf numFmtId="0" fontId="10" fillId="0" borderId="23" xfId="0" applyFont="1" applyBorder="1" applyAlignment="1">
      <alignment vertical="center"/>
    </xf>
    <xf numFmtId="0" fontId="10" fillId="8" borderId="21" xfId="0" applyFont="1" applyFill="1" applyBorder="1" applyAlignment="1">
      <alignment horizontal="center" vertical="center"/>
    </xf>
    <xf numFmtId="0" fontId="10" fillId="0" borderId="21" xfId="0" applyFont="1" applyBorder="1" applyAlignment="1">
      <alignment vertical="center"/>
    </xf>
    <xf numFmtId="0" fontId="10" fillId="0" borderId="9" xfId="0" applyFont="1" applyBorder="1" applyAlignment="1">
      <alignment vertical="center"/>
    </xf>
    <xf numFmtId="0" fontId="10" fillId="5" borderId="5" xfId="0" applyFont="1" applyFill="1" applyBorder="1" applyAlignment="1">
      <alignment vertical="center"/>
    </xf>
    <xf numFmtId="0" fontId="10" fillId="0" borderId="13" xfId="0" applyFont="1" applyBorder="1" applyAlignment="1">
      <alignment vertical="center"/>
    </xf>
    <xf numFmtId="0" fontId="10" fillId="5" borderId="19" xfId="0" applyFont="1" applyFill="1" applyBorder="1" applyAlignment="1">
      <alignment vertical="center"/>
    </xf>
    <xf numFmtId="0" fontId="10" fillId="5" borderId="9" xfId="0" applyFont="1" applyFill="1" applyBorder="1" applyAlignment="1">
      <alignment vertical="center"/>
    </xf>
    <xf numFmtId="0" fontId="10" fillId="0" borderId="21" xfId="0" applyFont="1" applyBorder="1" applyAlignment="1">
      <alignment vertical="center" wrapText="1"/>
    </xf>
    <xf numFmtId="0" fontId="10" fillId="0" borderId="18" xfId="0" applyFont="1" applyBorder="1" applyAlignment="1">
      <alignment vertical="center" wrapText="1"/>
    </xf>
    <xf numFmtId="0" fontId="9" fillId="0" borderId="15" xfId="0" applyFont="1" applyBorder="1" applyAlignment="1">
      <alignment horizontal="center" vertical="center" wrapText="1"/>
    </xf>
    <xf numFmtId="14" fontId="9" fillId="0" borderId="15" xfId="0" applyNumberFormat="1" applyFont="1" applyBorder="1" applyAlignment="1">
      <alignment horizontal="center" vertical="center" wrapText="1"/>
    </xf>
    <xf numFmtId="164" fontId="9" fillId="0" borderId="15" xfId="0" applyNumberFormat="1" applyFont="1" applyBorder="1" applyAlignment="1">
      <alignment horizontal="center" vertical="center" wrapText="1"/>
    </xf>
    <xf numFmtId="0" fontId="9" fillId="0" borderId="15" xfId="0" applyFont="1" applyBorder="1" applyAlignment="1">
      <alignment horizontal="left" vertical="center" wrapText="1"/>
    </xf>
    <xf numFmtId="49" fontId="9" fillId="0" borderId="15" xfId="0" applyNumberFormat="1" applyFont="1" applyBorder="1" applyAlignment="1">
      <alignment vertical="center"/>
    </xf>
    <xf numFmtId="49" fontId="9" fillId="0" borderId="15" xfId="0" applyNumberFormat="1" applyFont="1" applyBorder="1" applyAlignment="1">
      <alignment horizontal="center" vertical="center" wrapText="1"/>
    </xf>
    <xf numFmtId="1" fontId="9" fillId="0" borderId="15" xfId="0" applyNumberFormat="1" applyFont="1" applyBorder="1" applyAlignment="1">
      <alignment horizontal="left" vertical="center" wrapText="1"/>
    </xf>
    <xf numFmtId="0" fontId="34" fillId="0" borderId="0" xfId="0" applyFont="1" applyAlignment="1">
      <alignment horizontal="left" vertical="center" wrapText="1"/>
    </xf>
    <xf numFmtId="0" fontId="34" fillId="0" borderId="0" xfId="0" applyFont="1" applyAlignment="1">
      <alignment horizontal="center" vertical="center" wrapText="1"/>
    </xf>
    <xf numFmtId="0" fontId="34" fillId="0" borderId="15" xfId="0" applyFont="1" applyBorder="1" applyAlignment="1">
      <alignment horizontal="left" vertical="center" wrapText="1"/>
    </xf>
    <xf numFmtId="0" fontId="21" fillId="0" borderId="6" xfId="0" applyFont="1" applyBorder="1" applyAlignment="1">
      <alignment horizontal="left" vertical="center" wrapText="1"/>
    </xf>
    <xf numFmtId="0" fontId="21" fillId="0" borderId="6" xfId="0" applyFont="1" applyBorder="1" applyAlignment="1">
      <alignment horizontal="center" vertical="center" wrapText="1"/>
    </xf>
    <xf numFmtId="0" fontId="34" fillId="0" borderId="15" xfId="0" applyFont="1" applyBorder="1" applyAlignment="1">
      <alignment horizontal="center" vertical="center" wrapText="1"/>
    </xf>
    <xf numFmtId="0" fontId="8" fillId="0" borderId="15" xfId="0" applyFont="1" applyBorder="1" applyAlignment="1">
      <alignment horizontal="left" vertical="center" wrapText="1"/>
    </xf>
    <xf numFmtId="0" fontId="8" fillId="0" borderId="6" xfId="0" applyFont="1" applyBorder="1" applyAlignment="1">
      <alignment horizontal="left" vertical="center" wrapText="1"/>
    </xf>
    <xf numFmtId="0" fontId="8" fillId="0" borderId="15" xfId="0" applyFont="1" applyBorder="1" applyAlignment="1">
      <alignment horizontal="center" vertical="center" wrapText="1"/>
    </xf>
    <xf numFmtId="14" fontId="8" fillId="0" borderId="15" xfId="0" applyNumberFormat="1" applyFont="1" applyBorder="1" applyAlignment="1">
      <alignment horizontal="center" vertical="center" wrapText="1"/>
    </xf>
    <xf numFmtId="164" fontId="8" fillId="0" borderId="15" xfId="0" applyNumberFormat="1" applyFont="1" applyBorder="1" applyAlignment="1">
      <alignment horizontal="center" vertical="center" wrapText="1"/>
    </xf>
    <xf numFmtId="49" fontId="8" fillId="0" borderId="15" xfId="0" applyNumberFormat="1" applyFont="1" applyBorder="1" applyAlignment="1">
      <alignment vertical="center"/>
    </xf>
    <xf numFmtId="49" fontId="8" fillId="0" borderId="15" xfId="0" applyNumberFormat="1" applyFont="1" applyBorder="1" applyAlignment="1">
      <alignment horizontal="center" vertical="center" wrapText="1"/>
    </xf>
    <xf numFmtId="1" fontId="8" fillId="0" borderId="15" xfId="0" applyNumberFormat="1" applyFont="1" applyBorder="1" applyAlignment="1">
      <alignment horizontal="left" vertical="center" wrapText="1"/>
    </xf>
    <xf numFmtId="0" fontId="8" fillId="0" borderId="30" xfId="0" applyFont="1" applyBorder="1" applyAlignment="1">
      <alignment horizontal="left" vertical="center" wrapText="1"/>
    </xf>
    <xf numFmtId="0" fontId="8" fillId="0" borderId="6" xfId="0" applyFont="1" applyBorder="1" applyAlignment="1">
      <alignment horizontal="center" vertical="center" wrapText="1"/>
    </xf>
    <xf numFmtId="0" fontId="8" fillId="0" borderId="16" xfId="0" applyFont="1" applyBorder="1" applyAlignment="1">
      <alignment horizontal="center" vertical="center" wrapText="1"/>
    </xf>
    <xf numFmtId="164" fontId="8" fillId="0" borderId="16" xfId="0" applyNumberFormat="1" applyFont="1" applyBorder="1" applyAlignment="1">
      <alignment horizontal="center" vertical="center" wrapText="1"/>
    </xf>
    <xf numFmtId="164" fontId="8" fillId="0" borderId="6" xfId="0" applyNumberFormat="1" applyFont="1" applyBorder="1" applyAlignment="1">
      <alignment horizontal="center" vertical="center" wrapText="1"/>
    </xf>
    <xf numFmtId="49" fontId="8" fillId="0" borderId="6" xfId="0" applyNumberFormat="1" applyFont="1" applyBorder="1" applyAlignment="1">
      <alignment vertical="center"/>
    </xf>
    <xf numFmtId="49" fontId="8" fillId="0" borderId="6" xfId="0" applyNumberFormat="1" applyFont="1" applyBorder="1" applyAlignment="1">
      <alignment horizontal="center" vertical="center" wrapText="1"/>
    </xf>
    <xf numFmtId="1" fontId="8" fillId="0" borderId="6" xfId="0" applyNumberFormat="1" applyFont="1" applyBorder="1" applyAlignment="1">
      <alignment horizontal="left" vertical="center" wrapText="1"/>
    </xf>
    <xf numFmtId="0" fontId="10" fillId="5" borderId="15" xfId="0" applyFont="1" applyFill="1" applyBorder="1" applyAlignment="1">
      <alignment horizontal="center" vertical="center" wrapText="1"/>
    </xf>
    <xf numFmtId="14" fontId="10" fillId="5" borderId="15" xfId="0" applyNumberFormat="1" applyFont="1" applyFill="1" applyBorder="1" applyAlignment="1">
      <alignment horizontal="center" vertical="center" wrapText="1"/>
    </xf>
    <xf numFmtId="0" fontId="8" fillId="0" borderId="0" xfId="0" applyFont="1" applyAlignment="1">
      <alignment vertical="center"/>
    </xf>
    <xf numFmtId="0" fontId="17" fillId="2" borderId="9" xfId="0" applyFont="1" applyFill="1" applyBorder="1" applyAlignment="1">
      <alignment horizontal="left" vertical="center"/>
    </xf>
    <xf numFmtId="0" fontId="36" fillId="0" borderId="0" xfId="0" applyFont="1"/>
    <xf numFmtId="0" fontId="33" fillId="0" borderId="0" xfId="0" applyFont="1"/>
    <xf numFmtId="49" fontId="10" fillId="0" borderId="6" xfId="0" applyNumberFormat="1" applyFont="1" applyBorder="1" applyAlignment="1">
      <alignment horizontal="left" vertical="center"/>
    </xf>
    <xf numFmtId="49" fontId="10" fillId="0" borderId="15" xfId="0" applyNumberFormat="1" applyFont="1" applyBorder="1" applyAlignment="1">
      <alignment horizontal="left" vertical="center"/>
    </xf>
    <xf numFmtId="49" fontId="35" fillId="0" borderId="15" xfId="7" applyNumberFormat="1" applyBorder="1" applyAlignment="1">
      <alignment horizontal="left" vertical="center"/>
    </xf>
    <xf numFmtId="49" fontId="10" fillId="0" borderId="15" xfId="0" applyNumberFormat="1" applyFont="1" applyBorder="1" applyAlignment="1">
      <alignment horizontal="justify" vertical="center"/>
    </xf>
    <xf numFmtId="49" fontId="10" fillId="0" borderId="15" xfId="0" applyNumberFormat="1" applyFont="1" applyBorder="1" applyAlignment="1">
      <alignment horizontal="center" vertical="center"/>
    </xf>
    <xf numFmtId="49" fontId="10" fillId="0" borderId="6" xfId="0" applyNumberFormat="1" applyFont="1" applyBorder="1" applyAlignment="1">
      <alignment horizontal="center" vertical="center"/>
    </xf>
    <xf numFmtId="49" fontId="10" fillId="0" borderId="25" xfId="0" applyNumberFormat="1" applyFont="1" applyBorder="1" applyAlignment="1">
      <alignment horizontal="center" vertical="center"/>
    </xf>
    <xf numFmtId="49" fontId="35" fillId="0" borderId="6" xfId="7" applyNumberFormat="1" applyBorder="1" applyAlignment="1">
      <alignment horizontal="left" vertical="center"/>
    </xf>
    <xf numFmtId="49" fontId="24"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9" fillId="0" borderId="15" xfId="0" applyNumberFormat="1" applyFont="1" applyBorder="1" applyAlignment="1">
      <alignment horizontal="left" vertical="center"/>
    </xf>
    <xf numFmtId="49" fontId="8" fillId="0" borderId="15" xfId="0" applyNumberFormat="1" applyFont="1" applyBorder="1" applyAlignment="1">
      <alignment horizontal="left" vertical="center"/>
    </xf>
    <xf numFmtId="49" fontId="8" fillId="0" borderId="6" xfId="0" applyNumberFormat="1" applyFont="1" applyBorder="1" applyAlignment="1">
      <alignment horizontal="left" vertical="center"/>
    </xf>
    <xf numFmtId="0" fontId="10" fillId="5" borderId="15" xfId="0" applyFont="1" applyFill="1" applyBorder="1" applyAlignment="1">
      <alignment horizontal="left" vertical="center" wrapText="1"/>
    </xf>
    <xf numFmtId="0" fontId="7" fillId="0" borderId="15" xfId="0" applyFont="1" applyBorder="1" applyAlignment="1">
      <alignment horizontal="left" vertical="center" wrapText="1"/>
    </xf>
    <xf numFmtId="0" fontId="7" fillId="0" borderId="15" xfId="0" applyFont="1" applyBorder="1" applyAlignment="1">
      <alignment horizontal="center" vertical="center" wrapText="1"/>
    </xf>
    <xf numFmtId="14" fontId="7" fillId="0" borderId="15" xfId="0" applyNumberFormat="1" applyFont="1" applyBorder="1" applyAlignment="1">
      <alignment horizontal="center" vertical="center" wrapText="1"/>
    </xf>
    <xf numFmtId="164" fontId="7" fillId="0" borderId="15" xfId="0" applyNumberFormat="1" applyFont="1" applyBorder="1" applyAlignment="1">
      <alignment horizontal="center" vertical="center" wrapText="1"/>
    </xf>
    <xf numFmtId="49" fontId="7" fillId="0" borderId="15" xfId="0" applyNumberFormat="1" applyFont="1" applyBorder="1" applyAlignment="1">
      <alignment horizontal="left" vertical="center"/>
    </xf>
    <xf numFmtId="49" fontId="7" fillId="0" borderId="15" xfId="0" applyNumberFormat="1" applyFont="1" applyBorder="1" applyAlignment="1">
      <alignment vertical="center"/>
    </xf>
    <xf numFmtId="49" fontId="7" fillId="0" borderId="15" xfId="0" applyNumberFormat="1" applyFont="1" applyBorder="1" applyAlignment="1">
      <alignment horizontal="center" vertical="center" wrapText="1"/>
    </xf>
    <xf numFmtId="1" fontId="7" fillId="0" borderId="15" xfId="0" applyNumberFormat="1" applyFont="1" applyBorder="1" applyAlignment="1">
      <alignment horizontal="left" vertical="center" wrapText="1"/>
    </xf>
    <xf numFmtId="0" fontId="7" fillId="0" borderId="6" xfId="0" applyFont="1" applyBorder="1" applyAlignment="1">
      <alignment horizontal="left" vertical="center" wrapText="1"/>
    </xf>
    <xf numFmtId="0" fontId="7" fillId="0" borderId="6" xfId="0" applyFont="1" applyBorder="1" applyAlignment="1">
      <alignment horizontal="center" vertical="center" wrapText="1"/>
    </xf>
    <xf numFmtId="0" fontId="6" fillId="0" borderId="15" xfId="0" applyFont="1" applyBorder="1" applyAlignment="1">
      <alignment horizontal="center" vertical="center" wrapText="1"/>
    </xf>
    <xf numFmtId="14" fontId="6" fillId="0" borderId="15" xfId="0" applyNumberFormat="1" applyFont="1" applyBorder="1" applyAlignment="1">
      <alignment horizontal="center" vertical="center" wrapText="1"/>
    </xf>
    <xf numFmtId="164" fontId="6" fillId="0" borderId="15" xfId="0" applyNumberFormat="1" applyFont="1" applyBorder="1" applyAlignment="1">
      <alignment horizontal="center" vertical="center" wrapText="1"/>
    </xf>
    <xf numFmtId="0" fontId="6" fillId="0" borderId="15" xfId="0" applyFont="1" applyBorder="1" applyAlignment="1">
      <alignment horizontal="left" vertical="center" wrapText="1"/>
    </xf>
    <xf numFmtId="49" fontId="6" fillId="0" borderId="15" xfId="0" applyNumberFormat="1" applyFont="1" applyBorder="1" applyAlignment="1">
      <alignment horizontal="left" vertical="center"/>
    </xf>
    <xf numFmtId="49" fontId="6" fillId="0" borderId="15" xfId="0" applyNumberFormat="1" applyFont="1" applyBorder="1" applyAlignment="1">
      <alignment vertical="center"/>
    </xf>
    <xf numFmtId="49" fontId="6" fillId="0" borderId="15" xfId="0" applyNumberFormat="1" applyFont="1" applyBorder="1" applyAlignment="1">
      <alignment horizontal="center" vertical="center" wrapText="1"/>
    </xf>
    <xf numFmtId="1" fontId="6" fillId="0" borderId="15" xfId="0" applyNumberFormat="1" applyFont="1" applyBorder="1" applyAlignment="1">
      <alignment horizontal="left" vertical="center" wrapText="1"/>
    </xf>
    <xf numFmtId="0" fontId="6" fillId="0" borderId="6" xfId="0" applyFont="1" applyBorder="1" applyAlignment="1">
      <alignment horizontal="center" vertical="center" wrapText="1"/>
    </xf>
    <xf numFmtId="0" fontId="6" fillId="0" borderId="0" xfId="0" applyFont="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24" fillId="0" borderId="0" xfId="0" applyFont="1" applyAlignment="1">
      <alignment horizontal="left" vertical="center" wrapText="1"/>
    </xf>
    <xf numFmtId="0" fontId="7" fillId="0" borderId="0" xfId="0" applyFont="1" applyAlignment="1">
      <alignment horizontal="left" vertical="center" wrapText="1"/>
    </xf>
    <xf numFmtId="0" fontId="7" fillId="0" borderId="12" xfId="0" applyFont="1" applyBorder="1" applyAlignment="1">
      <alignment horizontal="left" vertical="center" wrapText="1"/>
    </xf>
    <xf numFmtId="14" fontId="6" fillId="0" borderId="0" xfId="0" applyNumberFormat="1" applyFont="1" applyAlignment="1">
      <alignment horizontal="center" vertical="center" wrapText="1"/>
    </xf>
    <xf numFmtId="14" fontId="7" fillId="0" borderId="0" xfId="0" applyNumberFormat="1" applyFont="1" applyAlignment="1">
      <alignment horizontal="center" vertical="center" wrapText="1"/>
    </xf>
    <xf numFmtId="14" fontId="6" fillId="0" borderId="6" xfId="0" applyNumberFormat="1" applyFont="1" applyBorder="1" applyAlignment="1">
      <alignment horizontal="center" vertical="center" wrapText="1"/>
    </xf>
    <xf numFmtId="14" fontId="7" fillId="0" borderId="6" xfId="0" applyNumberFormat="1" applyFont="1" applyBorder="1" applyAlignment="1">
      <alignment horizontal="center" vertical="center" wrapText="1"/>
    </xf>
    <xf numFmtId="164" fontId="6" fillId="0" borderId="0" xfId="0" applyNumberFormat="1" applyFont="1" applyAlignment="1">
      <alignment horizontal="center" vertical="center" wrapText="1"/>
    </xf>
    <xf numFmtId="164" fontId="6" fillId="0" borderId="6" xfId="0" applyNumberFormat="1" applyFont="1" applyBorder="1" applyAlignment="1">
      <alignment horizontal="center" vertical="center" wrapText="1"/>
    </xf>
    <xf numFmtId="164" fontId="7" fillId="0" borderId="0" xfId="0" applyNumberFormat="1" applyFont="1" applyAlignment="1">
      <alignment horizontal="center" vertical="center" wrapText="1"/>
    </xf>
    <xf numFmtId="164" fontId="10" fillId="5" borderId="15" xfId="0" applyNumberFormat="1" applyFont="1" applyFill="1" applyBorder="1" applyAlignment="1">
      <alignment horizontal="center" vertical="center" wrapText="1"/>
    </xf>
    <xf numFmtId="49" fontId="10" fillId="0" borderId="0" xfId="0" applyNumberFormat="1" applyFont="1" applyAlignment="1">
      <alignment horizontal="center" vertical="center"/>
    </xf>
    <xf numFmtId="49" fontId="6" fillId="0" borderId="0" xfId="0" applyNumberFormat="1" applyFont="1" applyAlignment="1">
      <alignment horizontal="left" vertical="center"/>
    </xf>
    <xf numFmtId="49" fontId="6" fillId="0" borderId="6" xfId="0" applyNumberFormat="1" applyFont="1" applyBorder="1" applyAlignment="1">
      <alignment horizontal="left" vertical="center"/>
    </xf>
    <xf numFmtId="49" fontId="10" fillId="5" borderId="15" xfId="0" applyNumberFormat="1" applyFont="1" applyFill="1" applyBorder="1" applyAlignment="1">
      <alignment horizontal="left" vertical="center"/>
    </xf>
    <xf numFmtId="49" fontId="7" fillId="0" borderId="0" xfId="0" applyNumberFormat="1" applyFont="1" applyAlignment="1">
      <alignment horizontal="left" vertical="center"/>
    </xf>
    <xf numFmtId="49" fontId="6" fillId="0" borderId="0" xfId="0" applyNumberFormat="1" applyFont="1" applyAlignment="1">
      <alignment vertical="center"/>
    </xf>
    <xf numFmtId="49" fontId="6" fillId="0" borderId="6" xfId="0" applyNumberFormat="1" applyFont="1" applyBorder="1" applyAlignment="1">
      <alignment vertical="center"/>
    </xf>
    <xf numFmtId="49" fontId="10" fillId="5" borderId="15" xfId="0" applyNumberFormat="1" applyFont="1" applyFill="1" applyBorder="1" applyAlignment="1">
      <alignment vertical="center"/>
    </xf>
    <xf numFmtId="49" fontId="7" fillId="0" borderId="0" xfId="0" applyNumberFormat="1" applyFont="1" applyAlignment="1">
      <alignment vertical="center"/>
    </xf>
    <xf numFmtId="49" fontId="6" fillId="0" borderId="0" xfId="0" applyNumberFormat="1" applyFont="1" applyAlignment="1">
      <alignment horizontal="center" vertical="center" wrapText="1"/>
    </xf>
    <xf numFmtId="49" fontId="6" fillId="0" borderId="6" xfId="0" applyNumberFormat="1" applyFont="1" applyBorder="1" applyAlignment="1">
      <alignment horizontal="center" vertical="center" wrapText="1"/>
    </xf>
    <xf numFmtId="49" fontId="10" fillId="5" borderId="15" xfId="0" applyNumberFormat="1" applyFont="1" applyFill="1" applyBorder="1" applyAlignment="1">
      <alignment horizontal="center" vertical="center" wrapText="1"/>
    </xf>
    <xf numFmtId="49" fontId="7" fillId="0" borderId="0" xfId="0" applyNumberFormat="1" applyFont="1" applyAlignment="1">
      <alignment horizontal="center" vertical="center" wrapText="1"/>
    </xf>
    <xf numFmtId="0" fontId="10" fillId="0" borderId="0" xfId="0" applyFont="1" applyAlignment="1">
      <alignment horizontal="center" wrapText="1"/>
    </xf>
    <xf numFmtId="1" fontId="6" fillId="0" borderId="0" xfId="0" applyNumberFormat="1" applyFont="1" applyAlignment="1">
      <alignment horizontal="left" vertical="center" wrapText="1"/>
    </xf>
    <xf numFmtId="1" fontId="6" fillId="0" borderId="6" xfId="0" applyNumberFormat="1" applyFont="1" applyBorder="1" applyAlignment="1">
      <alignment horizontal="left" vertical="center" wrapText="1"/>
    </xf>
    <xf numFmtId="1" fontId="10" fillId="0" borderId="0" xfId="0" applyNumberFormat="1" applyFont="1" applyAlignment="1">
      <alignment horizontal="left" vertical="center" wrapText="1"/>
    </xf>
    <xf numFmtId="0" fontId="10" fillId="0" borderId="0" xfId="0" applyFont="1" applyAlignment="1">
      <alignment horizontal="center"/>
    </xf>
    <xf numFmtId="1" fontId="7" fillId="0" borderId="0" xfId="0" applyNumberFormat="1" applyFont="1" applyAlignment="1">
      <alignment horizontal="left" vertical="center" wrapText="1"/>
    </xf>
    <xf numFmtId="0" fontId="5" fillId="0" borderId="15" xfId="0" applyFont="1" applyBorder="1" applyAlignment="1">
      <alignment horizontal="left" vertical="center" wrapText="1"/>
    </xf>
    <xf numFmtId="0" fontId="5" fillId="0" borderId="15" xfId="0" applyFont="1" applyBorder="1" applyAlignment="1">
      <alignment horizontal="center" vertical="center" wrapText="1"/>
    </xf>
    <xf numFmtId="14" fontId="5" fillId="0" borderId="15" xfId="0" applyNumberFormat="1" applyFont="1" applyBorder="1" applyAlignment="1">
      <alignment horizontal="center" vertical="center" wrapText="1"/>
    </xf>
    <xf numFmtId="164" fontId="5" fillId="0" borderId="15" xfId="0" applyNumberFormat="1" applyFont="1" applyBorder="1" applyAlignment="1">
      <alignment horizontal="center" vertical="center" wrapText="1"/>
    </xf>
    <xf numFmtId="49" fontId="5" fillId="0" borderId="15" xfId="0" applyNumberFormat="1" applyFont="1" applyBorder="1" applyAlignment="1">
      <alignment horizontal="left" vertical="center"/>
    </xf>
    <xf numFmtId="49" fontId="5" fillId="0" borderId="15" xfId="0" applyNumberFormat="1" applyFont="1" applyBorder="1" applyAlignment="1">
      <alignment vertical="center"/>
    </xf>
    <xf numFmtId="49" fontId="5" fillId="0" borderId="15" xfId="0" applyNumberFormat="1" applyFont="1" applyBorder="1" applyAlignment="1">
      <alignment horizontal="center" vertical="center" wrapText="1"/>
    </xf>
    <xf numFmtId="1" fontId="5" fillId="0" borderId="15" xfId="0" applyNumberFormat="1" applyFont="1" applyBorder="1" applyAlignment="1">
      <alignment horizontal="left" vertical="center" wrapText="1"/>
    </xf>
    <xf numFmtId="0" fontId="4" fillId="0" borderId="15" xfId="0" applyFont="1" applyBorder="1" applyAlignment="1">
      <alignment horizontal="center" vertical="center" wrapText="1"/>
    </xf>
    <xf numFmtId="14" fontId="4" fillId="0" borderId="15" xfId="0" applyNumberFormat="1" applyFont="1" applyBorder="1" applyAlignment="1">
      <alignment horizontal="center" vertical="center" wrapText="1"/>
    </xf>
    <xf numFmtId="164" fontId="4" fillId="0" borderId="15" xfId="0" applyNumberFormat="1" applyFont="1" applyBorder="1" applyAlignment="1">
      <alignment horizontal="center" vertical="center" wrapText="1"/>
    </xf>
    <xf numFmtId="0" fontId="4" fillId="0" borderId="15" xfId="0" applyFont="1" applyBorder="1" applyAlignment="1">
      <alignment horizontal="left" vertical="center" wrapText="1"/>
    </xf>
    <xf numFmtId="49" fontId="4" fillId="0" borderId="15" xfId="0" applyNumberFormat="1" applyFont="1" applyBorder="1" applyAlignment="1">
      <alignment horizontal="left" vertical="center"/>
    </xf>
    <xf numFmtId="49" fontId="4" fillId="0" borderId="15" xfId="0" applyNumberFormat="1" applyFont="1" applyBorder="1" applyAlignment="1">
      <alignment vertical="center"/>
    </xf>
    <xf numFmtId="49" fontId="4" fillId="0" borderId="15" xfId="0" applyNumberFormat="1" applyFont="1" applyBorder="1" applyAlignment="1">
      <alignment horizontal="center" vertical="center" wrapText="1"/>
    </xf>
    <xf numFmtId="1" fontId="4" fillId="0" borderId="15" xfId="0" applyNumberFormat="1" applyFont="1" applyBorder="1" applyAlignment="1">
      <alignment horizontal="left" vertical="center" wrapText="1"/>
    </xf>
    <xf numFmtId="0" fontId="4" fillId="0" borderId="0" xfId="0" applyFont="1" applyAlignment="1">
      <alignment horizontal="left" vertical="center" wrapText="1"/>
    </xf>
    <xf numFmtId="0" fontId="3" fillId="0" borderId="15" xfId="0" applyFont="1" applyBorder="1" applyAlignment="1">
      <alignment horizontal="center" vertical="center" wrapText="1"/>
    </xf>
    <xf numFmtId="14" fontId="3" fillId="0" borderId="15" xfId="0" applyNumberFormat="1" applyFont="1" applyBorder="1" applyAlignment="1">
      <alignment horizontal="center" vertical="center" wrapText="1"/>
    </xf>
    <xf numFmtId="164" fontId="3" fillId="0" borderId="15" xfId="0" applyNumberFormat="1" applyFont="1" applyBorder="1" applyAlignment="1">
      <alignment horizontal="center" vertical="center" wrapText="1"/>
    </xf>
    <xf numFmtId="0" fontId="3" fillId="0" borderId="15" xfId="0" applyFont="1" applyBorder="1" applyAlignment="1">
      <alignment horizontal="left" vertical="center" wrapText="1"/>
    </xf>
    <xf numFmtId="49" fontId="3" fillId="0" borderId="15" xfId="0" applyNumberFormat="1" applyFont="1" applyBorder="1" applyAlignment="1">
      <alignment horizontal="left" vertical="center"/>
    </xf>
    <xf numFmtId="49" fontId="3" fillId="0" borderId="15" xfId="0" applyNumberFormat="1" applyFont="1" applyBorder="1" applyAlignment="1">
      <alignment vertical="center"/>
    </xf>
    <xf numFmtId="49" fontId="3" fillId="0" borderId="15" xfId="0" applyNumberFormat="1" applyFont="1" applyBorder="1" applyAlignment="1">
      <alignment horizontal="center" vertical="center" wrapText="1"/>
    </xf>
    <xf numFmtId="1" fontId="3" fillId="0" borderId="15" xfId="0" applyNumberFormat="1" applyFont="1" applyBorder="1" applyAlignment="1">
      <alignment horizontal="left" vertical="center" wrapText="1"/>
    </xf>
    <xf numFmtId="0" fontId="2" fillId="0" borderId="15" xfId="0" applyFont="1" applyBorder="1" applyAlignment="1">
      <alignment horizontal="left" vertical="center" wrapText="1"/>
    </xf>
    <xf numFmtId="0" fontId="33" fillId="0" borderId="0" xfId="3" applyNumberFormat="1" applyFont="1" applyFill="1" applyBorder="1" applyAlignment="1"/>
    <xf numFmtId="0" fontId="1" fillId="0" borderId="15" xfId="0" applyFont="1" applyBorder="1" applyAlignment="1">
      <alignment horizontal="left" vertical="center" wrapText="1"/>
    </xf>
    <xf numFmtId="0" fontId="24" fillId="0" borderId="25" xfId="0" applyFont="1" applyBorder="1" applyAlignment="1">
      <alignment horizontal="left" vertical="center" wrapText="1"/>
    </xf>
    <xf numFmtId="0" fontId="1" fillId="0" borderId="15" xfId="0" applyFont="1" applyBorder="1" applyAlignment="1">
      <alignment horizontal="center" vertical="center" wrapText="1"/>
    </xf>
    <xf numFmtId="14" fontId="1" fillId="0" borderId="15" xfId="0" applyNumberFormat="1" applyFont="1" applyBorder="1" applyAlignment="1">
      <alignment horizontal="center" vertical="center" wrapText="1"/>
    </xf>
    <xf numFmtId="164" fontId="1" fillId="0" borderId="15" xfId="0" applyNumberFormat="1" applyFont="1" applyBorder="1" applyAlignment="1">
      <alignment horizontal="center" vertical="center" wrapText="1"/>
    </xf>
    <xf numFmtId="49" fontId="1" fillId="0" borderId="15" xfId="0" applyNumberFormat="1" applyFont="1" applyBorder="1" applyAlignment="1">
      <alignment horizontal="left" vertical="center"/>
    </xf>
    <xf numFmtId="49" fontId="1" fillId="0" borderId="15" xfId="0" applyNumberFormat="1" applyFont="1" applyBorder="1" applyAlignment="1">
      <alignment vertical="center"/>
    </xf>
    <xf numFmtId="49" fontId="1" fillId="0" borderId="15" xfId="0" applyNumberFormat="1" applyFont="1" applyBorder="1" applyAlignment="1">
      <alignment horizontal="center" vertical="center" wrapText="1"/>
    </xf>
    <xf numFmtId="1" fontId="1" fillId="0" borderId="15" xfId="0" applyNumberFormat="1" applyFont="1" applyBorder="1" applyAlignment="1">
      <alignment horizontal="left" vertical="center" wrapText="1"/>
    </xf>
    <xf numFmtId="0" fontId="20" fillId="3" borderId="0" xfId="0" applyFont="1" applyFill="1" applyAlignment="1">
      <alignment horizontal="center" vertical="center"/>
    </xf>
    <xf numFmtId="0" fontId="10" fillId="7" borderId="26" xfId="0" applyFont="1" applyFill="1" applyBorder="1" applyAlignment="1">
      <alignment horizontal="center" vertical="center"/>
    </xf>
    <xf numFmtId="0" fontId="10" fillId="0" borderId="26" xfId="0" applyFont="1" applyBorder="1" applyAlignment="1">
      <alignment horizontal="left" vertical="center" wrapText="1"/>
    </xf>
    <xf numFmtId="0" fontId="10" fillId="5" borderId="26" xfId="0" applyFont="1" applyFill="1" applyBorder="1" applyAlignment="1">
      <alignment horizontal="left" vertical="center"/>
    </xf>
    <xf numFmtId="0" fontId="10" fillId="9" borderId="26" xfId="0" applyFont="1" applyFill="1" applyBorder="1" applyAlignment="1">
      <alignment horizontal="center" vertical="center"/>
    </xf>
    <xf numFmtId="0" fontId="10" fillId="0" borderId="26" xfId="0" applyFont="1" applyBorder="1" applyAlignment="1">
      <alignment horizontal="left" vertical="center"/>
    </xf>
    <xf numFmtId="0" fontId="10" fillId="5" borderId="27" xfId="0" applyFont="1" applyFill="1" applyBorder="1" applyAlignment="1">
      <alignment horizontal="left" vertical="center"/>
    </xf>
    <xf numFmtId="0" fontId="10" fillId="5" borderId="28" xfId="0" applyFont="1" applyFill="1" applyBorder="1" applyAlignment="1">
      <alignment horizontal="left" vertical="center"/>
    </xf>
    <xf numFmtId="0" fontId="10" fillId="5" borderId="29" xfId="0" applyFont="1" applyFill="1" applyBorder="1" applyAlignment="1">
      <alignment horizontal="left" vertical="center"/>
    </xf>
    <xf numFmtId="0" fontId="10" fillId="7" borderId="22" xfId="0" applyFont="1" applyFill="1" applyBorder="1" applyAlignment="1">
      <alignment horizontal="center" vertical="center"/>
    </xf>
    <xf numFmtId="0" fontId="10" fillId="7" borderId="18" xfId="0" applyFont="1" applyFill="1" applyBorder="1" applyAlignment="1">
      <alignment horizontal="center" vertical="center"/>
    </xf>
    <xf numFmtId="0" fontId="10" fillId="7" borderId="23" xfId="0" applyFont="1" applyFill="1" applyBorder="1" applyAlignment="1">
      <alignment horizontal="center" vertical="center"/>
    </xf>
    <xf numFmtId="0" fontId="10" fillId="9" borderId="18" xfId="0" applyFont="1" applyFill="1" applyBorder="1" applyAlignment="1">
      <alignment horizontal="center" vertical="center"/>
    </xf>
    <xf numFmtId="0" fontId="10" fillId="0" borderId="20" xfId="0" applyFont="1" applyBorder="1" applyAlignment="1">
      <alignment horizontal="left" vertical="center"/>
    </xf>
    <xf numFmtId="0" fontId="10" fillId="0" borderId="5" xfId="0" applyFont="1" applyBorder="1" applyAlignment="1">
      <alignment horizontal="left" vertical="center"/>
    </xf>
    <xf numFmtId="0" fontId="10" fillId="0" borderId="13" xfId="0" applyFont="1" applyBorder="1" applyAlignment="1">
      <alignment horizontal="left" vertical="center"/>
    </xf>
    <xf numFmtId="0" fontId="10" fillId="0" borderId="17" xfId="0" applyFont="1" applyBorder="1" applyAlignment="1">
      <alignment horizontal="left" vertical="center"/>
    </xf>
    <xf numFmtId="0" fontId="10" fillId="0" borderId="22" xfId="0" applyFont="1" applyBorder="1" applyAlignment="1">
      <alignment horizontal="left" vertical="center"/>
    </xf>
    <xf numFmtId="0" fontId="10" fillId="0" borderId="18" xfId="0" applyFont="1" applyBorder="1" applyAlignment="1">
      <alignment horizontal="left" vertical="center"/>
    </xf>
    <xf numFmtId="0" fontId="10" fillId="0" borderId="23" xfId="0" applyFont="1" applyBorder="1" applyAlignment="1">
      <alignment horizontal="left" vertical="center"/>
    </xf>
    <xf numFmtId="0" fontId="10" fillId="0" borderId="22" xfId="0" applyFont="1" applyBorder="1" applyAlignment="1">
      <alignment horizontal="center" vertical="center"/>
    </xf>
    <xf numFmtId="0" fontId="10" fillId="0" borderId="23" xfId="0" applyFont="1" applyBorder="1" applyAlignment="1">
      <alignment horizontal="center" vertical="center"/>
    </xf>
  </cellXfs>
  <cellStyles count="8">
    <cellStyle name="Hipervínculo" xfId="7" builtinId="8"/>
    <cellStyle name="Normal" xfId="0" builtinId="0"/>
    <cellStyle name="Normal 2" xfId="2" xr:uid="{2DD2CA86-7802-46FA-AD6A-88F24F644868}"/>
    <cellStyle name="Normal 2 2" xfId="5" xr:uid="{F32F2996-5A43-432A-BCD1-A0A32329B637}"/>
    <cellStyle name="Normal 3" xfId="3" xr:uid="{C4B8806D-78B1-4C82-B28C-209472798D12}"/>
    <cellStyle name="Normal 4" xfId="4" xr:uid="{42D2A821-F43C-4D42-ABF7-59FFA1748B6C}"/>
    <cellStyle name="Normal 5" xfId="6" xr:uid="{67B62CDB-680D-464F-ACED-6D6D28D41FDB}"/>
    <cellStyle name="Porcentaje" xfId="1" builtinId="5"/>
  </cellStyles>
  <dxfs count="90">
    <dxf>
      <font>
        <color rgb="FF4F7A32"/>
      </font>
      <fill>
        <patternFill>
          <bgColor theme="9" tint="0.39994506668294322"/>
        </patternFill>
      </fill>
    </dxf>
    <dxf>
      <font>
        <color rgb="FFB40000"/>
      </font>
      <fill>
        <patternFill>
          <bgColor rgb="FFFFC1C1"/>
        </patternFill>
      </fill>
    </dxf>
    <dxf>
      <font>
        <color theme="1" tint="0.499984740745262"/>
      </font>
      <fill>
        <patternFill>
          <bgColor theme="0" tint="-0.14996795556505021"/>
        </patternFill>
      </fill>
    </dxf>
    <dxf>
      <font>
        <color theme="8" tint="-0.499984740745262"/>
      </font>
      <fill>
        <patternFill>
          <bgColor theme="8" tint="0.59996337778862885"/>
        </patternFill>
      </fill>
    </dxf>
    <dxf>
      <font>
        <color theme="2" tint="-0.499984740745262"/>
      </font>
      <fill>
        <patternFill>
          <bgColor rgb="FFDDFF71"/>
        </patternFill>
      </fill>
    </dxf>
    <dxf>
      <font>
        <color theme="0"/>
      </font>
      <fill>
        <patternFill>
          <bgColor rgb="FFC00000"/>
        </patternFill>
      </fill>
    </dxf>
    <dxf>
      <fill>
        <patternFill>
          <bgColor rgb="FFFFFF00"/>
        </patternFill>
      </fill>
    </dxf>
    <dxf>
      <numFmt numFmtId="19" formatCode="d/mm/yyyy"/>
    </dxf>
    <dxf>
      <font>
        <b/>
        <i val="0"/>
        <strike val="0"/>
        <condense val="0"/>
        <extend val="0"/>
        <outline val="0"/>
        <shadow val="0"/>
        <u val="none"/>
        <vertAlign val="baseline"/>
        <sz val="10"/>
        <color auto="1"/>
        <name val="Arial"/>
        <family val="2"/>
        <scheme val="none"/>
      </font>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19" formatCode="d/mm/yyyy"/>
    </dxf>
    <dxf>
      <numFmt numFmtId="0" formatCode="General"/>
    </dxf>
    <dxf>
      <numFmt numFmtId="19" formatCode="d/mm/yyyy"/>
    </dxf>
    <dxf>
      <numFmt numFmtId="0" formatCode="General"/>
    </dxf>
    <dxf>
      <numFmt numFmtId="19" formatCode="d/mm/yyyy"/>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entury Gothic"/>
        <family val="2"/>
        <scheme val="none"/>
      </font>
      <alignment horizontal="general" vertical="center" textRotation="0" wrapText="0" indent="0" justifyLastLine="0" shrinkToFit="0" readingOrder="0"/>
    </dxf>
    <dxf>
      <border outline="0">
        <top style="thin">
          <color theme="0" tint="-0.34998626667073579"/>
        </top>
      </border>
    </dxf>
    <dxf>
      <font>
        <b val="0"/>
        <i val="0"/>
        <strike val="0"/>
        <condense val="0"/>
        <extend val="0"/>
        <outline val="0"/>
        <shadow val="0"/>
        <u val="none"/>
        <vertAlign val="baseline"/>
        <sz val="11"/>
        <color theme="1"/>
        <name val="Century Gothic"/>
        <family val="2"/>
        <scheme val="none"/>
      </font>
      <alignment horizontal="general" vertical="center" textRotation="0" wrapText="0" indent="0" justifyLastLine="0" shrinkToFit="0" readingOrder="0"/>
    </dxf>
    <dxf>
      <border outline="0">
        <bottom style="thin">
          <color theme="0" tint="-0.34998626667073579"/>
        </bottom>
      </border>
    </dxf>
    <dxf>
      <font>
        <b/>
        <i val="0"/>
        <strike val="0"/>
        <condense val="0"/>
        <extend val="0"/>
        <outline val="0"/>
        <shadow val="0"/>
        <u val="none"/>
        <vertAlign val="baseline"/>
        <sz val="11"/>
        <color theme="1"/>
        <name val="Century Gothic"/>
        <family val="2"/>
        <scheme val="none"/>
      </font>
      <fill>
        <patternFill patternType="solid">
          <fgColor indexed="64"/>
          <bgColor theme="0" tint="-0.14999847407452621"/>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entury Gothic"/>
        <family val="2"/>
        <scheme val="none"/>
      </font>
      <numFmt numFmtId="0" formatCode="General"/>
      <alignment horizontal="center"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Century Gothic"/>
        <family val="2"/>
        <scheme val="none"/>
      </font>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top style="thin">
          <color theme="0" tint="-0.34998626667073579"/>
        </top>
      </border>
    </dxf>
    <dxf>
      <border outline="0">
        <left style="thin">
          <color theme="0" tint="-0.34998626667073579"/>
        </left>
        <right style="thin">
          <color theme="0" tint="-0.34998626667073579"/>
        </right>
        <top style="thin">
          <color theme="0" tint="-0.34998626667073579"/>
        </top>
        <bottom style="thin">
          <color theme="0" tint="-0.34998626667073579"/>
        </bottom>
      </border>
    </dxf>
    <dxf>
      <border outline="0">
        <bottom style="thin">
          <color theme="0" tint="-0.34998626667073579"/>
        </bottom>
      </border>
    </dxf>
    <dxf>
      <font>
        <b/>
        <i val="0"/>
        <strike val="0"/>
        <condense val="0"/>
        <extend val="0"/>
        <outline val="0"/>
        <shadow val="0"/>
        <u val="none"/>
        <vertAlign val="baseline"/>
        <sz val="11"/>
        <color auto="1"/>
        <name val="Century Gothic"/>
        <family val="2"/>
        <scheme val="none"/>
      </font>
      <fill>
        <patternFill patternType="solid">
          <fgColor indexed="64"/>
          <bgColor theme="0" tint="-0.14999847407452621"/>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strike val="0"/>
        <outline val="0"/>
        <shadow val="0"/>
        <u val="none"/>
        <vertAlign val="baseline"/>
        <sz val="11"/>
        <color theme="1"/>
        <name val="Century Gothic"/>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entury Gothic"/>
        <family val="2"/>
        <scheme val="none"/>
      </font>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Century Gothic"/>
        <family val="2"/>
        <scheme val="none"/>
      </font>
      <alignment horizontal="general" vertical="center" textRotation="0" wrapText="0" indent="0" justifyLastLine="0" shrinkToFit="0" readingOrder="0"/>
      <border diagonalUp="0" diagonalDown="0" outline="0">
        <left/>
        <right style="thin">
          <color theme="0" tint="-0.34998626667073579"/>
        </right>
        <top style="thin">
          <color theme="0" tint="-0.34998626667073579"/>
        </top>
        <bottom style="thin">
          <color theme="0" tint="-0.34998626667073579"/>
        </bottom>
      </border>
    </dxf>
    <dxf>
      <border>
        <top style="thin">
          <color theme="0" tint="-0.34998626667073579"/>
        </top>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11"/>
        <color theme="1"/>
        <name val="Century Gothic"/>
        <family val="2"/>
        <scheme val="none"/>
      </font>
    </dxf>
    <dxf>
      <border>
        <bottom style="thin">
          <color theme="0" tint="-0.34998626667073579"/>
        </bottom>
      </border>
    </dxf>
    <dxf>
      <font>
        <strike val="0"/>
        <outline val="0"/>
        <shadow val="0"/>
        <u val="none"/>
        <vertAlign val="baseline"/>
        <sz val="11"/>
        <color theme="1"/>
        <name val="Century Gothic"/>
        <family val="2"/>
        <scheme val="none"/>
      </font>
      <fill>
        <patternFill patternType="solid">
          <fgColor indexed="64"/>
          <bgColor theme="0" tint="-0.14999847407452621"/>
        </patternFill>
      </fill>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1"/>
        <color theme="1"/>
        <name val="Century Gothic"/>
        <family val="2"/>
        <scheme val="none"/>
      </font>
      <alignment horizontal="center" vertical="center" textRotation="0" wrapText="1" indent="0" justifyLastLine="0" shrinkToFit="0" readingOrder="0"/>
      <border diagonalUp="0" diagonalDown="0" outline="0">
        <left style="thin">
          <color rgb="FFA6A6A6"/>
        </left>
        <right style="thin">
          <color rgb="FFA6A6A6"/>
        </right>
        <top style="thin">
          <color rgb="FFA6A6A6"/>
        </top>
        <bottom/>
      </border>
    </dxf>
    <dxf>
      <font>
        <b val="0"/>
        <i val="0"/>
        <strike val="0"/>
        <condense val="0"/>
        <extend val="0"/>
        <outline val="0"/>
        <shadow val="0"/>
        <u val="none"/>
        <vertAlign val="baseline"/>
        <sz val="11"/>
        <color theme="1"/>
        <name val="Century Gothic"/>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A6A6A6"/>
        </left>
        <right style="thin">
          <color rgb="FFA6A6A6"/>
        </right>
        <top style="thin">
          <color rgb="FFA6A6A6"/>
        </top>
        <bottom style="thin">
          <color rgb="FFA6A6A6"/>
        </bottom>
      </border>
    </dxf>
    <dxf>
      <font>
        <b val="0"/>
        <i val="0"/>
        <strike val="0"/>
        <condense val="0"/>
        <extend val="0"/>
        <outline val="0"/>
        <shadow val="0"/>
        <u val="none"/>
        <vertAlign val="baseline"/>
        <sz val="11"/>
        <color theme="1"/>
        <name val="Century Gothic"/>
        <family val="2"/>
        <scheme val="none"/>
      </font>
      <numFmt numFmtId="30" formatCode="@"/>
      <alignment horizontal="center" vertical="center" textRotation="0" wrapText="1" indent="0" justifyLastLine="0" shrinkToFit="0" readingOrder="0"/>
      <border diagonalUp="0" diagonalDown="0" outline="0">
        <left style="thin">
          <color rgb="FFA6A6A6"/>
        </left>
        <right style="thin">
          <color rgb="FFA6A6A6"/>
        </right>
        <top style="thin">
          <color rgb="FFA6A6A6"/>
        </top>
        <bottom/>
      </border>
    </dxf>
    <dxf>
      <font>
        <b val="0"/>
        <i val="0"/>
        <strike val="0"/>
        <condense val="0"/>
        <extend val="0"/>
        <outline val="0"/>
        <shadow val="0"/>
        <u val="none"/>
        <vertAlign val="baseline"/>
        <sz val="11"/>
        <color theme="1"/>
        <name val="Century Gothic"/>
        <family val="2"/>
        <scheme val="none"/>
      </font>
      <numFmt numFmtId="30" formatCode="@"/>
      <fill>
        <patternFill patternType="none">
          <fgColor indexed="64"/>
          <bgColor auto="1"/>
        </patternFill>
      </fill>
      <alignment horizontal="center" vertical="center" textRotation="0" wrapText="1" indent="0" justifyLastLine="0" shrinkToFit="0" readingOrder="0"/>
      <border diagonalUp="0" diagonalDown="0" outline="0">
        <left style="thin">
          <color rgb="FFA6A6A6"/>
        </left>
        <right style="thin">
          <color rgb="FFA6A6A6"/>
        </right>
        <top style="thin">
          <color rgb="FFA6A6A6"/>
        </top>
        <bottom style="thin">
          <color rgb="FFA6A6A6"/>
        </bottom>
      </border>
    </dxf>
    <dxf>
      <font>
        <b val="0"/>
        <i val="0"/>
        <strike val="0"/>
        <condense val="0"/>
        <extend val="0"/>
        <outline val="0"/>
        <shadow val="0"/>
        <u val="none"/>
        <vertAlign val="baseline"/>
        <sz val="11"/>
        <color theme="1"/>
        <name val="Century Gothic"/>
        <family val="2"/>
        <scheme val="none"/>
      </font>
      <numFmt numFmtId="30" formatCode="@"/>
      <alignment horizontal="center" vertical="center" textRotation="0" wrapText="1" indent="0" justifyLastLine="0" shrinkToFit="0" readingOrder="0"/>
      <border diagonalUp="0" diagonalDown="0" outline="0">
        <left style="thin">
          <color rgb="FFA6A6A6"/>
        </left>
        <right style="thin">
          <color rgb="FFA6A6A6"/>
        </right>
        <top style="thin">
          <color rgb="FFA6A6A6"/>
        </top>
        <bottom/>
      </border>
    </dxf>
    <dxf>
      <font>
        <b val="0"/>
        <i val="0"/>
        <strike val="0"/>
        <condense val="0"/>
        <extend val="0"/>
        <outline val="0"/>
        <shadow val="0"/>
        <u val="none"/>
        <vertAlign val="baseline"/>
        <sz val="11"/>
        <color theme="1"/>
        <name val="Century Gothic"/>
        <family val="2"/>
        <scheme val="none"/>
      </font>
      <numFmt numFmtId="30" formatCode="@"/>
      <fill>
        <patternFill patternType="none">
          <fgColor indexed="64"/>
          <bgColor auto="1"/>
        </patternFill>
      </fill>
      <alignment horizontal="general" vertical="center" textRotation="0" wrapText="0" indent="0" justifyLastLine="0" shrinkToFit="0" readingOrder="0"/>
      <border diagonalUp="0" diagonalDown="0" outline="0">
        <left style="thin">
          <color rgb="FFA6A6A6"/>
        </left>
        <right style="thin">
          <color rgb="FFA6A6A6"/>
        </right>
        <top style="thin">
          <color rgb="FFA6A6A6"/>
        </top>
        <bottom style="thin">
          <color rgb="FFA6A6A6"/>
        </bottom>
      </border>
    </dxf>
    <dxf>
      <font>
        <b val="0"/>
        <i val="0"/>
        <strike val="0"/>
        <condense val="0"/>
        <extend val="0"/>
        <outline val="0"/>
        <shadow val="0"/>
        <u val="none"/>
        <vertAlign val="baseline"/>
        <sz val="11"/>
        <color theme="1"/>
        <name val="Century Gothic"/>
        <family val="2"/>
        <scheme val="none"/>
      </font>
      <numFmt numFmtId="30" formatCode="@"/>
      <alignment horizontal="left" vertical="center" textRotation="0" wrapText="1" indent="0" justifyLastLine="0" shrinkToFit="0" readingOrder="0"/>
      <border diagonalUp="0" diagonalDown="0" outline="0">
        <left style="thin">
          <color rgb="FFA6A6A6"/>
        </left>
        <right style="thin">
          <color rgb="FFA6A6A6"/>
        </right>
        <top style="thin">
          <color rgb="FFA6A6A6"/>
        </top>
        <bottom/>
      </border>
    </dxf>
    <dxf>
      <font>
        <b val="0"/>
        <i val="0"/>
        <strike val="0"/>
        <condense val="0"/>
        <extend val="0"/>
        <outline val="0"/>
        <shadow val="0"/>
        <u val="none"/>
        <vertAlign val="baseline"/>
        <sz val="11"/>
        <color theme="1"/>
        <name val="Century Gothic"/>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rgb="FFA6A6A6"/>
        </left>
        <right style="thin">
          <color rgb="FFA6A6A6"/>
        </right>
        <top style="thin">
          <color rgb="FFA6A6A6"/>
        </top>
        <bottom style="thin">
          <color rgb="FFA6A6A6"/>
        </bottom>
      </border>
    </dxf>
    <dxf>
      <font>
        <b val="0"/>
        <i val="0"/>
        <strike val="0"/>
        <condense val="0"/>
        <extend val="0"/>
        <outline val="0"/>
        <shadow val="0"/>
        <u val="none"/>
        <vertAlign val="baseline"/>
        <sz val="11"/>
        <color theme="1"/>
        <name val="Century Gothic"/>
        <family val="2"/>
        <scheme val="none"/>
      </font>
      <numFmt numFmtId="164" formatCode="d/mm/yyyy;@"/>
      <fill>
        <patternFill patternType="none">
          <fgColor indexed="64"/>
          <bgColor auto="1"/>
        </patternFill>
      </fill>
      <alignment horizontal="center" vertical="center" textRotation="0" wrapText="1" indent="0" justifyLastLine="0" shrinkToFit="0" readingOrder="0"/>
      <border diagonalUp="0" diagonalDown="0">
        <left style="thin">
          <color rgb="FFA6A6A6"/>
        </left>
        <right style="thin">
          <color rgb="FFA6A6A6"/>
        </right>
        <top style="thin">
          <color rgb="FFA6A6A6"/>
        </top>
        <bottom style="thin">
          <color rgb="FFA6A6A6"/>
        </bottom>
      </border>
    </dxf>
    <dxf>
      <font>
        <b val="0"/>
        <i val="0"/>
        <strike val="0"/>
        <condense val="0"/>
        <extend val="0"/>
        <outline val="0"/>
        <shadow val="0"/>
        <u val="none"/>
        <vertAlign val="baseline"/>
        <sz val="11"/>
        <color theme="1"/>
        <name val="Century Gothic"/>
        <family val="2"/>
        <scheme val="none"/>
      </font>
      <alignment horizontal="center" vertical="center" textRotation="0" wrapText="1" indent="0" justifyLastLine="0" shrinkToFit="0" readingOrder="0"/>
      <border diagonalUp="0" diagonalDown="0" outline="0">
        <left style="thin">
          <color rgb="FFA6A6A6"/>
        </left>
        <right style="thin">
          <color rgb="FFA6A6A6"/>
        </right>
        <top style="thin">
          <color rgb="FFA6A6A6"/>
        </top>
        <bottom/>
      </border>
    </dxf>
    <dxf>
      <font>
        <b val="0"/>
        <i val="0"/>
        <strike val="0"/>
        <condense val="0"/>
        <extend val="0"/>
        <outline val="0"/>
        <shadow val="0"/>
        <u val="none"/>
        <vertAlign val="baseline"/>
        <sz val="11"/>
        <color theme="1"/>
        <name val="Century Gothic"/>
        <family val="2"/>
        <scheme val="none"/>
      </font>
      <numFmt numFmtId="19" formatCode="d/mm/yyyy"/>
      <alignment horizontal="center" vertical="center" textRotation="0" wrapText="1" indent="0" justifyLastLine="0" shrinkToFit="0" readingOrder="0"/>
      <border diagonalUp="0" diagonalDown="0">
        <left style="thin">
          <color rgb="FFA6A6A6"/>
        </left>
        <right style="thin">
          <color rgb="FFA6A6A6"/>
        </right>
        <top style="thin">
          <color rgb="FFA6A6A6"/>
        </top>
        <bottom/>
        <vertical/>
        <horizontal/>
      </border>
    </dxf>
    <dxf>
      <font>
        <b val="0"/>
        <i val="0"/>
        <strike val="0"/>
        <condense val="0"/>
        <extend val="0"/>
        <outline val="0"/>
        <shadow val="0"/>
        <u val="none"/>
        <vertAlign val="baseline"/>
        <sz val="11"/>
        <color theme="1"/>
        <name val="Century Gothic"/>
        <family val="2"/>
        <scheme val="none"/>
      </font>
      <alignment horizontal="center" vertical="center" textRotation="0" wrapText="1" indent="0" justifyLastLine="0" shrinkToFit="0" readingOrder="0"/>
      <border diagonalUp="0" diagonalDown="0" outline="0">
        <left style="thin">
          <color rgb="FFA6A6A6"/>
        </left>
        <right style="thin">
          <color rgb="FFA6A6A6"/>
        </right>
        <top style="thin">
          <color rgb="FFA6A6A6"/>
        </top>
        <bottom/>
      </border>
    </dxf>
    <dxf>
      <font>
        <b val="0"/>
        <i val="0"/>
        <strike val="0"/>
        <condense val="0"/>
        <extend val="0"/>
        <outline val="0"/>
        <shadow val="0"/>
        <u val="none"/>
        <vertAlign val="baseline"/>
        <sz val="11"/>
        <color theme="1"/>
        <name val="Century Gothic"/>
        <family val="2"/>
        <scheme val="none"/>
      </font>
      <numFmt numFmtId="19" formatCode="d/mm/yyyy"/>
      <alignment horizontal="center" vertical="center" textRotation="0" wrapText="1" indent="0" justifyLastLine="0" shrinkToFit="0" readingOrder="0"/>
      <border diagonalUp="0" diagonalDown="0" outline="0">
        <left style="thin">
          <color rgb="FFA6A6A6"/>
        </left>
        <right style="thin">
          <color rgb="FFA6A6A6"/>
        </right>
        <top style="thin">
          <color rgb="FFA6A6A6"/>
        </top>
        <bottom/>
      </border>
    </dxf>
    <dxf>
      <font>
        <b val="0"/>
        <i val="0"/>
        <strike val="0"/>
        <condense val="0"/>
        <extend val="0"/>
        <outline val="0"/>
        <shadow val="0"/>
        <u val="none"/>
        <vertAlign val="baseline"/>
        <sz val="11"/>
        <color theme="1"/>
        <name val="Century Gothic"/>
        <family val="2"/>
        <scheme val="none"/>
      </font>
      <alignment horizontal="center" vertical="center" textRotation="0" wrapText="1" indent="0" justifyLastLine="0" shrinkToFit="0" readingOrder="0"/>
      <border diagonalUp="0" diagonalDown="0" outline="0">
        <left style="thin">
          <color rgb="FFA6A6A6"/>
        </left>
        <right style="thin">
          <color rgb="FFA6A6A6"/>
        </right>
        <top style="thin">
          <color rgb="FFA6A6A6"/>
        </top>
        <bottom/>
      </border>
    </dxf>
    <dxf>
      <font>
        <b val="0"/>
        <i val="0"/>
        <strike val="0"/>
        <condense val="0"/>
        <extend val="0"/>
        <outline val="0"/>
        <shadow val="0"/>
        <u val="none"/>
        <vertAlign val="baseline"/>
        <sz val="11"/>
        <color theme="1"/>
        <name val="Century Gothic"/>
        <family val="2"/>
        <scheme val="none"/>
      </font>
      <numFmt numFmtId="19" formatCode="d/mm/yyyy"/>
      <fill>
        <patternFill patternType="none">
          <fgColor indexed="64"/>
          <bgColor auto="1"/>
        </patternFill>
      </fill>
      <alignment horizontal="center" vertical="center" textRotation="0" wrapText="1" indent="0" justifyLastLine="0" shrinkToFit="0" readingOrder="0"/>
      <border diagonalUp="0" diagonalDown="0" outline="0">
        <left style="thin">
          <color rgb="FFA6A6A6"/>
        </left>
        <right style="thin">
          <color rgb="FFA6A6A6"/>
        </right>
        <top style="thin">
          <color rgb="FFA6A6A6"/>
        </top>
        <bottom/>
      </border>
    </dxf>
    <dxf>
      <font>
        <b val="0"/>
        <i val="0"/>
        <strike val="0"/>
        <condense val="0"/>
        <extend val="0"/>
        <outline val="0"/>
        <shadow val="0"/>
        <u val="none"/>
        <vertAlign val="baseline"/>
        <sz val="11"/>
        <color theme="1"/>
        <name val="Century Gothic"/>
        <family val="2"/>
        <scheme val="none"/>
      </font>
      <alignment horizontal="center" vertical="center" textRotation="0" wrapText="1" indent="0" justifyLastLine="0" shrinkToFit="0" readingOrder="0"/>
      <border diagonalUp="0" diagonalDown="0" outline="0">
        <left style="thin">
          <color rgb="FFA6A6A6"/>
        </left>
        <right style="thin">
          <color rgb="FFA6A6A6"/>
        </right>
        <top style="thin">
          <color rgb="FFA6A6A6"/>
        </top>
        <bottom/>
      </border>
    </dxf>
    <dxf>
      <font>
        <b val="0"/>
        <i val="0"/>
        <strike val="0"/>
        <condense val="0"/>
        <extend val="0"/>
        <outline val="0"/>
        <shadow val="0"/>
        <u val="none"/>
        <vertAlign val="baseline"/>
        <sz val="11"/>
        <color theme="1"/>
        <name val="Century Gothic"/>
        <family val="2"/>
        <scheme val="none"/>
      </font>
      <numFmt numFmtId="19" formatCode="d/mm/yyyy"/>
      <fill>
        <patternFill patternType="none">
          <fgColor indexed="64"/>
          <bgColor auto="1"/>
        </patternFill>
      </fill>
      <alignment horizontal="center" vertical="center" textRotation="0" wrapText="1" indent="0" justifyLastLine="0" shrinkToFit="0" readingOrder="0"/>
      <border diagonalUp="0" diagonalDown="0" outline="0">
        <left style="thin">
          <color rgb="FFA6A6A6"/>
        </left>
        <right style="thin">
          <color rgb="FFA6A6A6"/>
        </right>
        <top style="thin">
          <color rgb="FFA6A6A6"/>
        </top>
        <bottom style="thin">
          <color rgb="FFA6A6A6"/>
        </bottom>
      </border>
    </dxf>
    <dxf>
      <font>
        <b val="0"/>
        <i val="0"/>
        <strike val="0"/>
        <condense val="0"/>
        <extend val="0"/>
        <outline val="0"/>
        <shadow val="0"/>
        <u val="none"/>
        <vertAlign val="baseline"/>
        <sz val="11"/>
        <color theme="1"/>
        <name val="Century Gothic"/>
        <family val="2"/>
        <scheme val="none"/>
      </font>
      <numFmt numFmtId="0" formatCode="General"/>
      <alignment horizontal="center" vertical="center" textRotation="0" wrapText="1" indent="0" justifyLastLine="0" shrinkToFit="0" readingOrder="0"/>
      <border diagonalUp="0" diagonalDown="0">
        <left style="thin">
          <color rgb="FFA6A6A6"/>
        </left>
        <right style="thin">
          <color rgb="FFA6A6A6"/>
        </right>
        <top style="thin">
          <color rgb="FFA6A6A6"/>
        </top>
        <bottom/>
        <vertical/>
        <horizontal/>
      </border>
    </dxf>
    <dxf>
      <font>
        <b val="0"/>
        <i val="0"/>
        <strike val="0"/>
        <condense val="0"/>
        <extend val="0"/>
        <outline val="0"/>
        <shadow val="0"/>
        <u val="none"/>
        <vertAlign val="baseline"/>
        <sz val="11"/>
        <color theme="1"/>
        <name val="Century Gothic"/>
        <family val="2"/>
        <scheme val="none"/>
      </font>
      <numFmt numFmtId="30" formatCode="@"/>
      <alignment horizontal="center" vertical="center" textRotation="0" wrapText="1" indent="0" justifyLastLine="0" shrinkToFit="0" readingOrder="0"/>
      <border diagonalUp="0" diagonalDown="0" outline="0">
        <left style="thin">
          <color rgb="FFA6A6A6"/>
        </left>
        <right style="thin">
          <color rgb="FFA6A6A6"/>
        </right>
        <top style="thin">
          <color rgb="FFA6A6A6"/>
        </top>
        <bottom/>
      </border>
    </dxf>
    <dxf>
      <font>
        <b val="0"/>
        <i val="0"/>
        <strike val="0"/>
        <condense val="0"/>
        <extend val="0"/>
        <outline val="0"/>
        <shadow val="0"/>
        <u val="none"/>
        <vertAlign val="baseline"/>
        <sz val="11"/>
        <color theme="1"/>
        <name val="Century Gothic"/>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rgb="FFA6A6A6"/>
        </left>
        <right style="thin">
          <color rgb="FFA6A6A6"/>
        </right>
        <top style="thin">
          <color rgb="FFA6A6A6"/>
        </top>
        <bottom style="thin">
          <color rgb="FFA6A6A6"/>
        </bottom>
      </border>
    </dxf>
    <dxf>
      <font>
        <b val="0"/>
        <i val="0"/>
        <strike val="0"/>
        <condense val="0"/>
        <extend val="0"/>
        <outline val="0"/>
        <shadow val="0"/>
        <u val="none"/>
        <vertAlign val="baseline"/>
        <sz val="11"/>
        <color theme="1"/>
        <name val="Century Gothic"/>
        <family val="2"/>
        <scheme val="none"/>
      </font>
      <alignment horizontal="left" vertical="center" textRotation="0" wrapText="1" indent="0" justifyLastLine="0" shrinkToFit="0" readingOrder="0"/>
      <border diagonalUp="0" diagonalDown="0" outline="0">
        <left style="thin">
          <color rgb="FFA6A6A6"/>
        </left>
        <right style="thin">
          <color rgb="FFA6A6A6"/>
        </right>
        <top style="thin">
          <color rgb="FFA6A6A6"/>
        </top>
        <bottom/>
      </border>
    </dxf>
    <dxf>
      <font>
        <b val="0"/>
        <i val="0"/>
        <strike val="0"/>
        <condense val="0"/>
        <extend val="0"/>
        <outline val="0"/>
        <shadow val="0"/>
        <u val="none"/>
        <vertAlign val="baseline"/>
        <sz val="11"/>
        <color theme="1"/>
        <name val="Century Gothic"/>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A6A6A6"/>
        </left>
        <right style="thin">
          <color rgb="FFA6A6A6"/>
        </right>
        <top style="thin">
          <color rgb="FFA6A6A6"/>
        </top>
        <bottom style="thin">
          <color rgb="FFA6A6A6"/>
        </bottom>
      </border>
    </dxf>
    <dxf>
      <font>
        <b val="0"/>
        <i val="0"/>
        <strike val="0"/>
        <condense val="0"/>
        <extend val="0"/>
        <outline val="0"/>
        <shadow val="0"/>
        <u val="none"/>
        <vertAlign val="baseline"/>
        <sz val="11"/>
        <color theme="1"/>
        <name val="Century Gothic"/>
        <family val="2"/>
        <scheme val="none"/>
      </font>
      <numFmt numFmtId="30" formatCode="@"/>
      <alignment horizontal="center" vertical="center" textRotation="0" wrapText="1" indent="0" justifyLastLine="0" shrinkToFit="0" readingOrder="0"/>
      <border diagonalUp="0" diagonalDown="0" outline="0">
        <left style="thin">
          <color rgb="FFA6A6A6"/>
        </left>
        <right style="thin">
          <color rgb="FFA6A6A6"/>
        </right>
        <top style="thin">
          <color rgb="FFA6A6A6"/>
        </top>
        <bottom/>
      </border>
    </dxf>
    <dxf>
      <font>
        <b val="0"/>
        <i val="0"/>
        <strike val="0"/>
        <condense val="0"/>
        <extend val="0"/>
        <outline val="0"/>
        <shadow val="0"/>
        <u val="none"/>
        <vertAlign val="baseline"/>
        <sz val="11"/>
        <color theme="1"/>
        <name val="Century Gothic"/>
        <family val="2"/>
        <scheme val="none"/>
      </font>
      <numFmt numFmtId="0" formatCode="General"/>
      <alignment horizontal="center" vertical="center" textRotation="0" wrapText="1" indent="0" justifyLastLine="0" shrinkToFit="0" readingOrder="0"/>
      <border diagonalUp="0" diagonalDown="0">
        <left style="thin">
          <color rgb="FFA6A6A6"/>
        </left>
        <right style="thin">
          <color rgb="FFA6A6A6"/>
        </right>
        <top style="thin">
          <color rgb="FFA6A6A6"/>
        </top>
        <bottom/>
        <vertical/>
        <horizontal/>
      </border>
    </dxf>
    <dxf>
      <font>
        <b val="0"/>
        <i val="0"/>
        <strike val="0"/>
        <condense val="0"/>
        <extend val="0"/>
        <outline val="0"/>
        <shadow val="0"/>
        <u val="none"/>
        <vertAlign val="baseline"/>
        <sz val="11"/>
        <color theme="1"/>
        <name val="Century Gothic"/>
        <family val="2"/>
        <scheme val="none"/>
      </font>
      <numFmt numFmtId="30" formatCode="@"/>
      <alignment horizontal="center" vertical="center" textRotation="0" wrapText="1" indent="0" justifyLastLine="0" shrinkToFit="0" readingOrder="0"/>
      <border diagonalUp="0" diagonalDown="0" outline="0">
        <left style="thin">
          <color rgb="FFA6A6A6"/>
        </left>
        <right style="thin">
          <color rgb="FFA6A6A6"/>
        </right>
        <top style="thin">
          <color rgb="FFA6A6A6"/>
        </top>
        <bottom/>
      </border>
    </dxf>
    <dxf>
      <font>
        <b val="0"/>
        <i val="0"/>
        <strike val="0"/>
        <condense val="0"/>
        <extend val="0"/>
        <outline val="0"/>
        <shadow val="0"/>
        <u val="none"/>
        <vertAlign val="baseline"/>
        <sz val="11"/>
        <color theme="1"/>
        <name val="Century Gothic"/>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rgb="FFA6A6A6"/>
        </left>
        <right style="thin">
          <color rgb="FFA6A6A6"/>
        </right>
        <top style="thin">
          <color rgb="FFA6A6A6"/>
        </top>
        <bottom style="thin">
          <color rgb="FFA6A6A6"/>
        </bottom>
      </border>
    </dxf>
    <dxf>
      <font>
        <b val="0"/>
        <i val="0"/>
        <strike val="0"/>
        <condense val="0"/>
        <extend val="0"/>
        <outline val="0"/>
        <shadow val="0"/>
        <u val="none"/>
        <vertAlign val="baseline"/>
        <sz val="11"/>
        <color theme="1"/>
        <name val="Century Gothic"/>
        <family val="2"/>
        <scheme val="none"/>
      </font>
      <alignment horizontal="center" vertical="center" textRotation="0" wrapText="1" indent="0" justifyLastLine="0" shrinkToFit="0" readingOrder="0"/>
      <border diagonalUp="0" diagonalDown="0" outline="0">
        <left style="thin">
          <color rgb="FFA6A6A6"/>
        </left>
        <right style="thin">
          <color rgb="FFA6A6A6"/>
        </right>
        <top style="thin">
          <color rgb="FFA6A6A6"/>
        </top>
        <bottom/>
      </border>
    </dxf>
    <dxf>
      <font>
        <b val="0"/>
        <i val="0"/>
        <strike val="0"/>
        <condense val="0"/>
        <extend val="0"/>
        <outline val="0"/>
        <shadow val="0"/>
        <u val="none"/>
        <vertAlign val="baseline"/>
        <sz val="11"/>
        <color theme="1"/>
        <name val="Century Gothic"/>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rgb="FFA6A6A6"/>
        </left>
        <right style="thin">
          <color rgb="FFA6A6A6"/>
        </right>
        <top style="thin">
          <color rgb="FFA6A6A6"/>
        </top>
        <bottom/>
        <vertical/>
        <horizontal/>
      </border>
    </dxf>
    <dxf>
      <font>
        <b val="0"/>
        <i val="0"/>
        <strike val="0"/>
        <condense val="0"/>
        <extend val="0"/>
        <outline val="0"/>
        <shadow val="0"/>
        <u val="none"/>
        <vertAlign val="baseline"/>
        <sz val="11"/>
        <color theme="1"/>
        <name val="Century Gothic"/>
        <family val="2"/>
        <scheme val="none"/>
      </font>
      <alignment horizontal="center" vertical="center" textRotation="0" wrapText="1" indent="0" justifyLastLine="0" shrinkToFit="0" readingOrder="0"/>
      <border diagonalUp="0" diagonalDown="0" outline="0">
        <left style="thin">
          <color rgb="FFA6A6A6"/>
        </left>
        <right style="thin">
          <color rgb="FFA6A6A6"/>
        </right>
        <top style="thin">
          <color rgb="FFA6A6A6"/>
        </top>
        <bottom/>
      </border>
    </dxf>
    <dxf>
      <font>
        <b val="0"/>
        <i val="0"/>
        <strike val="0"/>
        <condense val="0"/>
        <extend val="0"/>
        <outline val="0"/>
        <shadow val="0"/>
        <u val="none"/>
        <vertAlign val="baseline"/>
        <sz val="11"/>
        <color theme="1"/>
        <name val="Century Gothic"/>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rgb="FFA6A6A6"/>
        </left>
        <right style="thin">
          <color rgb="FFA6A6A6"/>
        </right>
        <top style="thin">
          <color rgb="FFA6A6A6"/>
        </top>
        <bottom/>
        <vertical/>
        <horizontal/>
      </border>
    </dxf>
    <dxf>
      <font>
        <b val="0"/>
        <i val="0"/>
        <strike val="0"/>
        <condense val="0"/>
        <extend val="0"/>
        <outline val="0"/>
        <shadow val="0"/>
        <u val="none"/>
        <vertAlign val="baseline"/>
        <sz val="11"/>
        <color theme="1"/>
        <name val="Century Gothic"/>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rgb="FFA6A6A6"/>
        </left>
        <right style="thin">
          <color rgb="FFA6A6A6"/>
        </right>
        <top style="thin">
          <color rgb="FFA6A6A6"/>
        </top>
        <bottom/>
      </border>
    </dxf>
    <dxf>
      <font>
        <b val="0"/>
        <i val="0"/>
        <strike val="0"/>
        <condense val="0"/>
        <extend val="0"/>
        <outline val="0"/>
        <shadow val="0"/>
        <u val="none"/>
        <vertAlign val="baseline"/>
        <sz val="11"/>
        <color theme="1"/>
        <name val="Century Gothic"/>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rgb="FFA6A6A6"/>
        </left>
        <right style="thin">
          <color rgb="FFA6A6A6"/>
        </right>
        <top style="thin">
          <color rgb="FFA6A6A6"/>
        </top>
        <bottom style="thin">
          <color rgb="FFA6A6A6"/>
        </bottom>
      </border>
    </dxf>
    <dxf>
      <font>
        <b val="0"/>
        <i val="0"/>
        <strike val="0"/>
        <condense val="0"/>
        <extend val="0"/>
        <outline val="0"/>
        <shadow val="0"/>
        <u val="none"/>
        <vertAlign val="baseline"/>
        <sz val="11"/>
        <color theme="1"/>
        <name val="Century Gothic"/>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rgb="FFA6A6A6"/>
        </left>
        <right style="thin">
          <color rgb="FFA6A6A6"/>
        </right>
        <top style="thin">
          <color rgb="FFA6A6A6"/>
        </top>
        <bottom/>
      </border>
    </dxf>
    <dxf>
      <font>
        <b val="0"/>
        <i val="0"/>
        <strike val="0"/>
        <condense val="0"/>
        <extend val="0"/>
        <outline val="0"/>
        <shadow val="0"/>
        <u val="none"/>
        <vertAlign val="baseline"/>
        <sz val="11"/>
        <color theme="1"/>
        <name val="Century Gothic"/>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A6A6A6"/>
        </left>
        <right style="thin">
          <color rgb="FFA6A6A6"/>
        </right>
        <top style="thin">
          <color rgb="FFA6A6A6"/>
        </top>
        <bottom style="thin">
          <color rgb="FFA6A6A6"/>
        </bottom>
      </border>
    </dxf>
    <dxf>
      <font>
        <b val="0"/>
        <i val="0"/>
        <strike val="0"/>
        <condense val="0"/>
        <extend val="0"/>
        <outline val="0"/>
        <shadow val="0"/>
        <u val="none"/>
        <vertAlign val="baseline"/>
        <sz val="11"/>
        <color theme="1"/>
        <name val="Century Gothic"/>
        <family val="2"/>
        <scheme val="none"/>
      </font>
      <alignment horizontal="left" vertical="center" textRotation="0" wrapText="1" indent="0" justifyLastLine="0" shrinkToFit="0" readingOrder="0"/>
      <border diagonalUp="0" diagonalDown="0" outline="0">
        <left style="thin">
          <color rgb="FFA6A6A6"/>
        </left>
        <right style="thin">
          <color rgb="FFA6A6A6"/>
        </right>
        <top style="thin">
          <color rgb="FFA6A6A6"/>
        </top>
        <bottom/>
      </border>
    </dxf>
    <dxf>
      <font>
        <b val="0"/>
        <i val="0"/>
        <strike val="0"/>
        <condense val="0"/>
        <extend val="0"/>
        <outline val="0"/>
        <shadow val="0"/>
        <u val="none"/>
        <vertAlign val="baseline"/>
        <sz val="11"/>
        <color theme="1"/>
        <name val="Century Gothic"/>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A6A6A6"/>
        </left>
        <right style="thin">
          <color rgb="FFA6A6A6"/>
        </right>
        <top style="thin">
          <color rgb="FFA6A6A6"/>
        </top>
        <bottom style="thin">
          <color rgb="FFA6A6A6"/>
        </bottom>
      </border>
    </dxf>
    <dxf>
      <font>
        <b val="0"/>
        <i val="0"/>
        <strike val="0"/>
        <condense val="0"/>
        <extend val="0"/>
        <outline val="0"/>
        <shadow val="0"/>
        <u val="none"/>
        <vertAlign val="baseline"/>
        <sz val="11"/>
        <color theme="1"/>
        <name val="Century Gothic"/>
        <family val="2"/>
        <scheme val="none"/>
      </font>
      <alignment horizontal="left" vertical="center" textRotation="0" wrapText="1" indent="0" justifyLastLine="0" shrinkToFit="0" readingOrder="0"/>
      <border diagonalUp="0" diagonalDown="0" outline="0">
        <left style="thin">
          <color rgb="FFA6A6A6"/>
        </left>
        <right style="thin">
          <color rgb="FFA6A6A6"/>
        </right>
        <top style="thin">
          <color rgb="FFA6A6A6"/>
        </top>
        <bottom/>
      </border>
    </dxf>
    <dxf>
      <font>
        <b val="0"/>
        <i val="0"/>
        <strike val="0"/>
        <condense val="0"/>
        <extend val="0"/>
        <outline val="0"/>
        <shadow val="0"/>
        <u val="none"/>
        <vertAlign val="baseline"/>
        <sz val="11"/>
        <color theme="1"/>
        <name val="Century Gothic"/>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rgb="FFA6A6A6"/>
        </left>
        <right style="thin">
          <color rgb="FFA6A6A6"/>
        </right>
        <top style="thin">
          <color rgb="FFA6A6A6"/>
        </top>
        <bottom style="thin">
          <color rgb="FFA6A6A6"/>
        </bottom>
      </border>
    </dxf>
    <dxf>
      <font>
        <strike val="0"/>
        <outline val="0"/>
        <shadow val="0"/>
        <u val="none"/>
        <vertAlign val="baseline"/>
        <name val="Century Gothic"/>
        <family val="2"/>
        <scheme val="none"/>
      </font>
    </dxf>
    <dxf>
      <border outline="0">
        <top style="thin">
          <color rgb="FFD8D8D8"/>
        </top>
        <bottom style="thin">
          <color rgb="FFA6A6A6"/>
        </bottom>
      </border>
    </dxf>
    <dxf>
      <font>
        <b val="0"/>
        <i val="0"/>
        <strike val="0"/>
        <condense val="0"/>
        <extend val="0"/>
        <outline val="0"/>
        <shadow val="0"/>
        <u val="none"/>
        <vertAlign val="baseline"/>
        <sz val="11"/>
        <color theme="1"/>
        <name val="Century Gothic"/>
        <family val="2"/>
        <scheme val="none"/>
      </font>
      <fill>
        <patternFill patternType="none">
          <fgColor indexed="64"/>
          <bgColor auto="1"/>
        </patternFill>
      </fill>
      <alignment horizontal="center" vertical="center" textRotation="0" wrapText="1" indent="0" justifyLastLine="0" shrinkToFit="0" readingOrder="0"/>
    </dxf>
    <dxf>
      <font>
        <b/>
        <i/>
        <strike val="0"/>
        <condense val="0"/>
        <extend val="0"/>
        <outline val="0"/>
        <shadow val="0"/>
        <u val="none"/>
        <vertAlign val="baseline"/>
        <sz val="12"/>
        <color theme="0"/>
        <name val="Century Gothic"/>
        <family val="2"/>
        <scheme val="none"/>
      </font>
      <fill>
        <patternFill patternType="solid">
          <fgColor rgb="FFA4A8AB"/>
          <bgColor rgb="FFA4A8AB"/>
        </patternFill>
      </fill>
      <alignment horizontal="center" vertical="center" textRotation="0" wrapText="1" indent="0" justifyLastLine="0" shrinkToFit="0" readingOrder="0"/>
      <border diagonalUp="0" diagonalDown="0" outline="0">
        <left style="thin">
          <color rgb="FFD8D8D8"/>
        </left>
        <right style="thin">
          <color rgb="FFD8D8D8"/>
        </right>
        <top/>
        <bottom/>
      </border>
    </dxf>
    <dxf>
      <font>
        <b/>
        <i val="0"/>
        <color theme="0"/>
      </font>
      <fill>
        <patternFill>
          <bgColor rgb="FFA4A8AB"/>
        </patternFill>
      </fill>
    </dxf>
    <dxf>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s>
  <tableStyles count="1" defaultTableStyle="TableStyleMedium2" defaultPivotStyle="PivotStyleLight16">
    <tableStyle name="Estilo de tabla 1" pivot="0" count="2" xr9:uid="{0D5A0FDC-0554-4D7C-AF59-17BD2717578C}">
      <tableStyleElement type="wholeTable" dxfId="89"/>
      <tableStyleElement type="headerRow" dxfId="88"/>
    </tableStyle>
  </tableStyles>
  <colors>
    <mruColors>
      <color rgb="FF00378A"/>
      <color rgb="FFEAB24D"/>
      <color rgb="FFDDFF71"/>
      <color rgb="FFFFE285"/>
      <color rgb="FF4F7A32"/>
      <color rgb="FF91FF8B"/>
      <color rgb="FFB40000"/>
      <color rgb="FFFFC1C1"/>
      <color rgb="FFD8BE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68034</xdr:colOff>
      <xdr:row>0</xdr:row>
      <xdr:rowOff>45356</xdr:rowOff>
    </xdr:from>
    <xdr:to>
      <xdr:col>1</xdr:col>
      <xdr:colOff>910536</xdr:colOff>
      <xdr:row>1</xdr:row>
      <xdr:rowOff>403545</xdr:rowOff>
    </xdr:to>
    <xdr:pic>
      <xdr:nvPicPr>
        <xdr:cNvPr id="5" name="Imagen 2">
          <a:extLst>
            <a:ext uri="{FF2B5EF4-FFF2-40B4-BE49-F238E27FC236}">
              <a16:creationId xmlns:a16="http://schemas.microsoft.com/office/drawing/2014/main" id="{0F0F5001-86D2-4C30-95A9-462CB1137A08}"/>
            </a:ext>
            <a:ext uri="{147F2762-F138-4A5C-976F-8EAC2B608ADB}">
              <a16:predDERef xmlns:a16="http://schemas.microsoft.com/office/drawing/2014/main" pred="{00000000-0008-0000-0000-000004000000}"/>
            </a:ext>
          </a:extLst>
        </xdr:cNvPr>
        <xdr:cNvPicPr>
          <a:picLocks noChangeAspect="1"/>
        </xdr:cNvPicPr>
      </xdr:nvPicPr>
      <xdr:blipFill>
        <a:blip xmlns:r="http://schemas.openxmlformats.org/officeDocument/2006/relationships" r:embed="rId1"/>
        <a:stretch>
          <a:fillRect/>
        </a:stretch>
      </xdr:blipFill>
      <xdr:spPr>
        <a:xfrm>
          <a:off x="68034" y="45356"/>
          <a:ext cx="2237234" cy="7780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GC/MEJORAMIENTO%20CONTINUO/2.%20CALIDAD/LIBRO%20MAESTRO/M-F-1%20LIBRO%20MAESTRO%20DE%20DOCUMENTOS.xlsx" TargetMode="External"/><Relationship Id="rId2" Type="http://schemas.openxmlformats.org/officeDocument/2006/relationships/externalLinkPath" Target="https://electroingenierias-my.sharepoint.com/personal/admin_ei_com_co/Documents/Copia%20Drive/HSEQ/MEJORAMIENTO%20CONTINUO/SGC/MEJORAMIENTO%20CONTINUO/2.%20CALIDAD/LIBRO%20MAESTRO/M-F-1%20LIBRO%20MAESTRO%20DE%20DOCUMENTOS.xlsx" TargetMode="External"/><Relationship Id="rId1" Type="http://schemas.openxmlformats.org/officeDocument/2006/relationships/externalLinkPath" Target="/personal/admin_ei_com_co/Documents/Copia%20Drive/HSEQ/MEJORAMIENTO%20CONTINUO/SGC/MEJORAMIENTO%20CONTINUO/2.%20CALIDAD/LIBRO%20MAESTRO/M-F-1%20LIBRO%20MAESTRO%20DE%20DOCUMENT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OS "/>
      <sheetName val="LIBRO MAESTRO"/>
      <sheetName val="Hoja1"/>
      <sheetName val="LIBRO MAESTRO (3)"/>
      <sheetName val="LIBRO MAESTRO (2)"/>
    </sheetNames>
    <sheetDataSet>
      <sheetData sheetId="0"/>
      <sheetData sheetId="1"/>
      <sheetData sheetId="2"/>
      <sheetData sheetId="3"/>
      <sheetData sheetId="4"/>
    </sheetDataSet>
  </externalBook>
</externalLink>
</file>

<file path=xl/persons/person.xml><?xml version="1.0" encoding="utf-8"?>
<personList xmlns="http://schemas.microsoft.com/office/spreadsheetml/2018/threadedcomments" xmlns:x="http://schemas.openxmlformats.org/spreadsheetml/2006/main">
  <person displayName="Jenifer Ortiz" id="{12D6373A-F4B8-4675-A08E-ABB5D5A37CF6}" userId="S::j.ortiz@ei.com.co::a34cf9cf-a82e-4c5e-9b02-846d3c110cf8"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5A7277F0-2695-4E42-AAA8-92C6A229AE1C}" autoFormatId="16" applyNumberFormats="0" applyBorderFormats="0" applyFontFormats="0" applyPatternFormats="0" applyAlignmentFormats="0" applyWidthHeightFormats="0">
  <queryTableRefresh nextId="35">
    <queryTableFields count="20">
      <queryTableField id="1" name="Macroproceso" tableColumnId="1"/>
      <queryTableField id="2" name="Proceso" tableColumnId="2"/>
      <queryTableField id="27" name="Nombre del Documento" tableColumnId="24"/>
      <queryTableField id="21" name="Codigo Documento" tableColumnId="21"/>
      <queryTableField id="5" name="VERSION" tableColumnId="5"/>
      <queryTableField id="23" name="Tipo Documento" tableColumnId="23"/>
      <queryTableField id="7" name="Fecha_Creacion" tableColumnId="7"/>
      <queryTableField id="29" name="Nombre Revisor" tableColumnId="3"/>
      <queryTableField id="30" name="Fecha Revision" tableColumnId="4"/>
      <queryTableField id="10" name="Nombre_Aprobador" tableColumnId="10"/>
      <queryTableField id="11" name="Fecha_Aprobacion" tableColumnId="11"/>
      <queryTableField id="12" name="Fecha_Vigencia" tableColumnId="12"/>
      <queryTableField id="13" name="Estado" tableColumnId="13"/>
      <queryTableField id="14" name="Revisores" tableColumnId="14"/>
      <queryTableField id="15" name="Aprobadores" tableColumnId="15"/>
      <queryTableField id="16" name="Cargo_Ultima_Version_SubidaPor" tableColumnId="16"/>
      <queryTableField id="17" name="Cambios_Punto_Cambio" tableColumnId="17"/>
      <queryTableField id="18" name="Cambios_Descripcion" tableColumnId="18"/>
      <queryTableField id="19" name="Cambios_Solicita" tableColumnId="19"/>
      <queryTableField id="34" name="Columna1" tableColumnId="6"/>
    </queryTableFields>
  </queryTableRefresh>
</queryTable>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39244C-B5E1-4DB2-BF21-1830F7636DCD}" name="Tabla1" displayName="Tabla1" ref="A1:C12" totalsRowShown="0" headerRowDxfId="45" dataDxfId="43" headerRowBorderDxfId="44" tableBorderDxfId="42" totalsRowBorderDxfId="41">
  <autoFilter ref="A1:C12" xr:uid="{7139244C-B5E1-4DB2-BF21-1830F7636DCD}"/>
  <tableColumns count="3">
    <tableColumn id="1" xr3:uid="{1702C03B-2048-43CF-91B6-0EC3F4BB693C}" name="MACROPROCESO" dataDxfId="40"/>
    <tableColumn id="2" xr3:uid="{DC22FF44-DC43-4AEE-9CEC-DB418D1EDC68}" name="UNIDAD DE NEGOCIO" dataDxfId="39"/>
    <tableColumn id="4" xr3:uid="{B919D955-49EF-4A33-979A-CA684C765D0B}" name="SIGLAS" dataDxfId="38">
      <calculatedColumnFormula>IF(Tabla1[[#This Row],[MACROPROCESO]]="Gestión Alumbrado Público e Iluminación","A",
IF(Tabla1[[#This Row],[MACROPROCESO]]="Gestión Administrativa","D",
IF(Tabla1[[#This Row],[MACROPROCESO]]="Gestión Estratégica","E",
IF(Tabla1[[#This Row],[MACROPROCESO]]="Gestión Financiera","F",
IF(Tabla1[[#This Row],[MACROPROCESO]]="Gestión Cumplimiento","L",
IF(Tabla1[[#This Row],[MACROPROCESO]]="Gestión Humana","H",
IF(Tabla1[[#This Row],[MACROPROCESO]]="Gestión Juridica","J",
IF(Tabla1[[#This Row],[MACROPROCESO]]="Gestión Mejora Continua","M",
IF(Tabla1[[#This Row],[MACROPROCESO]]="Gestión Proyectos","P",
IF(Tabla1[[#This Row],[MACROPROCESO]]="Gestión Suministros","S",
IF(Tabla1[[#This Row],[MACROPROCESO]]="Gestión Contable","T","")))))))))))</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396813B-A83B-403E-977D-BD4BF77B2B7E}" name="Tabla6" displayName="Tabla6" ref="G1:H11" totalsRowShown="0" headerRowDxfId="37" headerRowBorderDxfId="36" tableBorderDxfId="35" totalsRowBorderDxfId="34">
  <autoFilter ref="G1:H11" xr:uid="{0396813B-A83B-403E-977D-BD4BF77B2B7E}"/>
  <tableColumns count="2">
    <tableColumn id="1" xr3:uid="{E16D6242-6B25-4472-B06E-3665F8C91566}" name="T. DOC" dataDxfId="33"/>
    <tableColumn id="3" xr3:uid="{961EA2B2-9B77-401E-9835-C4743D42C9F3}" name="SIGLAS" dataDxfId="32">
      <calculatedColumnFormula>+IF(Tabla6[[#This Row],[T. DOC]]="Caracterización","CA",
IF(Tabla6[[#This Row],[T. DOC]]="Formato","FT",
IF(Tabla6[[#This Row],[T. DOC]]="Guía","GU",
IF(Tabla6[[#This Row],[T. DOC]]="Instructivo","IN",
IF(Tabla6[[#This Row],[T. DOC]]="Manual","MA",
IF(Tabla6[[#This Row],[T. DOC]]="Procedimiento","PR",
IF(Tabla6[[#This Row],[T. DOC]]="Política","PO",
IF(Tabla6[[#This Row],[T. DOC]]="Protocolo","PT",
IF(Tabla6[[#This Row],[T. DOC]]="Plan","PL",
IF(Tabla6[[#This Row],[T. DOC]]="Programa","PG",""))))))))))</calculatedColumnFormula>
    </tableColumn>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C3776D7-A63B-445B-AB33-1E43973F1809}" name="procesos2" displayName="procesos2" ref="E1:E29" totalsRowShown="0" headerRowDxfId="31" dataDxfId="29" headerRowBorderDxfId="30" tableBorderDxfId="28">
  <autoFilter ref="E1:E29" xr:uid="{3C3776D7-A63B-445B-AB33-1E43973F1809}"/>
  <tableColumns count="1">
    <tableColumn id="1" xr3:uid="{5AB22FB4-2708-4FA9-9BBE-E74DE894AD27}" name="PROCESOS" dataDxfId="27"/>
  </tableColumns>
  <tableStyleInfo name="Estilo de tabla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FE8E9E-5ED0-4DB6-9887-69164B298558}" name="Libromaestro" displayName="Libromaestro" ref="A3:T631" headerRowDxfId="87" dataDxfId="86" totalsRowDxfId="84" tableBorderDxfId="85">
  <autoFilter ref="A3:T631" xr:uid="{68FE8E9E-5ED0-4DB6-9887-69164B298558}"/>
  <sortState xmlns:xlrd2="http://schemas.microsoft.com/office/spreadsheetml/2017/richdata2" ref="A49:T617">
    <sortCondition ref="D3:D617"/>
  </sortState>
  <tableColumns count="20">
    <tableColumn id="1" xr3:uid="{10D2C54E-FB57-4929-AF65-DD8137AB78EE}" name="UNIDAD DE NEGOCIO " totalsRowLabel="Corporativa " dataDxfId="83" totalsRowDxfId="82">
      <calculatedColumnFormula>IFERROR(VLOOKUP(Libromaestro[[#This Row],[MACROPROCESO]],Tabla1[],2,FALSE),"")</calculatedColumnFormula>
    </tableColumn>
    <tableColumn id="2" xr3:uid="{CA4C5A11-7EA1-4589-8C02-170C2803010B}" name="MACROPROCESO" totalsRowLabel="Gestión Mejoramiento Continuo (M)" dataDxfId="81" totalsRowDxfId="80"/>
    <tableColumn id="4" xr3:uid="{7E38952E-9E65-40D9-91F3-A791AD1CB354}" name="PROCESO" totalsRowLabel="Medio Ambiente " dataDxfId="79" totalsRowDxfId="78"/>
    <tableColumn id="9" xr3:uid="{63DC03BE-3109-4E02-AF8B-0FCC7902531B}" name="TIPO DE DOCUMENTO" dataDxfId="77" totalsRowDxfId="76"/>
    <tableColumn id="10" xr3:uid="{DCEAEEFD-22E8-4067-8C79-A9F69B045DA8}" name="SIGLAS" dataDxfId="75" totalsRowDxfId="74">
      <calculatedColumnFormula>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calculatedColumnFormula>
    </tableColumn>
    <tableColumn id="21" xr3:uid="{EC3128FA-C146-4F57-9698-AF5EF1CFAE90}" name="T. DOC" dataDxfId="73" totalsRowDxfId="72">
      <calculatedColumnFormula>+IF(Libromaestro[[#This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calculatedColumnFormula>
    </tableColumn>
    <tableColumn id="7" xr3:uid="{542410CC-93B5-43D8-A2FB-A172C0E97751}" name="CONSECUTIVO" totalsRowLabel="6" dataDxfId="71" totalsRowDxfId="70"/>
    <tableColumn id="3" xr3:uid="{9EE258B4-520A-42A0-84B3-9BB4251107A8}" name="CODIGO DEL DOCUMENTO" dataDxfId="69" totalsRowDxfId="68">
      <calculatedColumnFormula>_xlfn.CONCAT(Libromaestro[[#This Row],[SIGLAS]],"-",Libromaestro[[#This Row],[T. DOC]],"-",Libromaestro[[#This Row],[CONSECUTIVO]])</calculatedColumnFormula>
    </tableColumn>
    <tableColumn id="8" xr3:uid="{B45941BF-9967-4915-93C4-8C85C25C6541}" name="NOMBRE DEL DOCUMENTO" totalsRowLabel="Procedimiento manejo de residuos RCD´S " dataDxfId="67" totalsRowDxfId="66"/>
    <tableColumn id="14" xr3:uid="{9DAC97D5-609A-4E6B-98DB-15DFD93EF066}" name="VERSIÓN" totalsRowLabel="1" dataDxfId="65" totalsRowDxfId="64"/>
    <tableColumn id="20" xr3:uid="{3D98BBBE-4943-47CD-9B25-28FF0BB65898}" name="ESTADO" dataDxfId="63">
      <calculatedColumnFormula>_xlfn.XLOOKUP(Libromaestro[[#This Row],[CODIGO DEL DOCUMENTO]],Arreglo_Binaps[Codigo Documento],Arreglo_Binaps[Estado],"No creado",0)</calculatedColumnFormula>
    </tableColumn>
    <tableColumn id="11" xr3:uid="{10B64A4D-6DE1-4F01-802E-600F5ACC736E}" name="FECHA DE CREACIÓN " totalsRowLabel="20/03/2021" dataDxfId="62" totalsRowDxfId="61"/>
    <tableColumn id="12" xr3:uid="{50B9344F-8012-4AFB-A492-1E10F9079F79}" name="FECHA DE ACTUALIZACIÓN" dataDxfId="60" totalsRowDxfId="59"/>
    <tableColumn id="22" xr3:uid="{4DC06159-5516-443E-84DD-60C7319A6155}" name="FECHA DE VIGENCIA HASTA" dataDxfId="58" totalsRowDxfId="57"/>
    <tableColumn id="19" xr3:uid="{FDDE5DEA-55B6-40D3-A742-B23C97DB538F}" name="FECHA DE REVISIÓN" dataDxfId="56" totalsRowDxfId="55">
      <calculatedColumnFormula>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calculatedColumnFormula>
    </tableColumn>
    <tableColumn id="13" xr3:uid="{34978EDB-7787-40BF-B572-0992B1DED2A1}" name="FECHA DE APROBACIÓN" dataDxfId="54">
      <calculatedColumnFormula>_xlfn.LET(_xlpm.resultado,_xlfn.XLOOKUP(Libromaestro[[#This Row],[CODIGO DEL DOCUMENTO]],Arreglo_Binaps[Codigo Documento],Arreglo_Binaps[Fecha_Aprobacion],"",0,1),IF(_xlpm.resultado=0,"",_xlpm.resultado))</calculatedColumnFormula>
    </tableColumn>
    <tableColumn id="15" xr3:uid="{D3742909-BAD2-4C12-AF04-EF8A83F4AB1E}" name="DOCUMENTOS RELACIONADOS" dataDxfId="53" totalsRowDxfId="52"/>
    <tableColumn id="16" xr3:uid="{64E807E1-4A1B-4F51-9E09-07D68F3439E0}" name="NORMATIVIDAD RELACIONADA" totalsRowLabel="NO" dataDxfId="51" totalsRowDxfId="50"/>
    <tableColumn id="17" xr3:uid="{C22F4178-7400-4330-8310-8AD72EB6BA77}" name="MANEJO DEL DOCUMENTO " totalsRowLabel="ELECTRONICO" dataDxfId="49" totalsRowDxfId="48"/>
    <tableColumn id="18" xr3:uid="{66445FD6-802A-4536-ADE2-ED0B22DAE69C}" name="OBSERVACIONES" dataDxfId="47" totalsRowDxfId="46"/>
  </tableColumns>
  <tableStyleInfo name="Estilo de tabla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0C41B6-8044-42CA-87CD-DBDB68BD291B}" name="Arreglo_Binaps" displayName="Arreglo_Binaps" ref="A1:T391" tableType="queryTable" totalsRowShown="0">
  <autoFilter ref="A1:T391" xr:uid="{A80C41B6-8044-42CA-87CD-DBDB68BD291B}"/>
  <tableColumns count="20">
    <tableColumn id="1" xr3:uid="{5C65E8B7-AE19-40E4-8424-B0AA350D011F}" uniqueName="1" name="Macroproceso" queryTableFieldId="1" dataDxfId="26"/>
    <tableColumn id="2" xr3:uid="{B10581A3-5C73-4370-8B53-0E93CFDFA6F7}" uniqueName="2" name="Proceso" queryTableFieldId="2" dataDxfId="25"/>
    <tableColumn id="24" xr3:uid="{2E8EAE62-44F4-4224-977F-2FA764FB1988}" uniqueName="24" name="Nombre del Documento" queryTableFieldId="27"/>
    <tableColumn id="21" xr3:uid="{39F16904-44AA-49DD-8661-18F9C308520C}" uniqueName="21" name="Codigo Documento" queryTableFieldId="21" dataDxfId="24"/>
    <tableColumn id="5" xr3:uid="{E4C7D63D-35F9-4A28-A604-B3F6A3A55870}" uniqueName="5" name="VERSION" queryTableFieldId="5"/>
    <tableColumn id="23" xr3:uid="{5DEB9E4C-AA07-49BA-83A2-E6E9ABE77FA3}" uniqueName="23" name="Tipo Documento" queryTableFieldId="23" dataDxfId="23"/>
    <tableColumn id="7" xr3:uid="{7A65B6CA-1530-4334-8933-70F27546EA80}" uniqueName="7" name="Fecha_Creacion" queryTableFieldId="7" dataDxfId="22"/>
    <tableColumn id="3" xr3:uid="{0DEF2895-0909-4AEF-98AD-DC58D9F8372D}" uniqueName="3" name="Nombre Revisor" queryTableFieldId="29" dataDxfId="21"/>
    <tableColumn id="4" xr3:uid="{20BFCBED-F9CC-4B76-8158-D237F926720A}" uniqueName="4" name="Fecha Revision" queryTableFieldId="30" dataDxfId="20"/>
    <tableColumn id="10" xr3:uid="{15C1D6B5-09FE-4A00-AADF-D7CA88A875C8}" uniqueName="10" name="Nombre_Aprobador" queryTableFieldId="10" dataDxfId="19"/>
    <tableColumn id="11" xr3:uid="{FE7A4B9C-B78C-4288-A6A9-1B3A83710E4D}" uniqueName="11" name="Fecha_Aprobacion" queryTableFieldId="11" dataDxfId="18"/>
    <tableColumn id="12" xr3:uid="{DE8825AC-063C-4364-A098-0CAB0301F01F}" uniqueName="12" name="Fecha_Vigencia" queryTableFieldId="12" dataDxfId="17"/>
    <tableColumn id="13" xr3:uid="{31BDE502-74B7-40EA-BBE6-584CBFB6B6CC}" uniqueName="13" name="Estado" queryTableFieldId="13" dataDxfId="16"/>
    <tableColumn id="14" xr3:uid="{29A19733-80F4-41CC-B807-C1D2C02AB1A6}" uniqueName="14" name="Revisores" queryTableFieldId="14" dataDxfId="15"/>
    <tableColumn id="15" xr3:uid="{4D9E7DBA-D256-4F75-AA6A-15A36C4920D6}" uniqueName="15" name="Aprobadores" queryTableFieldId="15" dataDxfId="14"/>
    <tableColumn id="16" xr3:uid="{FC0F9065-439E-4F7D-8731-68AABEF87DC1}" uniqueName="16" name="Cargo_Ultima_Version_SubidaPor" queryTableFieldId="16" dataDxfId="13"/>
    <tableColumn id="17" xr3:uid="{8F3403A3-D18F-457A-B411-F4CDFED026A4}" uniqueName="17" name="Cambios_Punto_Cambio" queryTableFieldId="17" dataDxfId="12"/>
    <tableColumn id="18" xr3:uid="{86E0ABC5-C07F-4E68-8B8F-45B0D9EF2D86}" uniqueName="18" name="Cambios_Descripcion" queryTableFieldId="18" dataDxfId="11"/>
    <tableColumn id="19" xr3:uid="{F4875AB5-2FDE-40CB-B259-FCDE35ACF46C}" uniqueName="19" name="Cambios_Solicita" queryTableFieldId="19" dataDxfId="10"/>
    <tableColumn id="6" xr3:uid="{65AD6010-7147-49B1-B9E2-B7696B80461A}" uniqueName="6" name="Fecha de creación" queryTableFieldId="34" dataDxfId="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EA8BC8-9320-46CF-9C38-CE76FF8E93BB}" name="Resgistro" displayName="Resgistro" ref="A1:U540" totalsRowShown="0" headerRowDxfId="8">
  <autoFilter ref="A1:U540" xr:uid="{8EEDB3A4-A85F-422D-9418-ED816F46AE16}"/>
  <tableColumns count="21">
    <tableColumn id="1" xr3:uid="{08EE4F52-8021-4A66-B5FB-18A341A08BD0}" name="Nombre_MacroProceso"/>
    <tableColumn id="2" xr3:uid="{55D17275-91C2-4CAE-950E-8F1E88931271}" name="Nombre_Proceso"/>
    <tableColumn id="3" xr3:uid="{249AE195-56F8-4B86-8213-8B12959DCCB8}" name="Nombre_SubProceso"/>
    <tableColumn id="4" xr3:uid="{22E5CF61-961F-47FA-AB1F-E94F5C819583}" name="Nombre_Documento"/>
    <tableColumn id="5" xr3:uid="{07F393D6-1D9B-4442-B7EE-AA2D3D686D7E}" name="Codigo_Documento"/>
    <tableColumn id="6" xr3:uid="{3B748093-2D95-43D5-A52B-81DB65F6BB53}" name="VERSION"/>
    <tableColumn id="7" xr3:uid="{26687623-72D0-4603-B263-148E78928EB2}" name="Tipo_Documento"/>
    <tableColumn id="8" xr3:uid="{142DFA52-F0FA-42E5-9F0B-AF2EEDEE3234}" name="Fecha_Creacion"/>
    <tableColumn id="9" xr3:uid="{5C109862-A623-4F3B-B24E-1606FDC8C9D4}" name="Nombre_Revisor"/>
    <tableColumn id="10" xr3:uid="{5E388DE8-27A3-4648-A6CC-F8815935F5BF}" name="Fecha_Revision"/>
    <tableColumn id="11" xr3:uid="{3FD258F6-44C2-4D19-9FFC-60C82C36B9DC}" name="Nombre_Aprobador"/>
    <tableColumn id="12" xr3:uid="{07D25C5E-0D9D-475B-AA0D-FB5E0F0E5F91}" name="Fecha_Aprobacion" dataDxfId="7"/>
    <tableColumn id="13" xr3:uid="{3C64D225-F8F4-4DB3-B5E1-3D384467FA7F}" name="Fecha_Vigencia"/>
    <tableColumn id="14" xr3:uid="{BD0129EB-510B-4CBC-AB57-8EAB908B8C57}" name="Estado"/>
    <tableColumn id="15" xr3:uid="{4DD1E28D-B480-431F-909A-FF21FCECE34B}" name="Revisores"/>
    <tableColumn id="16" xr3:uid="{DB91000D-708B-4807-BD49-AA8666CED905}" name="Aprobadores"/>
    <tableColumn id="17" xr3:uid="{6F58C9C1-6E65-459F-A893-B7CE01DD7390}" name="Cargo_Ultima_Version_SubidaPor"/>
    <tableColumn id="18" xr3:uid="{62AB91BF-B344-44C4-9A23-DD824AE01149}" name="Cambios_Punto_Cambio"/>
    <tableColumn id="19" xr3:uid="{40CC9A83-BDD0-480E-9B94-5B6100AC9ED2}" name="Cambios_Descripcion"/>
    <tableColumn id="20" xr3:uid="{FF4FB28E-15A8-404A-B6DD-9DF7FB325B50}" name="Cambios_Solicita"/>
    <tableColumn id="21" xr3:uid="{88AB195A-DC37-4210-AF12-E440FD9BCA6C}" name="Columna1"/>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15" dT="2023-10-26T15:29:00.47" personId="{12D6373A-F4B8-4675-A08E-ABB5D5A37CF6}" id="{86A04194-9E21-46A6-9F88-B07A42460C86}">
    <text>Si existe el documento diferente al formato que se tiene pero en el momento no se esta utilizando, es necesario modificarlo para el uso</text>
  </threadedComment>
  <threadedComment ref="G201" dT="2023-10-26T16:38:39.45" personId="{12D6373A-F4B8-4675-A08E-ABB5D5A37CF6}" id="{872E8AFC-124A-4F09-9EA8-60DAEE88C7FD}">
    <text>Es necesario buscar alternativas para obtener esta información.</text>
  </threadedComment>
  <threadedComment ref="M248" dT="2023-11-28T21:17:22.70" personId="{12D6373A-F4B8-4675-A08E-ABB5D5A37CF6}" id="{05AB8759-F305-40B2-988C-37BD5E907DD9}">
    <text>FECHA 2 VR. 13/04/2022</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SISTEMA%20DE%20GESTION%20DE%20CALIDAD/8.%20OPERACI&#211;N/GESTI&#211;N%20HUMANA/OBSOLETOS/H-PO-4%20POLITICA%20TRATAMIENTO%20DE%20DATOS%20PERSONALES%20-%202023%20(1).pdf" TargetMode="External"/><Relationship Id="rId13" Type="http://schemas.openxmlformats.org/officeDocument/2006/relationships/comments" Target="../comments1.xml"/><Relationship Id="rId3" Type="http://schemas.openxmlformats.org/officeDocument/2006/relationships/hyperlink" Target="../../../../SISTEMA%20DE%20GESTION%20DE%20CALIDAD/8.%20OPERACI&#211;N/GESTI&#211;N%20HUMANA/G.HH/PROCEDIMIENTOS/H-PR-1%20PROCEDIMIENTO%20PARA%20SELECCI&#211;N%20Y%20CONTRATACI&#211;N%20DE%20PERSONAL.pdf" TargetMode="External"/><Relationship Id="rId7" Type="http://schemas.openxmlformats.org/officeDocument/2006/relationships/hyperlink" Target="../../../../SISTEMA%20DE%20GESTION%20DE%20CALIDAD/8.%20OPERACI&#211;N/GESTI&#211;N%20HUMANA/G.HH/PROCEDIMIENTOS/H-PR-1%20PROCEDIMIENTO%20PARA%20SELECCI&#211;N%20Y%20CONTRATACI&#211;N%20DE%20PERSONAL.pdf" TargetMode="External"/><Relationship Id="rId12" Type="http://schemas.openxmlformats.org/officeDocument/2006/relationships/table" Target="../tables/table4.xml"/><Relationship Id="rId2" Type="http://schemas.openxmlformats.org/officeDocument/2006/relationships/hyperlink" Target="../../../../SISTEMA%20DE%20GESTION%20DE%20CALIDAD/8.%20OPERACI&#211;N/GESTI&#211;N%20HUMANA/G.HH/PROCEDIMIENTOS/H-PR-1%20PROCEDIMIENTO%20PARA%20SELECCI&#211;N%20Y%20CONTRATACI&#211;N%20DE%20PERSONAL.pdf" TargetMode="External"/><Relationship Id="rId1" Type="http://schemas.openxmlformats.org/officeDocument/2006/relationships/hyperlink" Target="../../../../SISTEMA%20DE%20GESTION%20DE%20CALIDAD/8.%20OPERACI&#211;N/ALUMBRADO%20P&#218;BLICO/ATENCI&#211;N%20AL%20USUARIO/PROCEDIMIENTOS/A-PR-3%20PROCEDIMIENTO%20ATENCI&#211;N%20FPQRS%20ALUMBRADO%20P&#218;BLICO.pdf" TargetMode="External"/><Relationship Id="rId6" Type="http://schemas.openxmlformats.org/officeDocument/2006/relationships/hyperlink" Target="../../../../SISTEMA%20DE%20GESTION%20DE%20CALIDAD/8.%20OPERACI&#211;N/GESTI&#211;N%20HUMANA/NOMINA/PROCEDIMIENTOS/H-PR-12%20PROCEDIMIENTO%20DE%20N&#211;MINA.pdf" TargetMode="External"/><Relationship Id="rId11" Type="http://schemas.openxmlformats.org/officeDocument/2006/relationships/vmlDrawing" Target="../drawings/vmlDrawing1.vml"/><Relationship Id="rId5" Type="http://schemas.openxmlformats.org/officeDocument/2006/relationships/hyperlink" Target="../../../../SISTEMA%20DE%20GESTION%20DE%20CALIDAD/8.%20OPERACI&#211;N/GESTI&#211;N%20HUMANA/G.HH/PROCEDIMIENTOS/H-PR-5%20PROCEDIMIENTO%20DESVINCULACI&#211;N%20LABORAL.pdf" TargetMode="External"/><Relationship Id="rId10" Type="http://schemas.openxmlformats.org/officeDocument/2006/relationships/drawing" Target="../drawings/drawing1.xml"/><Relationship Id="rId4" Type="http://schemas.openxmlformats.org/officeDocument/2006/relationships/hyperlink" Target="../../../../SISTEMA%20DE%20GESTION%20DE%20CALIDAD/8.%20OPERACI&#211;N/GESTI&#211;N%20HUMANA/G.HH/PROCEDIMIENTOS/H-PR-5%20PROCEDIMIENTO%20DESVINCULACI&#211;N%20LABORAL.pdf" TargetMode="External"/><Relationship Id="rId9" Type="http://schemas.openxmlformats.org/officeDocument/2006/relationships/printerSettings" Target="../printerSettings/printerSettings1.bin"/><Relationship Id="rId1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538C8-5F25-42F4-982A-8936B12E6B58}">
  <sheetPr codeName="Hoja1"/>
  <dimension ref="A1:J32"/>
  <sheetViews>
    <sheetView topLeftCell="B1" workbookViewId="0">
      <selection activeCell="G14" sqref="G14"/>
    </sheetView>
  </sheetViews>
  <sheetFormatPr baseColWidth="10" defaultColWidth="11" defaultRowHeight="16.5" x14ac:dyDescent="0.2"/>
  <cols>
    <col min="1" max="1" width="39.125" style="1" bestFit="1" customWidth="1"/>
    <col min="2" max="2" width="26.625" style="1" customWidth="1"/>
    <col min="3" max="4" width="11" style="1"/>
    <col min="5" max="5" width="30.625" style="1" bestFit="1" customWidth="1"/>
    <col min="6" max="6" width="11" style="1"/>
    <col min="7" max="7" width="21.625" style="1" customWidth="1"/>
    <col min="8" max="8" width="11" style="1"/>
    <col min="9" max="9" width="25.375" style="1" customWidth="1"/>
    <col min="10" max="10" width="12.25" style="1" customWidth="1"/>
    <col min="11" max="16384" width="11" style="1"/>
  </cols>
  <sheetData>
    <row r="1" spans="1:10" ht="24.75" customHeight="1" x14ac:dyDescent="0.2">
      <c r="A1" s="10" t="s">
        <v>0</v>
      </c>
      <c r="B1" s="11" t="s">
        <v>1</v>
      </c>
      <c r="C1" s="11" t="s">
        <v>2</v>
      </c>
      <c r="D1" s="43"/>
      <c r="E1" s="169" t="s">
        <v>3</v>
      </c>
      <c r="F1" s="50"/>
      <c r="G1" s="44" t="s">
        <v>4</v>
      </c>
      <c r="H1" s="44" t="s">
        <v>2</v>
      </c>
      <c r="I1" s="12" t="s">
        <v>5</v>
      </c>
      <c r="J1" s="12" t="s">
        <v>6</v>
      </c>
    </row>
    <row r="2" spans="1:10" x14ac:dyDescent="0.2">
      <c r="A2" s="51" t="s">
        <v>7</v>
      </c>
      <c r="B2" s="52" t="s">
        <v>8</v>
      </c>
      <c r="C2" s="53" t="str">
        <f>IF(Tabla1[[#This Row],[MACROPROCESO]]="Gestión Alumbrado Público e Iluminación","A",
IF(Tabla1[[#This Row],[MACROPROCESO]]="Gestión Administrativa","D",
IF(Tabla1[[#This Row],[MACROPROCESO]]="Gestión Estratégica","E",
IF(Tabla1[[#This Row],[MACROPROCESO]]="Gestión Financiera","F",
IF(Tabla1[[#This Row],[MACROPROCESO]]="Gestión Cumplimiento","L",
IF(Tabla1[[#This Row],[MACROPROCESO]]="Gestión Humana","H",
IF(Tabla1[[#This Row],[MACROPROCESO]]="Gestión Juridica","J",
IF(Tabla1[[#This Row],[MACROPROCESO]]="Gestión Mejora Continua","M",
IF(Tabla1[[#This Row],[MACROPROCESO]]="Gestión Proyectos","P",
IF(Tabla1[[#This Row],[MACROPROCESO]]="Gestión Suministros","S",
IF(Tabla1[[#This Row],[MACROPROCESO]]="Gestión Contable","T","")))))))))))</f>
        <v>A</v>
      </c>
      <c r="D2" s="53"/>
      <c r="E2" s="54" t="s">
        <v>9</v>
      </c>
      <c r="F2" s="50"/>
      <c r="G2" s="51" t="s">
        <v>10</v>
      </c>
      <c r="H2" s="55" t="str">
        <f>+IF(Tabla6[[#This Row],[T. DOC]]="Caracterización","CA",
IF(Tabla6[[#This Row],[T. DOC]]="Formato","FT",
IF(Tabla6[[#This Row],[T. DOC]]="Guía","GU",
IF(Tabla6[[#This Row],[T. DOC]]="Instructivo","IN",
IF(Tabla6[[#This Row],[T. DOC]]="Manual","MA",
IF(Tabla6[[#This Row],[T. DOC]]="Procedimiento","PR",
IF(Tabla6[[#This Row],[T. DOC]]="Política","PO",
IF(Tabla6[[#This Row],[T. DOC]]="Protocolo","PT",
IF(Tabla6[[#This Row],[T. DOC]]="Plan","PL",
IF(Tabla6[[#This Row],[T. DOC]]="Programa","PG",""))))))))))</f>
        <v>CA</v>
      </c>
      <c r="I2" s="54" t="s">
        <v>11</v>
      </c>
      <c r="J2" s="52" t="s">
        <v>12</v>
      </c>
    </row>
    <row r="3" spans="1:10" x14ac:dyDescent="0.2">
      <c r="A3" s="51" t="s">
        <v>13</v>
      </c>
      <c r="B3" s="52" t="s">
        <v>14</v>
      </c>
      <c r="C3" s="53" t="str">
        <f>IF(Tabla1[[#This Row],[MACROPROCESO]]="Gestión Alumbrado Público e Iluminación","A",
IF(Tabla1[[#This Row],[MACROPROCESO]]="Gestión Administrativa","D",
IF(Tabla1[[#This Row],[MACROPROCESO]]="Gestión Estratégica","E",
IF(Tabla1[[#This Row],[MACROPROCESO]]="Gestión Financiera","F",
IF(Tabla1[[#This Row],[MACROPROCESO]]="Gestión Cumplimiento","L",
IF(Tabla1[[#This Row],[MACROPROCESO]]="Gestión Humana","H",
IF(Tabla1[[#This Row],[MACROPROCESO]]="Gestión Juridica","J",
IF(Tabla1[[#This Row],[MACROPROCESO]]="Gestión Mejora Continua","M",
IF(Tabla1[[#This Row],[MACROPROCESO]]="Gestión Proyectos","P",
IF(Tabla1[[#This Row],[MACROPROCESO]]="Gestión Suministros","S",
IF(Tabla1[[#This Row],[MACROPROCESO]]="Gestión Contable","T","")))))))))))</f>
        <v>D</v>
      </c>
      <c r="D3" s="53"/>
      <c r="E3" s="54" t="s">
        <v>15</v>
      </c>
      <c r="F3" s="168"/>
      <c r="G3" s="51" t="s">
        <v>16</v>
      </c>
      <c r="H3" s="55" t="str">
        <f>+IF(Tabla6[[#This Row],[T. DOC]]="Caracterización","CA",
IF(Tabla6[[#This Row],[T. DOC]]="Formato","FT",
IF(Tabla6[[#This Row],[T. DOC]]="Guía","GU",
IF(Tabla6[[#This Row],[T. DOC]]="Instructivo","IN",
IF(Tabla6[[#This Row],[T. DOC]]="Manual","MA",
IF(Tabla6[[#This Row],[T. DOC]]="Procedimiento","PR",
IF(Tabla6[[#This Row],[T. DOC]]="Política","PO",
IF(Tabla6[[#This Row],[T. DOC]]="Protocolo","PT",
IF(Tabla6[[#This Row],[T. DOC]]="Plan","PL",
IF(Tabla6[[#This Row],[T. DOC]]="Programa","PG",""))))))))))</f>
        <v>FT</v>
      </c>
      <c r="I3" s="54" t="s">
        <v>17</v>
      </c>
      <c r="J3" s="52" t="s">
        <v>18</v>
      </c>
    </row>
    <row r="4" spans="1:10" x14ac:dyDescent="0.2">
      <c r="A4" s="51" t="s">
        <v>19</v>
      </c>
      <c r="B4" s="52" t="s">
        <v>20</v>
      </c>
      <c r="C4" s="53" t="str">
        <f>IF(Tabla1[[#This Row],[MACROPROCESO]]="Gestión Alumbrado Público e Iluminación","A",
IF(Tabla1[[#This Row],[MACROPROCESO]]="Gestión Administrativa","D",
IF(Tabla1[[#This Row],[MACROPROCESO]]="Gestión Estratégica","E",
IF(Tabla1[[#This Row],[MACROPROCESO]]="Gestión Financiera","F",
IF(Tabla1[[#This Row],[MACROPROCESO]]="Gestión Cumplimiento","L",
IF(Tabla1[[#This Row],[MACROPROCESO]]="Gestión Humana","H",
IF(Tabla1[[#This Row],[MACROPROCESO]]="Gestión Juridica","J",
IF(Tabla1[[#This Row],[MACROPROCESO]]="Gestión Mejora Continua","M",
IF(Tabla1[[#This Row],[MACROPROCESO]]="Gestión Proyectos","P",
IF(Tabla1[[#This Row],[MACROPROCESO]]="Gestión Suministros","S",
IF(Tabla1[[#This Row],[MACROPROCESO]]="Gestión Contable","T","")))))))))))</f>
        <v>E</v>
      </c>
      <c r="D4" s="53"/>
      <c r="E4" s="54" t="s">
        <v>21</v>
      </c>
      <c r="F4" s="168"/>
      <c r="G4" s="51" t="s">
        <v>22</v>
      </c>
      <c r="H4" s="55" t="str">
        <f>+IF(Tabla6[[#This Row],[T. DOC]]="Caracterización","CA",
IF(Tabla6[[#This Row],[T. DOC]]="Formato","FT",
IF(Tabla6[[#This Row],[T. DOC]]="Guía","GU",
IF(Tabla6[[#This Row],[T. DOC]]="Instructivo","IN",
IF(Tabla6[[#This Row],[T. DOC]]="Manual","MA",
IF(Tabla6[[#This Row],[T. DOC]]="Procedimiento","PR",
IF(Tabla6[[#This Row],[T. DOC]]="Política","PO",
IF(Tabla6[[#This Row],[T. DOC]]="Protocolo","PT",
IF(Tabla6[[#This Row],[T. DOC]]="Plan","PL",
IF(Tabla6[[#This Row],[T. DOC]]="Programa","PG",""))))))))))</f>
        <v>GU</v>
      </c>
      <c r="I4" s="54" t="s">
        <v>23</v>
      </c>
      <c r="J4" s="54"/>
    </row>
    <row r="5" spans="1:10" x14ac:dyDescent="0.2">
      <c r="A5" s="51" t="s">
        <v>24</v>
      </c>
      <c r="B5" s="52" t="s">
        <v>25</v>
      </c>
      <c r="C5" s="53" t="str">
        <f>IF(Tabla1[[#This Row],[MACROPROCESO]]="Gestión Alumbrado Público e Iluminación","A",
IF(Tabla1[[#This Row],[MACROPROCESO]]="Gestión Administrativa","D",
IF(Tabla1[[#This Row],[MACROPROCESO]]="Gestión Estratégica","E",
IF(Tabla1[[#This Row],[MACROPROCESO]]="Gestión Financiera","F",
IF(Tabla1[[#This Row],[MACROPROCESO]]="Gestión Cumplimiento","L",
IF(Tabla1[[#This Row],[MACROPROCESO]]="Gestión Humana","H",
IF(Tabla1[[#This Row],[MACROPROCESO]]="Gestión Juridica","J",
IF(Tabla1[[#This Row],[MACROPROCESO]]="Gestión Mejora Continua","M",
IF(Tabla1[[#This Row],[MACROPROCESO]]="Gestión Proyectos","P",
IF(Tabla1[[#This Row],[MACROPROCESO]]="Gestión Suministros","S",
IF(Tabla1[[#This Row],[MACROPROCESO]]="Gestión Contable","T","")))))))))))</f>
        <v>F</v>
      </c>
      <c r="D5" s="53"/>
      <c r="E5" s="54" t="s">
        <v>26</v>
      </c>
      <c r="F5" s="168"/>
      <c r="G5" s="51" t="s">
        <v>27</v>
      </c>
      <c r="H5" s="55" t="str">
        <f>+IF(Tabla6[[#This Row],[T. DOC]]="Caracterización","CA",
IF(Tabla6[[#This Row],[T. DOC]]="Formato","FT",
IF(Tabla6[[#This Row],[T. DOC]]="Guía","GU",
IF(Tabla6[[#This Row],[T. DOC]]="Instructivo","IN",
IF(Tabla6[[#This Row],[T. DOC]]="Manual","MA",
IF(Tabla6[[#This Row],[T. DOC]]="Procedimiento","PR",
IF(Tabla6[[#This Row],[T. DOC]]="Política","PO",
IF(Tabla6[[#This Row],[T. DOC]]="Protocolo","PT",
IF(Tabla6[[#This Row],[T. DOC]]="Plan","PL",
IF(Tabla6[[#This Row],[T. DOC]]="Programa","PG",""))))))))))</f>
        <v>IN</v>
      </c>
      <c r="I5" s="54" t="s">
        <v>28</v>
      </c>
      <c r="J5" s="54"/>
    </row>
    <row r="6" spans="1:10" x14ac:dyDescent="0.2">
      <c r="A6" s="51" t="s">
        <v>29</v>
      </c>
      <c r="B6" s="52" t="s">
        <v>20</v>
      </c>
      <c r="C6" s="53" t="str">
        <f>IF(Tabla1[[#This Row],[MACROPROCESO]]="Gestión Alumbrado Público e Iluminación","A",
IF(Tabla1[[#This Row],[MACROPROCESO]]="Gestión Administrativa","D",
IF(Tabla1[[#This Row],[MACROPROCESO]]="Gestión Estratégica","E",
IF(Tabla1[[#This Row],[MACROPROCESO]]="Gestión Financiera","F",
IF(Tabla1[[#This Row],[MACROPROCESO]]="Gestión Cumplimiento","L",
IF(Tabla1[[#This Row],[MACROPROCESO]]="Gestión Humana","H",
IF(Tabla1[[#This Row],[MACROPROCESO]]="Gestión Juridica","J",
IF(Tabla1[[#This Row],[MACROPROCESO]]="Gestión Mejora Continua","M",
IF(Tabla1[[#This Row],[MACROPROCESO]]="Gestión Proyectos","P",
IF(Tabla1[[#This Row],[MACROPROCESO]]="Gestión Suministros","S",
IF(Tabla1[[#This Row],[MACROPROCESO]]="Gestión Contable","T","")))))))))))</f>
        <v>L</v>
      </c>
      <c r="D6" s="53"/>
      <c r="E6" s="54" t="s">
        <v>30</v>
      </c>
      <c r="F6" s="168"/>
      <c r="G6" s="51" t="s">
        <v>31</v>
      </c>
      <c r="H6" s="55" t="str">
        <f>+IF(Tabla6[[#This Row],[T. DOC]]="Caracterización","CA",
IF(Tabla6[[#This Row],[T. DOC]]="Formato","FT",
IF(Tabla6[[#This Row],[T. DOC]]="Guía","GU",
IF(Tabla6[[#This Row],[T. DOC]]="Instructivo","IN",
IF(Tabla6[[#This Row],[T. DOC]]="Manual","MA",
IF(Tabla6[[#This Row],[T. DOC]]="Procedimiento","PR",
IF(Tabla6[[#This Row],[T. DOC]]="Política","PO",
IF(Tabla6[[#This Row],[T. DOC]]="Protocolo","PT",
IF(Tabla6[[#This Row],[T. DOC]]="Plan","PL",
IF(Tabla6[[#This Row],[T. DOC]]="Programa","PG",""))))))))))</f>
        <v>MA</v>
      </c>
      <c r="I6" s="54"/>
      <c r="J6" s="54"/>
    </row>
    <row r="7" spans="1:10" x14ac:dyDescent="0.2">
      <c r="A7" s="51" t="s">
        <v>32</v>
      </c>
      <c r="B7" s="52" t="s">
        <v>25</v>
      </c>
      <c r="C7" s="53" t="str">
        <f>IF(Tabla1[[#This Row],[MACROPROCESO]]="Gestión Alumbrado Público e Iluminación","A",
IF(Tabla1[[#This Row],[MACROPROCESO]]="Gestión Administrativa","D",
IF(Tabla1[[#This Row],[MACROPROCESO]]="Gestión Estratégica","E",
IF(Tabla1[[#This Row],[MACROPROCESO]]="Gestión Financiera","F",
IF(Tabla1[[#This Row],[MACROPROCESO]]="Gestión Cumplimiento","L",
IF(Tabla1[[#This Row],[MACROPROCESO]]="Gestión Humana","H",
IF(Tabla1[[#This Row],[MACROPROCESO]]="Gestión Juridica","J",
IF(Tabla1[[#This Row],[MACROPROCESO]]="Gestión Mejora Continua","M",
IF(Tabla1[[#This Row],[MACROPROCESO]]="Gestión Proyectos","P",
IF(Tabla1[[#This Row],[MACROPROCESO]]="Gestión Suministros","S",
IF(Tabla1[[#This Row],[MACROPROCESO]]="Gestión Contable","T","")))))))))))</f>
        <v>H</v>
      </c>
      <c r="D7" s="53"/>
      <c r="E7" s="54" t="s">
        <v>33</v>
      </c>
      <c r="F7" s="50"/>
      <c r="G7" s="51" t="s">
        <v>34</v>
      </c>
      <c r="H7" s="55" t="str">
        <f>+IF(Tabla6[[#This Row],[T. DOC]]="Caracterización","CA",
IF(Tabla6[[#This Row],[T. DOC]]="Formato","FT",
IF(Tabla6[[#This Row],[T. DOC]]="Guía","GU",
IF(Tabla6[[#This Row],[T. DOC]]="Instructivo","IN",
IF(Tabla6[[#This Row],[T. DOC]]="Manual","MA",
IF(Tabla6[[#This Row],[T. DOC]]="Procedimiento","PR",
IF(Tabla6[[#This Row],[T. DOC]]="Política","PO",
IF(Tabla6[[#This Row],[T. DOC]]="Protocolo","PT",
IF(Tabla6[[#This Row],[T. DOC]]="Plan","PL",
IF(Tabla6[[#This Row],[T. DOC]]="Programa","PG",""))))))))))</f>
        <v>PR</v>
      </c>
      <c r="I7" s="54"/>
      <c r="J7" s="54"/>
    </row>
    <row r="8" spans="1:10" x14ac:dyDescent="0.2">
      <c r="A8" s="51" t="s">
        <v>35</v>
      </c>
      <c r="B8" s="52" t="s">
        <v>25</v>
      </c>
      <c r="C8" s="53" t="str">
        <f>IF(Tabla1[[#This Row],[MACROPROCESO]]="Gestión Alumbrado Público e Iluminación","A",
IF(Tabla1[[#This Row],[MACROPROCESO]]="Gestión Administrativa","D",
IF(Tabla1[[#This Row],[MACROPROCESO]]="Gestión Estratégica","E",
IF(Tabla1[[#This Row],[MACROPROCESO]]="Gestión Financiera","F",
IF(Tabla1[[#This Row],[MACROPROCESO]]="Gestión Cumplimiento","L",
IF(Tabla1[[#This Row],[MACROPROCESO]]="Gestión Humana","H",
IF(Tabla1[[#This Row],[MACROPROCESO]]="Gestión Juridica","J",
IF(Tabla1[[#This Row],[MACROPROCESO]]="Gestión Mejora Continua","M",
IF(Tabla1[[#This Row],[MACROPROCESO]]="Gestión Proyectos","P",
IF(Tabla1[[#This Row],[MACROPROCESO]]="Gestión Suministros","S",
IF(Tabla1[[#This Row],[MACROPROCESO]]="Gestión Contable","T","")))))))))))</f>
        <v>J</v>
      </c>
      <c r="D8" s="53"/>
      <c r="E8" s="54" t="s">
        <v>36</v>
      </c>
      <c r="F8" s="50"/>
      <c r="G8" s="51" t="s">
        <v>37</v>
      </c>
      <c r="H8" s="55" t="str">
        <f>+IF(Tabla6[[#This Row],[T. DOC]]="Caracterización","CA",
IF(Tabla6[[#This Row],[T. DOC]]="Formato","FT",
IF(Tabla6[[#This Row],[T. DOC]]="Guía","GU",
IF(Tabla6[[#This Row],[T. DOC]]="Instructivo","IN",
IF(Tabla6[[#This Row],[T. DOC]]="Manual","MA",
IF(Tabla6[[#This Row],[T. DOC]]="Procedimiento","PR",
IF(Tabla6[[#This Row],[T. DOC]]="Política","PO",
IF(Tabla6[[#This Row],[T. DOC]]="Protocolo","PT",
IF(Tabla6[[#This Row],[T. DOC]]="Plan","PL",
IF(Tabla6[[#This Row],[T. DOC]]="Programa","PG",""))))))))))</f>
        <v>PO</v>
      </c>
      <c r="I8" s="54"/>
      <c r="J8" s="54"/>
    </row>
    <row r="9" spans="1:10" x14ac:dyDescent="0.2">
      <c r="A9" s="51" t="s">
        <v>38</v>
      </c>
      <c r="B9" s="52" t="s">
        <v>25</v>
      </c>
      <c r="C9" s="53" t="str">
        <f>IF(Tabla1[[#This Row],[MACROPROCESO]]="Gestión Alumbrado Público e Iluminación","A",
IF(Tabla1[[#This Row],[MACROPROCESO]]="Gestión Administrativa","D",
IF(Tabla1[[#This Row],[MACROPROCESO]]="Gestión Estratégica","E",
IF(Tabla1[[#This Row],[MACROPROCESO]]="Gestión Financiera","F",
IF(Tabla1[[#This Row],[MACROPROCESO]]="Gestión Cumplimiento","L",
IF(Tabla1[[#This Row],[MACROPROCESO]]="Gestión Humana","H",
IF(Tabla1[[#This Row],[MACROPROCESO]]="Gestión Juridica","J",
IF(Tabla1[[#This Row],[MACROPROCESO]]="Gestión Mejora Continua","M",
IF(Tabla1[[#This Row],[MACROPROCESO]]="Gestión Proyectos","P",
IF(Tabla1[[#This Row],[MACROPROCESO]]="Gestión Suministros","S",
IF(Tabla1[[#This Row],[MACROPROCESO]]="Gestión Contable","T","")))))))))))</f>
        <v>M</v>
      </c>
      <c r="D9" s="53"/>
      <c r="E9" s="54" t="s">
        <v>39</v>
      </c>
      <c r="F9" s="168"/>
      <c r="G9" s="51" t="s">
        <v>40</v>
      </c>
      <c r="H9" s="55" t="str">
        <f>+IF(Tabla6[[#This Row],[T. DOC]]="Caracterización","CA",
IF(Tabla6[[#This Row],[T. DOC]]="Formato","FT",
IF(Tabla6[[#This Row],[T. DOC]]="Guía","GU",
IF(Tabla6[[#This Row],[T. DOC]]="Instructivo","IN",
IF(Tabla6[[#This Row],[T. DOC]]="Manual","MA",
IF(Tabla6[[#This Row],[T. DOC]]="Procedimiento","PR",
IF(Tabla6[[#This Row],[T. DOC]]="Política","PO",
IF(Tabla6[[#This Row],[T. DOC]]="Protocolo","PT",
IF(Tabla6[[#This Row],[T. DOC]]="Plan","PL",
IF(Tabla6[[#This Row],[T. DOC]]="Programa","PG",""))))))))))</f>
        <v>PT</v>
      </c>
      <c r="I9" s="54"/>
      <c r="J9" s="54"/>
    </row>
    <row r="10" spans="1:10" x14ac:dyDescent="0.2">
      <c r="A10" s="51" t="s">
        <v>41</v>
      </c>
      <c r="B10" s="52" t="s">
        <v>42</v>
      </c>
      <c r="C10" s="53" t="str">
        <f>IF(Tabla1[[#This Row],[MACROPROCESO]]="Gestión Alumbrado Público e Iluminación","A",
IF(Tabla1[[#This Row],[MACROPROCESO]]="Gestión Administrativa","D",
IF(Tabla1[[#This Row],[MACROPROCESO]]="Gestión Estratégica","E",
IF(Tabla1[[#This Row],[MACROPROCESO]]="Gestión Financiera","F",
IF(Tabla1[[#This Row],[MACROPROCESO]]="Gestión Cumplimiento","L",
IF(Tabla1[[#This Row],[MACROPROCESO]]="Gestión Humana","H",
IF(Tabla1[[#This Row],[MACROPROCESO]]="Gestión Juridica","J",
IF(Tabla1[[#This Row],[MACROPROCESO]]="Gestión Mejora Continua","M",
IF(Tabla1[[#This Row],[MACROPROCESO]]="Gestión Proyectos","P",
IF(Tabla1[[#This Row],[MACROPROCESO]]="Gestión Suministros","S",
IF(Tabla1[[#This Row],[MACROPROCESO]]="Gestión Contable","T","")))))))))))</f>
        <v>P</v>
      </c>
      <c r="D10" s="53"/>
      <c r="E10" s="54" t="s">
        <v>43</v>
      </c>
      <c r="F10" s="50"/>
      <c r="G10" s="51" t="s">
        <v>44</v>
      </c>
      <c r="H10" s="55" t="str">
        <f>+IF(Tabla6[[#This Row],[T. DOC]]="Caracterización","CA",
IF(Tabla6[[#This Row],[T. DOC]]="Formato","FT",
IF(Tabla6[[#This Row],[T. DOC]]="Guía","GU",
IF(Tabla6[[#This Row],[T. DOC]]="Instructivo","IN",
IF(Tabla6[[#This Row],[T. DOC]]="Manual","MA",
IF(Tabla6[[#This Row],[T. DOC]]="Procedimiento","PR",
IF(Tabla6[[#This Row],[T. DOC]]="Política","PO",
IF(Tabla6[[#This Row],[T. DOC]]="Protocolo","PT",
IF(Tabla6[[#This Row],[T. DOC]]="Plan","PL",
IF(Tabla6[[#This Row],[T. DOC]]="Programa","PG",""))))))))))</f>
        <v>PL</v>
      </c>
      <c r="I10" s="54"/>
      <c r="J10" s="54"/>
    </row>
    <row r="11" spans="1:10" x14ac:dyDescent="0.2">
      <c r="A11" s="51" t="s">
        <v>45</v>
      </c>
      <c r="B11" s="52" t="s">
        <v>46</v>
      </c>
      <c r="C11" s="53" t="str">
        <f>IF(Tabla1[[#This Row],[MACROPROCESO]]="Gestión Alumbrado Público e Iluminación","A",
IF(Tabla1[[#This Row],[MACROPROCESO]]="Gestión Administrativa","D",
IF(Tabla1[[#This Row],[MACROPROCESO]]="Gestión Estratégica","E",
IF(Tabla1[[#This Row],[MACROPROCESO]]="Gestión Financiera","F",
IF(Tabla1[[#This Row],[MACROPROCESO]]="Gestión Cumplimiento","L",
IF(Tabla1[[#This Row],[MACROPROCESO]]="Gestión Humana","H",
IF(Tabla1[[#This Row],[MACROPROCESO]]="Gestión Juridica","J",
IF(Tabla1[[#This Row],[MACROPROCESO]]="Gestión Mejora Continua","M",
IF(Tabla1[[#This Row],[MACROPROCESO]]="Gestión Proyectos","P",
IF(Tabla1[[#This Row],[MACROPROCESO]]="Gestión Suministros","S",
IF(Tabla1[[#This Row],[MACROPROCESO]]="Gestión Contable","T","")))))))))))</f>
        <v>S</v>
      </c>
      <c r="D11" s="53"/>
      <c r="E11" s="54" t="s">
        <v>47</v>
      </c>
      <c r="F11" s="50"/>
      <c r="G11" s="56" t="s">
        <v>48</v>
      </c>
      <c r="H11" s="57" t="str">
        <f>+IF(Tabla6[[#This Row],[T. DOC]]="Caracterización","CA",
IF(Tabla6[[#This Row],[T. DOC]]="Formato","FT",
IF(Tabla6[[#This Row],[T. DOC]]="Guía","GU",
IF(Tabla6[[#This Row],[T. DOC]]="Instructivo","IN",
IF(Tabla6[[#This Row],[T. DOC]]="Manual","MA",
IF(Tabla6[[#This Row],[T. DOC]]="Procedimiento","PR",
IF(Tabla6[[#This Row],[T. DOC]]="Política","PO",
IF(Tabla6[[#This Row],[T. DOC]]="Protocolo","PT",
IF(Tabla6[[#This Row],[T. DOC]]="Plan","PL",
IF(Tabla6[[#This Row],[T. DOC]]="Programa","PG",""))))))))))</f>
        <v>PG</v>
      </c>
      <c r="I11" s="54"/>
      <c r="J11" s="54"/>
    </row>
    <row r="12" spans="1:10" x14ac:dyDescent="0.2">
      <c r="A12" s="56" t="s">
        <v>49</v>
      </c>
      <c r="B12" s="58" t="s">
        <v>25</v>
      </c>
      <c r="C12" s="53" t="str">
        <f>IF(Tabla1[[#This Row],[MACROPROCESO]]="Gestión Alumbrado Público e Iluminación","A",
IF(Tabla1[[#This Row],[MACROPROCESO]]="Gestión Administrativa","D",
IF(Tabla1[[#This Row],[MACROPROCESO]]="Gestión Estratégica","E",
IF(Tabla1[[#This Row],[MACROPROCESO]]="Gestión Financiera","F",
IF(Tabla1[[#This Row],[MACROPROCESO]]="Gestión Cumplimiento","L",
IF(Tabla1[[#This Row],[MACROPROCESO]]="Gestión Humana","H",
IF(Tabla1[[#This Row],[MACROPROCESO]]="Gestión Juridica","J",
IF(Tabla1[[#This Row],[MACROPROCESO]]="Gestión Mejora Continua","M",
IF(Tabla1[[#This Row],[MACROPROCESO]]="Gestión Proyectos","P",
IF(Tabla1[[#This Row],[MACROPROCESO]]="Gestión Suministros","S",
IF(Tabla1[[#This Row],[MACROPROCESO]]="Gestión Contable","T","")))))))))))</f>
        <v>T</v>
      </c>
      <c r="D12" s="53"/>
      <c r="E12" s="54" t="s">
        <v>50</v>
      </c>
      <c r="F12" s="50"/>
      <c r="G12" s="50"/>
      <c r="H12" s="50"/>
      <c r="I12" s="50"/>
      <c r="J12" s="50"/>
    </row>
    <row r="13" spans="1:10" x14ac:dyDescent="0.2">
      <c r="A13" s="50"/>
      <c r="B13" s="50"/>
      <c r="C13" s="50"/>
      <c r="D13" s="50"/>
      <c r="E13" s="54" t="s">
        <v>51</v>
      </c>
      <c r="F13" s="50"/>
      <c r="G13" s="50"/>
      <c r="H13" s="50"/>
      <c r="I13" s="50"/>
      <c r="J13" s="50"/>
    </row>
    <row r="14" spans="1:10" x14ac:dyDescent="0.2">
      <c r="A14" s="50"/>
      <c r="B14" s="50"/>
      <c r="C14" s="50"/>
      <c r="D14" s="50"/>
      <c r="E14" s="54" t="s">
        <v>52</v>
      </c>
      <c r="F14" s="50"/>
      <c r="H14" s="50"/>
      <c r="I14" s="50"/>
      <c r="J14" s="50"/>
    </row>
    <row r="15" spans="1:10" x14ac:dyDescent="0.2">
      <c r="A15" s="50"/>
      <c r="B15" s="37"/>
      <c r="C15" s="37"/>
      <c r="D15" s="50"/>
      <c r="E15" s="54" t="s">
        <v>53</v>
      </c>
      <c r="F15" s="50"/>
      <c r="H15" s="50"/>
      <c r="I15" s="50"/>
      <c r="J15" s="50"/>
    </row>
    <row r="16" spans="1:10" x14ac:dyDescent="0.2">
      <c r="A16" s="50"/>
      <c r="B16" s="37"/>
      <c r="C16" s="37"/>
      <c r="D16" s="50"/>
      <c r="E16" s="54" t="s">
        <v>54</v>
      </c>
      <c r="F16" s="50"/>
      <c r="H16" s="50"/>
      <c r="I16" s="50"/>
      <c r="J16" s="50"/>
    </row>
    <row r="17" spans="1:8" x14ac:dyDescent="0.2">
      <c r="A17" s="50"/>
      <c r="B17" s="37"/>
      <c r="C17" s="37"/>
      <c r="D17" s="50"/>
      <c r="E17" s="54" t="s">
        <v>55</v>
      </c>
      <c r="H17" s="50"/>
    </row>
    <row r="18" spans="1:8" x14ac:dyDescent="0.2">
      <c r="A18" s="50"/>
      <c r="B18" s="37"/>
      <c r="C18" s="37"/>
      <c r="D18" s="50"/>
      <c r="E18" s="54" t="s">
        <v>56</v>
      </c>
    </row>
    <row r="19" spans="1:8" x14ac:dyDescent="0.2">
      <c r="A19" s="50"/>
      <c r="B19" s="37"/>
      <c r="C19" s="37"/>
      <c r="D19" s="50"/>
      <c r="E19" s="54" t="s">
        <v>57</v>
      </c>
    </row>
    <row r="20" spans="1:8" x14ac:dyDescent="0.2">
      <c r="A20" s="50"/>
      <c r="B20" s="37"/>
      <c r="C20" s="37"/>
      <c r="D20" s="50"/>
      <c r="E20" s="54" t="s">
        <v>58</v>
      </c>
    </row>
    <row r="21" spans="1:8" x14ac:dyDescent="0.2">
      <c r="A21" s="50"/>
      <c r="B21" s="37"/>
      <c r="C21" s="37"/>
      <c r="D21" s="50"/>
      <c r="E21" s="54" t="s">
        <v>59</v>
      </c>
    </row>
    <row r="22" spans="1:8" x14ac:dyDescent="0.2">
      <c r="A22" s="50"/>
      <c r="B22" s="37"/>
      <c r="C22" s="53"/>
      <c r="D22" s="50"/>
      <c r="E22" s="54" t="s">
        <v>60</v>
      </c>
    </row>
    <row r="23" spans="1:8" x14ac:dyDescent="0.2">
      <c r="A23" s="50"/>
      <c r="B23" s="50"/>
      <c r="C23" s="53"/>
      <c r="D23" s="50"/>
      <c r="E23" s="54" t="s">
        <v>61</v>
      </c>
    </row>
    <row r="24" spans="1:8" x14ac:dyDescent="0.2">
      <c r="A24" s="50"/>
      <c r="B24" s="50"/>
      <c r="C24" s="53"/>
      <c r="D24" s="50"/>
      <c r="E24" s="54" t="s">
        <v>62</v>
      </c>
    </row>
    <row r="25" spans="1:8" x14ac:dyDescent="0.2">
      <c r="A25" s="50"/>
      <c r="B25" s="50"/>
      <c r="C25" s="53"/>
      <c r="D25" s="50"/>
      <c r="E25" s="54" t="s">
        <v>63</v>
      </c>
    </row>
    <row r="26" spans="1:8" x14ac:dyDescent="0.2">
      <c r="A26" s="50"/>
      <c r="B26" s="50"/>
      <c r="C26" s="53"/>
      <c r="D26" s="50"/>
      <c r="E26" s="168" t="s">
        <v>2252</v>
      </c>
    </row>
    <row r="27" spans="1:8" x14ac:dyDescent="0.2">
      <c r="A27" s="50"/>
      <c r="B27" s="50"/>
      <c r="C27" s="53"/>
      <c r="D27" s="50"/>
      <c r="E27" s="168" t="s">
        <v>2253</v>
      </c>
    </row>
    <row r="28" spans="1:8" x14ac:dyDescent="0.2">
      <c r="A28" s="50"/>
      <c r="B28" s="50"/>
      <c r="C28" s="53"/>
      <c r="D28" s="50"/>
      <c r="E28" s="168" t="s">
        <v>2254</v>
      </c>
    </row>
    <row r="29" spans="1:8" x14ac:dyDescent="0.2">
      <c r="A29" s="50"/>
      <c r="B29" s="50"/>
      <c r="C29" s="53"/>
      <c r="D29" s="50"/>
      <c r="E29" s="168" t="s">
        <v>2255</v>
      </c>
    </row>
    <row r="30" spans="1:8" x14ac:dyDescent="0.2">
      <c r="A30" s="50"/>
      <c r="B30" s="50"/>
      <c r="C30" s="53"/>
      <c r="D30" s="50"/>
      <c r="E30" s="50"/>
    </row>
    <row r="31" spans="1:8" x14ac:dyDescent="0.2">
      <c r="A31" s="50"/>
      <c r="B31" s="50"/>
      <c r="C31" s="53"/>
      <c r="D31" s="50"/>
      <c r="E31" s="50"/>
    </row>
    <row r="32" spans="1:8" x14ac:dyDescent="0.2">
      <c r="A32" s="50"/>
      <c r="B32" s="50"/>
      <c r="C32" s="50"/>
      <c r="D32" s="50"/>
      <c r="E32" s="50"/>
    </row>
  </sheetData>
  <sortState xmlns:xlrd2="http://schemas.microsoft.com/office/spreadsheetml/2017/richdata2" ref="E2:E26">
    <sortCondition ref="E2:E26"/>
  </sortState>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16E0B-70C0-4997-9136-76E2FBA593D2}">
  <sheetPr codeName="Hoja2">
    <outlinePr showOutlineSymbols="0"/>
  </sheetPr>
  <dimension ref="A1:T778"/>
  <sheetViews>
    <sheetView showGridLines="0" tabSelected="1" showOutlineSymbols="0" topLeftCell="B1" zoomScale="70" zoomScaleNormal="70" workbookViewId="0">
      <selection activeCell="D6" sqref="D6"/>
    </sheetView>
  </sheetViews>
  <sheetFormatPr baseColWidth="10" defaultColWidth="18" defaultRowHeight="33.75" customHeight="1" x14ac:dyDescent="0.3"/>
  <cols>
    <col min="1" max="1" width="18.375" style="2" bestFit="1" customWidth="1"/>
    <col min="2" max="2" width="23.125" style="2" customWidth="1"/>
    <col min="3" max="3" width="19.5" style="2" customWidth="1"/>
    <col min="4" max="4" width="20.25" style="2" bestFit="1" customWidth="1"/>
    <col min="5" max="5" width="14.25" style="2" customWidth="1"/>
    <col min="6" max="6" width="13.375" style="2" customWidth="1"/>
    <col min="7" max="7" width="21.125" style="2" customWidth="1"/>
    <col min="8" max="8" width="19.75" style="2" customWidth="1"/>
    <col min="9" max="9" width="48.875" style="2" customWidth="1"/>
    <col min="10" max="10" width="14.75" style="2" bestFit="1" customWidth="1"/>
    <col min="11" max="11" width="13.625" style="2" bestFit="1" customWidth="1"/>
    <col min="12" max="12" width="14.875" style="2" customWidth="1"/>
    <col min="13" max="13" width="28.125" style="20" bestFit="1" customWidth="1"/>
    <col min="14" max="20" width="28.125" style="21" customWidth="1"/>
    <col min="21" max="16384" width="18" style="2"/>
  </cols>
  <sheetData>
    <row r="1" spans="1:20" ht="33.75" customHeight="1" x14ac:dyDescent="0.3">
      <c r="A1" s="276" t="s">
        <v>64</v>
      </c>
      <c r="B1" s="276"/>
      <c r="C1" s="276"/>
      <c r="D1" s="276"/>
      <c r="E1" s="276"/>
      <c r="F1" s="276"/>
      <c r="G1" s="276"/>
      <c r="H1" s="276"/>
      <c r="I1" s="276"/>
      <c r="J1" s="276"/>
      <c r="K1" s="276"/>
      <c r="L1" s="276"/>
      <c r="M1" s="276"/>
      <c r="N1" s="276"/>
      <c r="O1" s="276"/>
      <c r="P1" s="276"/>
      <c r="Q1" s="276"/>
      <c r="R1" s="276"/>
      <c r="S1" s="276"/>
      <c r="T1" s="276"/>
    </row>
    <row r="2" spans="1:20" ht="33.75" customHeight="1" x14ac:dyDescent="0.3">
      <c r="A2" s="276"/>
      <c r="B2" s="276"/>
      <c r="C2" s="276"/>
      <c r="D2" s="276"/>
      <c r="E2" s="276"/>
      <c r="F2" s="276"/>
      <c r="G2" s="276"/>
      <c r="H2" s="276"/>
      <c r="I2" s="276"/>
      <c r="J2" s="276"/>
      <c r="K2" s="276"/>
      <c r="L2" s="276"/>
      <c r="M2" s="276"/>
      <c r="N2" s="276"/>
      <c r="O2" s="276"/>
      <c r="P2" s="276"/>
      <c r="Q2" s="276"/>
      <c r="R2" s="276"/>
      <c r="S2" s="276"/>
      <c r="T2" s="276"/>
    </row>
    <row r="3" spans="1:20" ht="33.75" customHeight="1" x14ac:dyDescent="0.3">
      <c r="A3" s="3" t="s">
        <v>65</v>
      </c>
      <c r="B3" s="4" t="s">
        <v>0</v>
      </c>
      <c r="C3" s="4" t="s">
        <v>66</v>
      </c>
      <c r="D3" s="5" t="s">
        <v>67</v>
      </c>
      <c r="E3" s="6" t="s">
        <v>2</v>
      </c>
      <c r="F3" s="5" t="s">
        <v>4</v>
      </c>
      <c r="G3" s="5" t="s">
        <v>68</v>
      </c>
      <c r="H3" s="8" t="s">
        <v>69</v>
      </c>
      <c r="I3" s="6" t="s">
        <v>70</v>
      </c>
      <c r="J3" s="6" t="s">
        <v>71</v>
      </c>
      <c r="K3" s="6" t="s">
        <v>72</v>
      </c>
      <c r="L3" s="8" t="s">
        <v>73</v>
      </c>
      <c r="M3" s="6" t="s">
        <v>74</v>
      </c>
      <c r="N3" s="7" t="s">
        <v>75</v>
      </c>
      <c r="O3" s="7" t="s">
        <v>76</v>
      </c>
      <c r="P3" s="8" t="s">
        <v>77</v>
      </c>
      <c r="Q3" s="6" t="s">
        <v>78</v>
      </c>
      <c r="R3" s="9" t="s">
        <v>79</v>
      </c>
      <c r="S3" s="9" t="s">
        <v>80</v>
      </c>
      <c r="T3" s="9" t="s">
        <v>81</v>
      </c>
    </row>
    <row r="4" spans="1:20" ht="33.75" customHeight="1" x14ac:dyDescent="0.3">
      <c r="A4" s="60" t="str">
        <f>IFERROR(VLOOKUP(Libromaestro[[#This Row],[MACROPROCESO]],Tabla1[],2,FALSE),"")</f>
        <v>Corporativa</v>
      </c>
      <c r="B4" s="61" t="s">
        <v>13</v>
      </c>
      <c r="C4" s="62" t="s">
        <v>82</v>
      </c>
      <c r="D4" s="60" t="s">
        <v>16</v>
      </c>
      <c r="E4"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4"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 s="60">
        <v>1</v>
      </c>
      <c r="H4" s="60" t="str">
        <f>_xlfn.CONCAT(Libromaestro[[#This Row],[SIGLAS]],"-",Libromaestro[[#This Row],[T. DOC]],"-",Libromaestro[[#This Row],[CONSECUTIVO]])</f>
        <v>D-FT-1</v>
      </c>
      <c r="I4" s="63" t="s">
        <v>83</v>
      </c>
      <c r="J4" s="60">
        <v>1</v>
      </c>
      <c r="K4" s="64" t="str">
        <f>_xlfn.XLOOKUP(Libromaestro[[#This Row],[CODIGO DEL DOCUMENTO]],Arreglo_Binaps[Codigo Documento],Arreglo_Binaps[Estado],"No creado",0)</f>
        <v>Aprobado</v>
      </c>
      <c r="L4" s="66" t="str">
        <f>_xlfn.XLOOKUP(Libromaestro[[#This Row],[CODIGO DEL DOCUMENTO]],Arreglo_Binaps[Codigo Documento],Arreglo_Binaps[Fecha de creación],"",0,1)</f>
        <v>2019-11-22</v>
      </c>
      <c r="M4" s="66"/>
      <c r="N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44887</v>
      </c>
      <c r="O4" s="67">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44887</v>
      </c>
      <c r="P4" s="67">
        <f>_xlfn.LET(_xlpm.resultado,_xlfn.XLOOKUP(Libromaestro[[#This Row],[CODIGO DEL DOCUMENTO]],Arreglo_Binaps[Codigo Documento],Arreglo_Binaps[Fecha_Aprobacion],"",0,1),IF(_xlpm.resultado=0,"",_xlpm.resultado))</f>
        <v>43791</v>
      </c>
      <c r="Q4" s="172"/>
      <c r="R4" s="68"/>
      <c r="S4" s="69" t="s">
        <v>17</v>
      </c>
      <c r="T4" s="70"/>
    </row>
    <row r="5" spans="1:20" ht="33.75" customHeight="1" x14ac:dyDescent="0.3">
      <c r="A5" s="60" t="str">
        <f>IFERROR(VLOOKUP(Libromaestro[[#This Row],[MACROPROCESO]],Tabla1[],2,FALSE),"")</f>
        <v>Corporativa</v>
      </c>
      <c r="B5" s="61" t="s">
        <v>13</v>
      </c>
      <c r="C5" s="62" t="s">
        <v>62</v>
      </c>
      <c r="D5" s="60" t="s">
        <v>22</v>
      </c>
      <c r="E5"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5"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5" s="60">
        <v>1</v>
      </c>
      <c r="H5" s="60" t="str">
        <f>_xlfn.CONCAT(Libromaestro[[#This Row],[SIGLAS]],"-",Libromaestro[[#This Row],[T. DOC]],"-",Libromaestro[[#This Row],[CONSECUTIVO]])</f>
        <v>D-GU-1</v>
      </c>
      <c r="I5" s="70" t="s">
        <v>84</v>
      </c>
      <c r="J5" s="60">
        <v>1</v>
      </c>
      <c r="K5" s="64" t="str">
        <f>_xlfn.XLOOKUP(Libromaestro[[#This Row],[CODIGO DEL DOCUMENTO]],Arreglo_Binaps[Codigo Documento],Arreglo_Binaps[Estado],"No creado",0)</f>
        <v>No creado</v>
      </c>
      <c r="L5" s="66" t="str">
        <f>_xlfn.XLOOKUP(Libromaestro[[#This Row],[CODIGO DEL DOCUMENTO]],Arreglo_Binaps[Codigo Documento],Arreglo_Binaps[Fecha de creación],"",0,1)</f>
        <v/>
      </c>
      <c r="M5" s="66"/>
      <c r="N5"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5"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 s="67" t="str">
        <f>_xlfn.LET(_xlpm.resultado,_xlfn.XLOOKUP(Libromaestro[[#This Row],[CODIGO DEL DOCUMENTO]],Arreglo_Binaps[Codigo Documento],Arreglo_Binaps[Fecha_Aprobacion],"",0,1),IF(_xlpm.resultado=0,"",_xlpm.resultado))</f>
        <v/>
      </c>
      <c r="Q5" s="172"/>
      <c r="R5" s="68"/>
      <c r="S5" s="69"/>
      <c r="T5" s="70"/>
    </row>
    <row r="6" spans="1:20" ht="33.75" customHeight="1" x14ac:dyDescent="0.3">
      <c r="A6" s="60" t="str">
        <f>IFERROR(VLOOKUP(Libromaestro[[#This Row],[MACROPROCESO]],Tabla1[],2,FALSE),"")</f>
        <v>Corporativa</v>
      </c>
      <c r="B6" s="70" t="s">
        <v>13</v>
      </c>
      <c r="C6" s="60" t="s">
        <v>62</v>
      </c>
      <c r="D6" s="60" t="s">
        <v>27</v>
      </c>
      <c r="E6"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6"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6" s="60">
        <v>1</v>
      </c>
      <c r="H6" s="60" t="str">
        <f>_xlfn.CONCAT(Libromaestro[[#This Row],[SIGLAS]],"-",Libromaestro[[#This Row],[T. DOC]],"-",Libromaestro[[#This Row],[CONSECUTIVO]])</f>
        <v>D-IN-1</v>
      </c>
      <c r="I6" s="70" t="s">
        <v>85</v>
      </c>
      <c r="J6" s="60">
        <v>1</v>
      </c>
      <c r="K6" s="64" t="str">
        <f>_xlfn.XLOOKUP(Libromaestro[[#This Row],[CODIGO DEL DOCUMENTO]],Arreglo_Binaps[Codigo Documento],Arreglo_Binaps[Estado],"No creado",0)</f>
        <v>Aprobado</v>
      </c>
      <c r="L6" s="66" t="str">
        <f>_xlfn.XLOOKUP(Libromaestro[[#This Row],[CODIGO DEL DOCUMENTO]],Arreglo_Binaps[Codigo Documento],Arreglo_Binaps[Fecha de creación],"",0,1)</f>
        <v>2021-08-09</v>
      </c>
      <c r="M6" s="66"/>
      <c r="N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45513</v>
      </c>
      <c r="O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45513</v>
      </c>
      <c r="P6" s="67">
        <f>_xlfn.LET(_xlpm.resultado,_xlfn.XLOOKUP(Libromaestro[[#This Row],[CODIGO DEL DOCUMENTO]],Arreglo_Binaps[Codigo Documento],Arreglo_Binaps[Fecha_Aprobacion],"",0,1),IF(_xlpm.resultado=0,"",_xlpm.resultado))</f>
        <v>44417</v>
      </c>
      <c r="Q6" s="172"/>
      <c r="R6" s="68"/>
      <c r="S6" s="69" t="s">
        <v>28</v>
      </c>
      <c r="T6" s="70"/>
    </row>
    <row r="7" spans="1:20" s="1" customFormat="1" ht="33.75" customHeight="1" x14ac:dyDescent="0.2">
      <c r="A7" s="60" t="str">
        <f>IFERROR(VLOOKUP(Libromaestro[[#This Row],[MACROPROCESO]],Tabla1[],2,FALSE),"")</f>
        <v>Corporativa</v>
      </c>
      <c r="B7" s="61" t="s">
        <v>13</v>
      </c>
      <c r="C7" s="62" t="s">
        <v>50</v>
      </c>
      <c r="D7" s="62" t="s">
        <v>31</v>
      </c>
      <c r="E7"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7"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7" s="60">
        <v>1</v>
      </c>
      <c r="H7" s="60" t="str">
        <f>_xlfn.CONCAT(Libromaestro[[#This Row],[SIGLAS]],"-",Libromaestro[[#This Row],[T. DOC]],"-",Libromaestro[[#This Row],[CONSECUTIVO]])</f>
        <v>D-MA-1</v>
      </c>
      <c r="I7" s="70" t="s">
        <v>86</v>
      </c>
      <c r="J7" s="60">
        <v>1</v>
      </c>
      <c r="K7" s="64" t="str">
        <f>_xlfn.XLOOKUP(Libromaestro[[#This Row],[CODIGO DEL DOCUMENTO]],Arreglo_Binaps[Codigo Documento],Arreglo_Binaps[Estado],"No creado",0)</f>
        <v>Aprobado</v>
      </c>
      <c r="L7" s="66" t="str">
        <f>_xlfn.XLOOKUP(Libromaestro[[#This Row],[CODIGO DEL DOCUMENTO]],Arreglo_Binaps[Codigo Documento],Arreglo_Binaps[Fecha de creación],"",0,1)</f>
        <v>2025-07-15</v>
      </c>
      <c r="M7" s="65"/>
      <c r="N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O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P7" s="67">
        <f>_xlfn.LET(_xlpm.resultado,_xlfn.XLOOKUP(Libromaestro[[#This Row],[CODIGO DEL DOCUMENTO]],Arreglo_Binaps[Codigo Documento],Arreglo_Binaps[Fecha_Aprobacion],"",0,1),IF(_xlpm.resultado=0,"",_xlpm.resultado))</f>
        <v>46183</v>
      </c>
      <c r="Q7" s="172"/>
      <c r="R7" s="71"/>
      <c r="S7" s="72"/>
      <c r="T7" s="61"/>
    </row>
    <row r="8" spans="1:20" s="1" customFormat="1" ht="33.75" customHeight="1" x14ac:dyDescent="0.2">
      <c r="A8" s="60" t="str">
        <f>IFERROR(VLOOKUP(Libromaestro[[#This Row],[MACROPROCESO]],Tabla1[],2,FALSE),"")</f>
        <v>Alumbrado Público</v>
      </c>
      <c r="B8" s="73" t="s">
        <v>7</v>
      </c>
      <c r="C8" s="64" t="s">
        <v>15</v>
      </c>
      <c r="D8" s="64" t="s">
        <v>10</v>
      </c>
      <c r="E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CA</v>
      </c>
      <c r="G8" s="64">
        <v>1</v>
      </c>
      <c r="H8" s="60" t="str">
        <f>_xlfn.CONCAT(Libromaestro[[#This Row],[SIGLAS]],"-",Libromaestro[[#This Row],[T. DOC]],"-",Libromaestro[[#This Row],[CONSECUTIVO]])</f>
        <v>A-CA-1</v>
      </c>
      <c r="I8" s="150" t="s">
        <v>645</v>
      </c>
      <c r="J8" s="64">
        <v>1</v>
      </c>
      <c r="K8" s="64" t="str">
        <f>_xlfn.XLOOKUP(Libromaestro[[#This Row],[CODIGO DEL DOCUMENTO]],Arreglo_Binaps[Codigo Documento],Arreglo_Binaps[Estado],"No creado",0)</f>
        <v>Aprobado</v>
      </c>
      <c r="L8" s="66" t="str">
        <f>_xlfn.XLOOKUP(Libromaestro[[#This Row],[CODIGO DEL DOCUMENTO]],Arreglo_Binaps[Codigo Documento],Arreglo_Binaps[Fecha de creación],"",0,1)</f>
        <v>2024-04-26</v>
      </c>
      <c r="M8" s="66"/>
      <c r="N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46503</v>
      </c>
      <c r="O8"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46503</v>
      </c>
      <c r="P8" s="74">
        <f>_xlfn.LET(_xlpm.resultado,_xlfn.XLOOKUP(Libromaestro[[#This Row],[CODIGO DEL DOCUMENTO]],Arreglo_Binaps[Codigo Documento],Arreglo_Binaps[Fecha_Aprobacion],"",0,1),IF(_xlpm.resultado=0,"",_xlpm.resultado))</f>
        <v>45925</v>
      </c>
      <c r="Q8" s="173"/>
      <c r="R8" s="75"/>
      <c r="S8" s="76" t="s">
        <v>28</v>
      </c>
      <c r="T8" s="73"/>
    </row>
    <row r="9" spans="1:20" ht="33.75" customHeight="1" x14ac:dyDescent="0.3">
      <c r="A9" s="60" t="str">
        <f>IFERROR(VLOOKUP(Libromaestro[[#This Row],[MACROPROCESO]],Tabla1[],2,FALSE),"")</f>
        <v>Alumbrado Público</v>
      </c>
      <c r="B9" s="73" t="s">
        <v>7</v>
      </c>
      <c r="C9" s="64" t="s">
        <v>15</v>
      </c>
      <c r="D9" s="64" t="s">
        <v>16</v>
      </c>
      <c r="E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9" s="64">
        <v>1</v>
      </c>
      <c r="H9" s="60" t="str">
        <f>_xlfn.CONCAT(Libromaestro[[#This Row],[SIGLAS]],"-",Libromaestro[[#This Row],[T. DOC]],"-",Libromaestro[[#This Row],[CONSECUTIVO]])</f>
        <v>A-FT-1</v>
      </c>
      <c r="I9" s="73" t="s">
        <v>88</v>
      </c>
      <c r="J9" s="64">
        <v>1</v>
      </c>
      <c r="K9" s="64" t="str">
        <f>_xlfn.XLOOKUP(Libromaestro[[#This Row],[CODIGO DEL DOCUMENTO]],Arreglo_Binaps[Codigo Documento],Arreglo_Binaps[Estado],"No creado",0)</f>
        <v>Aprobado</v>
      </c>
      <c r="L9" s="66" t="str">
        <f>_xlfn.XLOOKUP(Libromaestro[[#This Row],[CODIGO DEL DOCUMENTO]],Arreglo_Binaps[Codigo Documento],Arreglo_Binaps[Fecha de creación],"",0,1)</f>
        <v>2021-06-11</v>
      </c>
      <c r="M9" s="66">
        <v>45736</v>
      </c>
      <c r="N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46832</v>
      </c>
      <c r="O9"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46832</v>
      </c>
      <c r="P9" s="74">
        <f>_xlfn.LET(_xlpm.resultado,_xlfn.XLOOKUP(Libromaestro[[#This Row],[CODIGO DEL DOCUMENTO]],Arreglo_Binaps[Codigo Documento],Arreglo_Binaps[Fecha_Aprobacion],"",0,1),IF(_xlpm.resultado=0,"",_xlpm.resultado))</f>
        <v>45217</v>
      </c>
      <c r="Q9" s="174" t="s">
        <v>89</v>
      </c>
      <c r="R9" s="75"/>
      <c r="S9" s="76" t="s">
        <v>23</v>
      </c>
      <c r="T9" s="73" t="s">
        <v>90</v>
      </c>
    </row>
    <row r="10" spans="1:20" ht="33.75" customHeight="1" x14ac:dyDescent="0.3">
      <c r="A10" s="60" t="str">
        <f>IFERROR(VLOOKUP(Libromaestro[[#This Row],[MACROPROCESO]],Tabla1[],2,FALSE),"")</f>
        <v>Alumbrado Público</v>
      </c>
      <c r="B10" s="73" t="s">
        <v>7</v>
      </c>
      <c r="C10" s="64" t="s">
        <v>15</v>
      </c>
      <c r="D10" s="64" t="s">
        <v>22</v>
      </c>
      <c r="E1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10" s="64">
        <v>1</v>
      </c>
      <c r="H10" s="60" t="str">
        <f>_xlfn.CONCAT(Libromaestro[[#This Row],[SIGLAS]],"-",Libromaestro[[#This Row],[T. DOC]],"-",Libromaestro[[#This Row],[CONSECUTIVO]])</f>
        <v>A-GU-1</v>
      </c>
      <c r="I10" s="73" t="s">
        <v>91</v>
      </c>
      <c r="J10" s="64">
        <v>1</v>
      </c>
      <c r="K10" s="64" t="str">
        <f>_xlfn.XLOOKUP(Libromaestro[[#This Row],[CODIGO DEL DOCUMENTO]],Arreglo_Binaps[Codigo Documento],Arreglo_Binaps[Estado],"No creado",0)</f>
        <v>Aprobado</v>
      </c>
      <c r="L10" s="66" t="str">
        <f>_xlfn.XLOOKUP(Libromaestro[[#This Row],[CODIGO DEL DOCUMENTO]],Arreglo_Binaps[Codigo Documento],Arreglo_Binaps[Fecha de creación],"",0,1)</f>
        <v>2024-01-10</v>
      </c>
      <c r="M10" s="66"/>
      <c r="N1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46397</v>
      </c>
      <c r="O10"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46397</v>
      </c>
      <c r="P10" s="74">
        <f>_xlfn.LET(_xlpm.resultado,_xlfn.XLOOKUP(Libromaestro[[#This Row],[CODIGO DEL DOCUMENTO]],Arreglo_Binaps[Codigo Documento],Arreglo_Binaps[Fecha_Aprobacion],"",0,1),IF(_xlpm.resultado=0,"",_xlpm.resultado))</f>
        <v>45390</v>
      </c>
      <c r="Q10" s="173"/>
      <c r="R10" s="75"/>
      <c r="S10" s="76" t="s">
        <v>28</v>
      </c>
      <c r="T10" s="73"/>
    </row>
    <row r="11" spans="1:20" ht="33.75" customHeight="1" x14ac:dyDescent="0.3">
      <c r="A11" s="60" t="str">
        <f>IFERROR(VLOOKUP(Libromaestro[[#This Row],[MACROPROCESO]],Tabla1[],2,FALSE),"")</f>
        <v>Alumbrado Público</v>
      </c>
      <c r="B11" s="73" t="s">
        <v>7</v>
      </c>
      <c r="C11" s="64" t="s">
        <v>52</v>
      </c>
      <c r="D11" s="64" t="s">
        <v>27</v>
      </c>
      <c r="E1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1" s="64">
        <v>1</v>
      </c>
      <c r="H11" s="60" t="str">
        <f>_xlfn.CONCAT(Libromaestro[[#This Row],[SIGLAS]],"-",Libromaestro[[#This Row],[T. DOC]],"-",Libromaestro[[#This Row],[CONSECUTIVO]])</f>
        <v>A-IN-1</v>
      </c>
      <c r="I11" s="73" t="s">
        <v>92</v>
      </c>
      <c r="J11" s="64">
        <v>1</v>
      </c>
      <c r="K11" s="64" t="str">
        <f>_xlfn.XLOOKUP(Libromaestro[[#This Row],[CODIGO DEL DOCUMENTO]],Arreglo_Binaps[Codigo Documento],Arreglo_Binaps[Estado],"No creado",0)</f>
        <v>Aprobado</v>
      </c>
      <c r="L11" s="66" t="str">
        <f>_xlfn.XLOOKUP(Libromaestro[[#This Row],[CODIGO DEL DOCUMENTO]],Arreglo_Binaps[Codigo Documento],Arreglo_Binaps[Fecha de creación],"",0,1)</f>
        <v>2024-02-29</v>
      </c>
      <c r="M11" s="66"/>
      <c r="N1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46447</v>
      </c>
      <c r="O11"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46447</v>
      </c>
      <c r="P11" s="74">
        <f>_xlfn.LET(_xlpm.resultado,_xlfn.XLOOKUP(Libromaestro[[#This Row],[CODIGO DEL DOCUMENTO]],Arreglo_Binaps[Codigo Documento],Arreglo_Binaps[Fecha_Aprobacion],"",0,1),IF(_xlpm.resultado=0,"",_xlpm.resultado))</f>
        <v>45477</v>
      </c>
      <c r="Q11" s="173"/>
      <c r="R11" s="75"/>
      <c r="S11" s="76"/>
      <c r="T11" s="73"/>
    </row>
    <row r="12" spans="1:20" ht="33.75" customHeight="1" x14ac:dyDescent="0.3">
      <c r="A12" s="60" t="str">
        <f>IFERROR(VLOOKUP(Libromaestro[[#This Row],[MACROPROCESO]],Tabla1[],2,FALSE),"")</f>
        <v>Alumbrado Público</v>
      </c>
      <c r="B12" s="73" t="s">
        <v>7</v>
      </c>
      <c r="C12" s="64" t="s">
        <v>61</v>
      </c>
      <c r="D12" s="64" t="s">
        <v>31</v>
      </c>
      <c r="E1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12" s="64">
        <v>1</v>
      </c>
      <c r="H12" s="60" t="str">
        <f>_xlfn.CONCAT(Libromaestro[[#This Row],[SIGLAS]],"-",Libromaestro[[#This Row],[T. DOC]],"-",Libromaestro[[#This Row],[CONSECUTIVO]])</f>
        <v>A-MA-1</v>
      </c>
      <c r="I12" s="73" t="s">
        <v>93</v>
      </c>
      <c r="J12" s="64">
        <v>1</v>
      </c>
      <c r="K12" s="64" t="str">
        <f>_xlfn.XLOOKUP(Libromaestro[[#This Row],[CODIGO DEL DOCUMENTO]],Arreglo_Binaps[Codigo Documento],Arreglo_Binaps[Estado],"No creado",0)</f>
        <v>Aprobado</v>
      </c>
      <c r="L12" s="66" t="str">
        <f>_xlfn.XLOOKUP(Libromaestro[[#This Row],[CODIGO DEL DOCUMENTO]],Arreglo_Binaps[Codigo Documento],Arreglo_Binaps[Fecha de creación],"",0,1)</f>
        <v>2023-01-30</v>
      </c>
      <c r="M12" s="66"/>
      <c r="N1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46052</v>
      </c>
      <c r="O12"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46052</v>
      </c>
      <c r="P12" s="74">
        <f>_xlfn.LET(_xlpm.resultado,_xlfn.XLOOKUP(Libromaestro[[#This Row],[CODIGO DEL DOCUMENTO]],Arreglo_Binaps[Codigo Documento],Arreglo_Binaps[Fecha_Aprobacion],"",0,1),IF(_xlpm.resultado=0,"",_xlpm.resultado))</f>
        <v>44956</v>
      </c>
      <c r="Q12" s="175" t="s">
        <v>94</v>
      </c>
      <c r="R12" s="75"/>
      <c r="S12" s="76" t="s">
        <v>28</v>
      </c>
      <c r="T12" s="73"/>
    </row>
    <row r="13" spans="1:20" ht="33.75" customHeight="1" x14ac:dyDescent="0.3">
      <c r="A13" s="60" t="str">
        <f>IFERROR(VLOOKUP(Libromaestro[[#This Row],[MACROPROCESO]],Tabla1[],2,FALSE),"")</f>
        <v>Alumbrado Público</v>
      </c>
      <c r="B13" s="73" t="s">
        <v>7</v>
      </c>
      <c r="C13" s="64" t="s">
        <v>56</v>
      </c>
      <c r="D13" s="64" t="s">
        <v>37</v>
      </c>
      <c r="E1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3" s="7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13" s="64">
        <v>1</v>
      </c>
      <c r="H13" s="60" t="str">
        <f>_xlfn.CONCAT(Libromaestro[[#This Row],[SIGLAS]],"-",Libromaestro[[#This Row],[T. DOC]],"-",Libromaestro[[#This Row],[CONSECUTIVO]])</f>
        <v>A-PO-1</v>
      </c>
      <c r="I13" s="73" t="s">
        <v>95</v>
      </c>
      <c r="J13" s="64">
        <v>1</v>
      </c>
      <c r="K13" s="64" t="str">
        <f>_xlfn.XLOOKUP(Libromaestro[[#This Row],[CODIGO DEL DOCUMENTO]],Arreglo_Binaps[Codigo Documento],Arreglo_Binaps[Estado],"No creado",0)</f>
        <v>Aprobado</v>
      </c>
      <c r="L13" s="66" t="str">
        <f>_xlfn.XLOOKUP(Libromaestro[[#This Row],[CODIGO DEL DOCUMENTO]],Arreglo_Binaps[Codigo Documento],Arreglo_Binaps[Fecha de creación],"",0,1)</f>
        <v>2023-12-06</v>
      </c>
      <c r="M13" s="66"/>
      <c r="N1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46362</v>
      </c>
      <c r="O13"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46362</v>
      </c>
      <c r="P13" s="74">
        <f>_xlfn.LET(_xlpm.resultado,_xlfn.XLOOKUP(Libromaestro[[#This Row],[CODIGO DEL DOCUMENTO]],Arreglo_Binaps[Codigo Documento],Arreglo_Binaps[Fecha_Aprobacion],"",0,1),IF(_xlpm.resultado=0,"",_xlpm.resultado))</f>
        <v>45300</v>
      </c>
      <c r="Q13" s="173"/>
      <c r="R13" s="75"/>
      <c r="S13" s="76"/>
      <c r="T13" s="73"/>
    </row>
    <row r="14" spans="1:20" ht="33.75" customHeight="1" x14ac:dyDescent="0.3">
      <c r="A14" s="60" t="str">
        <f>IFERROR(VLOOKUP(Libromaestro[[#This Row],[MACROPROCESO]],Tabla1[],2,FALSE),"")</f>
        <v>Alumbrado Público</v>
      </c>
      <c r="B14" s="73" t="s">
        <v>7</v>
      </c>
      <c r="C14" s="64" t="s">
        <v>61</v>
      </c>
      <c r="D14" s="64" t="s">
        <v>16</v>
      </c>
      <c r="E1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4" s="64">
        <v>23</v>
      </c>
      <c r="H14" s="60" t="str">
        <f>_xlfn.CONCAT(Libromaestro[[#This Row],[SIGLAS]],"-",Libromaestro[[#This Row],[T. DOC]],"-",Libromaestro[[#This Row],[CONSECUTIVO]])</f>
        <v>A-FT-23</v>
      </c>
      <c r="I14" s="73" t="s">
        <v>96</v>
      </c>
      <c r="J14" s="64">
        <v>1</v>
      </c>
      <c r="K14" s="64" t="str">
        <f>_xlfn.XLOOKUP(Libromaestro[[#This Row],[CODIGO DEL DOCUMENTO]],Arreglo_Binaps[Codigo Documento],Arreglo_Binaps[Estado],"No creado",0)</f>
        <v>No creado</v>
      </c>
      <c r="L14" s="66" t="str">
        <f>_xlfn.XLOOKUP(Libromaestro[[#This Row],[CODIGO DEL DOCUMENTO]],Arreglo_Binaps[Codigo Documento],Arreglo_Binaps[Fecha de creación],"",0,1)</f>
        <v/>
      </c>
      <c r="M14" s="66"/>
      <c r="N14"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4"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4" s="74" t="str">
        <f>_xlfn.LET(_xlpm.resultado,_xlfn.XLOOKUP(Libromaestro[[#This Row],[CODIGO DEL DOCUMENTO]],Arreglo_Binaps[Codigo Documento],Arreglo_Binaps[Fecha_Aprobacion],"",0,1),IF(_xlpm.resultado=0,"",_xlpm.resultado))</f>
        <v/>
      </c>
      <c r="Q14" s="173"/>
      <c r="R14" s="75"/>
      <c r="S14" s="76"/>
      <c r="T14" s="73"/>
    </row>
    <row r="15" spans="1:20" ht="33.75" customHeight="1" x14ac:dyDescent="0.3">
      <c r="A15" s="60" t="str">
        <f>IFERROR(VLOOKUP(Libromaestro[[#This Row],[MACROPROCESO]],Tabla1[],2,FALSE),"")</f>
        <v>Alumbrado Público</v>
      </c>
      <c r="B15" s="73" t="s">
        <v>7</v>
      </c>
      <c r="C15" s="64" t="s">
        <v>15</v>
      </c>
      <c r="D15" s="64" t="s">
        <v>40</v>
      </c>
      <c r="E1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PT</v>
      </c>
      <c r="G15" s="64">
        <v>1</v>
      </c>
      <c r="H15" s="60" t="str">
        <f>_xlfn.CONCAT(Libromaestro[[#This Row],[SIGLAS]],"-",Libromaestro[[#This Row],[T. DOC]],"-",Libromaestro[[#This Row],[CONSECUTIVO]])</f>
        <v>A-PT-1</v>
      </c>
      <c r="I15" s="73" t="s">
        <v>97</v>
      </c>
      <c r="J15" s="64">
        <v>1</v>
      </c>
      <c r="K15" s="64" t="str">
        <f>_xlfn.XLOOKUP(Libromaestro[[#This Row],[CODIGO DEL DOCUMENTO]],Arreglo_Binaps[Codigo Documento],Arreglo_Binaps[Estado],"No creado",0)</f>
        <v>Aprobado</v>
      </c>
      <c r="L15" s="66" t="str">
        <f>_xlfn.XLOOKUP(Libromaestro[[#This Row],[CODIGO DEL DOCUMENTO]],Arreglo_Binaps[Codigo Documento],Arreglo_Binaps[Fecha de creación],"",0,1)</f>
        <v>2024-01-31</v>
      </c>
      <c r="M15" s="66"/>
      <c r="N1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46418</v>
      </c>
      <c r="O15"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46418</v>
      </c>
      <c r="P15" s="74">
        <f>_xlfn.LET(_xlpm.resultado,_xlfn.XLOOKUP(Libromaestro[[#This Row],[CODIGO DEL DOCUMENTO]],Arreglo_Binaps[Codigo Documento],Arreglo_Binaps[Fecha_Aprobacion],"",0,1),IF(_xlpm.resultado=0,"",_xlpm.resultado))</f>
        <v>45390</v>
      </c>
      <c r="Q15" s="173"/>
      <c r="R15" s="75"/>
      <c r="S15" s="76" t="s">
        <v>23</v>
      </c>
      <c r="T15" s="73"/>
    </row>
    <row r="16" spans="1:20" ht="33.75" customHeight="1" x14ac:dyDescent="0.3">
      <c r="A16" s="60" t="str">
        <f>IFERROR(VLOOKUP(Libromaestro[[#This Row],[MACROPROCESO]],Tabla1[],2,FALSE),"")</f>
        <v>Corportativa</v>
      </c>
      <c r="B16" s="73" t="s">
        <v>49</v>
      </c>
      <c r="C16" s="64" t="s">
        <v>2254</v>
      </c>
      <c r="D16" s="64" t="s">
        <v>16</v>
      </c>
      <c r="E1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1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6" s="76">
        <v>1</v>
      </c>
      <c r="H16" s="60" t="str">
        <f>_xlfn.CONCAT(Libromaestro[[#This Row],[SIGLAS]],"-",Libromaestro[[#This Row],[T. DOC]],"-",Libromaestro[[#This Row],[CONSECUTIVO]])</f>
        <v>T-FT-1</v>
      </c>
      <c r="I16" s="73" t="s">
        <v>98</v>
      </c>
      <c r="J16" s="64">
        <v>6</v>
      </c>
      <c r="K16" s="64" t="str">
        <f>_xlfn.XLOOKUP(Libromaestro[[#This Row],[CODIGO DEL DOCUMENTO]],Arreglo_Binaps[Codigo Documento],Arreglo_Binaps[Estado],"No creado",0)</f>
        <v>Aprobado</v>
      </c>
      <c r="L16" s="66" t="str">
        <f>_xlfn.XLOOKUP(Libromaestro[[#This Row],[CODIGO DEL DOCUMENTO]],Arreglo_Binaps[Codigo Documento],Arreglo_Binaps[Fecha de creación],"",0,1)</f>
        <v>2023-10-23</v>
      </c>
      <c r="M16" s="66">
        <v>45834</v>
      </c>
      <c r="N1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46930</v>
      </c>
      <c r="O16"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46930</v>
      </c>
      <c r="P16" s="74">
        <f>_xlfn.LET(_xlpm.resultado,_xlfn.XLOOKUP(Libromaestro[[#This Row],[CODIGO DEL DOCUMENTO]],Arreglo_Binaps[Codigo Documento],Arreglo_Binaps[Fecha_Aprobacion],"",0,1),IF(_xlpm.resultado=0,"",_xlpm.resultado))</f>
        <v>45355</v>
      </c>
      <c r="Q16" s="176"/>
      <c r="R16" s="76"/>
      <c r="S16" s="78"/>
      <c r="T16" s="79"/>
    </row>
    <row r="17" spans="1:20" ht="33.75" customHeight="1" x14ac:dyDescent="0.3">
      <c r="A17" s="60" t="str">
        <f>IFERROR(VLOOKUP(Libromaestro[[#This Row],[MACROPROCESO]],Tabla1[],2,FALSE),"")</f>
        <v>Corportativa</v>
      </c>
      <c r="B17" s="73" t="s">
        <v>49</v>
      </c>
      <c r="C17" s="64" t="s">
        <v>2254</v>
      </c>
      <c r="D17" s="64" t="s">
        <v>16</v>
      </c>
      <c r="E1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1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7" s="76">
        <v>2</v>
      </c>
      <c r="H17" s="60" t="str">
        <f>_xlfn.CONCAT(Libromaestro[[#This Row],[SIGLAS]],"-",Libromaestro[[#This Row],[T. DOC]],"-",Libromaestro[[#This Row],[CONSECUTIVO]])</f>
        <v>T-FT-2</v>
      </c>
      <c r="I17" s="73" t="s">
        <v>99</v>
      </c>
      <c r="J17" s="64">
        <v>3</v>
      </c>
      <c r="K17" s="64" t="str">
        <f>_xlfn.XLOOKUP(Libromaestro[[#This Row],[CODIGO DEL DOCUMENTO]],Arreglo_Binaps[Codigo Documento],Arreglo_Binaps[Estado],"No creado",0)</f>
        <v>Aprobado</v>
      </c>
      <c r="L17" s="66" t="str">
        <f>_xlfn.XLOOKUP(Libromaestro[[#This Row],[CODIGO DEL DOCUMENTO]],Arreglo_Binaps[Codigo Documento],Arreglo_Binaps[Fecha de creación],"",0,1)</f>
        <v>2023-10-23</v>
      </c>
      <c r="M17" s="66">
        <v>45222</v>
      </c>
      <c r="N1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46318</v>
      </c>
      <c r="O17"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46318</v>
      </c>
      <c r="P17" s="74">
        <f>_xlfn.LET(_xlpm.resultado,_xlfn.XLOOKUP(Libromaestro[[#This Row],[CODIGO DEL DOCUMENTO]],Arreglo_Binaps[Codigo Documento],Arreglo_Binaps[Fecha_Aprobacion],"",0,1),IF(_xlpm.resultado=0,"",_xlpm.resultado))</f>
        <v>45355</v>
      </c>
      <c r="Q17" s="176"/>
      <c r="R17" s="76"/>
      <c r="S17" s="78"/>
      <c r="T17" s="79"/>
    </row>
    <row r="18" spans="1:20" ht="33.75" customHeight="1" x14ac:dyDescent="0.3">
      <c r="A18" s="60" t="str">
        <f>IFERROR(VLOOKUP(Libromaestro[[#This Row],[MACROPROCESO]],Tabla1[],2,FALSE),"")</f>
        <v>Corportativa</v>
      </c>
      <c r="B18" s="73" t="s">
        <v>49</v>
      </c>
      <c r="C18" s="64" t="s">
        <v>2254</v>
      </c>
      <c r="D18" s="64" t="s">
        <v>22</v>
      </c>
      <c r="E1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1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18" s="76">
        <v>1</v>
      </c>
      <c r="H18" s="60" t="str">
        <f>_xlfn.CONCAT(Libromaestro[[#This Row],[SIGLAS]],"-",Libromaestro[[#This Row],[T. DOC]],"-",Libromaestro[[#This Row],[CONSECUTIVO]])</f>
        <v>T-GU-1</v>
      </c>
      <c r="I18" s="73" t="s">
        <v>100</v>
      </c>
      <c r="J18" s="64">
        <v>1</v>
      </c>
      <c r="K18" s="64" t="str">
        <f>_xlfn.XLOOKUP(Libromaestro[[#This Row],[CODIGO DEL DOCUMENTO]],Arreglo_Binaps[Codigo Documento],Arreglo_Binaps[Estado],"No creado",0)</f>
        <v>No creado</v>
      </c>
      <c r="L18" s="66" t="str">
        <f>_xlfn.XLOOKUP(Libromaestro[[#This Row],[CODIGO DEL DOCUMENTO]],Arreglo_Binaps[Codigo Documento],Arreglo_Binaps[Fecha de creación],"",0,1)</f>
        <v/>
      </c>
      <c r="M18" s="66"/>
      <c r="N18"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8"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8" s="74" t="str">
        <f>_xlfn.LET(_xlpm.resultado,_xlfn.XLOOKUP(Libromaestro[[#This Row],[CODIGO DEL DOCUMENTO]],Arreglo_Binaps[Codigo Documento],Arreglo_Binaps[Fecha_Aprobacion],"",0,1),IF(_xlpm.resultado=0,"",_xlpm.resultado))</f>
        <v/>
      </c>
      <c r="Q18" s="176"/>
      <c r="R18" s="76"/>
      <c r="S18" s="78"/>
      <c r="T18" s="79"/>
    </row>
    <row r="19" spans="1:20" ht="33.75" customHeight="1" x14ac:dyDescent="0.3">
      <c r="A19" s="60" t="str">
        <f>IFERROR(VLOOKUP(Libromaestro[[#This Row],[MACROPROCESO]],Tabla1[],2,FALSE),"")</f>
        <v>Corportativa</v>
      </c>
      <c r="B19" s="73" t="s">
        <v>49</v>
      </c>
      <c r="C19" s="64" t="s">
        <v>2254</v>
      </c>
      <c r="D19" s="64" t="s">
        <v>31</v>
      </c>
      <c r="E1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1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19" s="76">
        <v>1</v>
      </c>
      <c r="H19" s="60" t="str">
        <f>_xlfn.CONCAT(Libromaestro[[#This Row],[SIGLAS]],"-",Libromaestro[[#This Row],[T. DOC]],"-",Libromaestro[[#This Row],[CONSECUTIVO]])</f>
        <v>T-MA-1</v>
      </c>
      <c r="I19" s="73" t="s">
        <v>101</v>
      </c>
      <c r="J19" s="64">
        <v>6</v>
      </c>
      <c r="K19" s="64" t="str">
        <f>_xlfn.XLOOKUP(Libromaestro[[#This Row],[CODIGO DEL DOCUMENTO]],Arreglo_Binaps[Codigo Documento],Arreglo_Binaps[Estado],"No creado",0)</f>
        <v>Aprobado</v>
      </c>
      <c r="L19" s="66" t="str">
        <f>_xlfn.XLOOKUP(Libromaestro[[#This Row],[CODIGO DEL DOCUMENTO]],Arreglo_Binaps[Codigo Documento],Arreglo_Binaps[Fecha de creación],"",0,1)</f>
        <v>2021-04-21</v>
      </c>
      <c r="M19" s="66">
        <v>45834</v>
      </c>
      <c r="N1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46930</v>
      </c>
      <c r="O19"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46930</v>
      </c>
      <c r="P19" s="74">
        <f>_xlfn.LET(_xlpm.resultado,_xlfn.XLOOKUP(Libromaestro[[#This Row],[CODIGO DEL DOCUMENTO]],Arreglo_Binaps[Codigo Documento],Arreglo_Binaps[Fecha_Aprobacion],"",0,1),IF(_xlpm.resultado=0,"",_xlpm.resultado))</f>
        <v>46167</v>
      </c>
      <c r="Q19" s="176"/>
      <c r="R19" s="76"/>
      <c r="S19" s="78" t="s">
        <v>28</v>
      </c>
      <c r="T19" s="79"/>
    </row>
    <row r="20" spans="1:20" ht="33.75" customHeight="1" x14ac:dyDescent="0.3">
      <c r="A20" s="60" t="str">
        <f>IFERROR(VLOOKUP(Libromaestro[[#This Row],[MACROPROCESO]],Tabla1[],2,FALSE),"")</f>
        <v>Electroingeniería</v>
      </c>
      <c r="B20" s="73" t="s">
        <v>29</v>
      </c>
      <c r="C20" s="64" t="s">
        <v>2255</v>
      </c>
      <c r="D20" s="64" t="s">
        <v>10</v>
      </c>
      <c r="E2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2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CA</v>
      </c>
      <c r="G20" s="64">
        <v>1</v>
      </c>
      <c r="H20" s="60" t="str">
        <f>_xlfn.CONCAT(Libromaestro[[#This Row],[SIGLAS]],"-",Libromaestro[[#This Row],[T. DOC]],"-",Libromaestro[[#This Row],[CONSECUTIVO]])</f>
        <v>L-CA-1</v>
      </c>
      <c r="I20" s="150" t="s">
        <v>645</v>
      </c>
      <c r="J20" s="64">
        <v>1</v>
      </c>
      <c r="K20" s="64" t="str">
        <f>_xlfn.XLOOKUP(Libromaestro[[#This Row],[CODIGO DEL DOCUMENTO]],Arreglo_Binaps[Codigo Documento],Arreglo_Binaps[Estado],"No creado",0)</f>
        <v>Rechazado</v>
      </c>
      <c r="L20" s="66" t="str">
        <f>_xlfn.XLOOKUP(Libromaestro[[#This Row],[CODIGO DEL DOCUMENTO]],Arreglo_Binaps[Codigo Documento],Arreglo_Binaps[Fecha de creación],"",0,1)</f>
        <v>2024-04-24</v>
      </c>
      <c r="M20" s="66"/>
      <c r="N2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46501</v>
      </c>
      <c r="O20"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46501</v>
      </c>
      <c r="P20" s="74" t="str">
        <f>_xlfn.LET(_xlpm.resultado,_xlfn.XLOOKUP(Libromaestro[[#This Row],[CODIGO DEL DOCUMENTO]],Arreglo_Binaps[Codigo Documento],Arreglo_Binaps[Fecha_Aprobacion],"",0,1),IF(_xlpm.resultado=0,"",_xlpm.resultado))</f>
        <v/>
      </c>
      <c r="Q20" s="173"/>
      <c r="R20" s="75"/>
      <c r="S20" s="76" t="s">
        <v>28</v>
      </c>
      <c r="T20" s="73"/>
    </row>
    <row r="21" spans="1:20" ht="33.75" customHeight="1" x14ac:dyDescent="0.3">
      <c r="A21" s="60" t="str">
        <f>IFERROR(VLOOKUP(Libromaestro[[#This Row],[MACROPROCESO]],Tabla1[],2,FALSE),"")</f>
        <v>Electroingeniería</v>
      </c>
      <c r="B21" s="73" t="s">
        <v>29</v>
      </c>
      <c r="C21" s="64" t="s">
        <v>2255</v>
      </c>
      <c r="D21" s="64" t="s">
        <v>16</v>
      </c>
      <c r="E2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2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1" s="64">
        <v>1</v>
      </c>
      <c r="H21" s="60" t="str">
        <f>_xlfn.CONCAT(Libromaestro[[#This Row],[SIGLAS]],"-",Libromaestro[[#This Row],[T. DOC]],"-",Libromaestro[[#This Row],[CONSECUTIVO]])</f>
        <v>L-FT-1</v>
      </c>
      <c r="I21" s="73" t="s">
        <v>102</v>
      </c>
      <c r="J21" s="64">
        <v>2</v>
      </c>
      <c r="K21" s="64" t="str">
        <f>_xlfn.XLOOKUP(Libromaestro[[#This Row],[CODIGO DEL DOCUMENTO]],Arreglo_Binaps[Codigo Documento],Arreglo_Binaps[Estado],"No creado",0)</f>
        <v>Aprobado</v>
      </c>
      <c r="L21" s="66" t="str">
        <f>_xlfn.XLOOKUP(Libromaestro[[#This Row],[CODIGO DEL DOCUMENTO]],Arreglo_Binaps[Codigo Documento],Arreglo_Binaps[Fecha de creación],"",0,1)</f>
        <v>2022-06-13</v>
      </c>
      <c r="M21" s="66">
        <v>45754</v>
      </c>
      <c r="N2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46850</v>
      </c>
      <c r="O21"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46850</v>
      </c>
      <c r="P21" s="74">
        <f>_xlfn.LET(_xlpm.resultado,_xlfn.XLOOKUP(Libromaestro[[#This Row],[CODIGO DEL DOCUMENTO]],Arreglo_Binaps[Codigo Documento],Arreglo_Binaps[Fecha_Aprobacion],"",0,1),IF(_xlpm.resultado=0,"",_xlpm.resultado))</f>
        <v>45754</v>
      </c>
      <c r="Q21" s="173"/>
      <c r="R21" s="75"/>
      <c r="S21" s="76" t="s">
        <v>11</v>
      </c>
      <c r="T21" s="73"/>
    </row>
    <row r="22" spans="1:20" ht="33.75" customHeight="1" x14ac:dyDescent="0.3">
      <c r="A22" s="60" t="str">
        <f>IFERROR(VLOOKUP(Libromaestro[[#This Row],[MACROPROCESO]],Tabla1[],2,FALSE),"")</f>
        <v>Electroingeniería</v>
      </c>
      <c r="B22" s="73" t="s">
        <v>29</v>
      </c>
      <c r="C22" s="64" t="s">
        <v>2255</v>
      </c>
      <c r="D22" s="64" t="s">
        <v>16</v>
      </c>
      <c r="E2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2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2" s="64">
        <v>13</v>
      </c>
      <c r="H22" s="60" t="str">
        <f>_xlfn.CONCAT(Libromaestro[[#This Row],[SIGLAS]],"-",Libromaestro[[#This Row],[T. DOC]],"-",Libromaestro[[#This Row],[CONSECUTIVO]])</f>
        <v>L-FT-13</v>
      </c>
      <c r="I22" s="73" t="s">
        <v>103</v>
      </c>
      <c r="J22" s="64">
        <v>1</v>
      </c>
      <c r="K22" s="64" t="str">
        <f>_xlfn.XLOOKUP(Libromaestro[[#This Row],[CODIGO DEL DOCUMENTO]],Arreglo_Binaps[Codigo Documento],Arreglo_Binaps[Estado],"No creado",0)</f>
        <v>No creado</v>
      </c>
      <c r="L22" s="66" t="str">
        <f>_xlfn.XLOOKUP(Libromaestro[[#This Row],[CODIGO DEL DOCUMENTO]],Arreglo_Binaps[Codigo Documento],Arreglo_Binaps[Fecha de creación],"",0,1)</f>
        <v/>
      </c>
      <c r="M22" s="66"/>
      <c r="N22"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2"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2" s="74" t="str">
        <f>_xlfn.LET(_xlpm.resultado,_xlfn.XLOOKUP(Libromaestro[[#This Row],[CODIGO DEL DOCUMENTO]],Arreglo_Binaps[Codigo Documento],Arreglo_Binaps[Fecha_Aprobacion],"",0,1),IF(_xlpm.resultado=0,"",_xlpm.resultado))</f>
        <v/>
      </c>
      <c r="Q22" s="173"/>
      <c r="R22" s="75"/>
      <c r="S22" s="76" t="s">
        <v>28</v>
      </c>
      <c r="T22" s="73"/>
    </row>
    <row r="23" spans="1:20" ht="33.75" customHeight="1" x14ac:dyDescent="0.3">
      <c r="A23" s="60" t="str">
        <f>IFERROR(VLOOKUP(Libromaestro[[#This Row],[MACROPROCESO]],Tabla1[],2,FALSE),"")</f>
        <v>Electroingeniería</v>
      </c>
      <c r="B23" s="73" t="s">
        <v>29</v>
      </c>
      <c r="C23" s="64" t="s">
        <v>2255</v>
      </c>
      <c r="D23" s="64" t="s">
        <v>16</v>
      </c>
      <c r="E2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2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3" s="64">
        <v>14</v>
      </c>
      <c r="H23" s="60" t="str">
        <f>_xlfn.CONCAT(Libromaestro[[#This Row],[SIGLAS]],"-",Libromaestro[[#This Row],[T. DOC]],"-",Libromaestro[[#This Row],[CONSECUTIVO]])</f>
        <v>L-FT-14</v>
      </c>
      <c r="I23" s="73" t="s">
        <v>104</v>
      </c>
      <c r="J23" s="64">
        <v>1</v>
      </c>
      <c r="K23" s="64" t="str">
        <f>_xlfn.XLOOKUP(Libromaestro[[#This Row],[CODIGO DEL DOCUMENTO]],Arreglo_Binaps[Codigo Documento],Arreglo_Binaps[Estado],"No creado",0)</f>
        <v>No creado</v>
      </c>
      <c r="L23" s="66" t="str">
        <f>_xlfn.XLOOKUP(Libromaestro[[#This Row],[CODIGO DEL DOCUMENTO]],Arreglo_Binaps[Codigo Documento],Arreglo_Binaps[Fecha de creación],"",0,1)</f>
        <v/>
      </c>
      <c r="M23" s="66"/>
      <c r="N23"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3"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3" s="74" t="str">
        <f>_xlfn.LET(_xlpm.resultado,_xlfn.XLOOKUP(Libromaestro[[#This Row],[CODIGO DEL DOCUMENTO]],Arreglo_Binaps[Codigo Documento],Arreglo_Binaps[Fecha_Aprobacion],"",0,1),IF(_xlpm.resultado=0,"",_xlpm.resultado))</f>
        <v/>
      </c>
      <c r="Q23" s="173"/>
      <c r="R23" s="75"/>
      <c r="S23" s="76"/>
      <c r="T23" s="73"/>
    </row>
    <row r="24" spans="1:20" ht="33.75" customHeight="1" x14ac:dyDescent="0.3">
      <c r="A24" s="60" t="str">
        <f>IFERROR(VLOOKUP(Libromaestro[[#This Row],[MACROPROCESO]],Tabla1[],2,FALSE),"")</f>
        <v>Electroingeniería</v>
      </c>
      <c r="B24" s="73" t="s">
        <v>29</v>
      </c>
      <c r="C24" s="64" t="s">
        <v>2255</v>
      </c>
      <c r="D24" s="64" t="s">
        <v>48</v>
      </c>
      <c r="E2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2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PG</v>
      </c>
      <c r="G24" s="64">
        <v>1</v>
      </c>
      <c r="H24" s="60" t="str">
        <f>_xlfn.CONCAT(Libromaestro[[#This Row],[SIGLAS]],"-",Libromaestro[[#This Row],[T. DOC]],"-",Libromaestro[[#This Row],[CONSECUTIVO]])</f>
        <v>L-PG-1</v>
      </c>
      <c r="I24" s="73" t="s">
        <v>105</v>
      </c>
      <c r="J24" s="64">
        <v>1</v>
      </c>
      <c r="K24" s="64" t="str">
        <f>_xlfn.XLOOKUP(Libromaestro[[#This Row],[CODIGO DEL DOCUMENTO]],Arreglo_Binaps[Codigo Documento],Arreglo_Binaps[Estado],"No creado",0)</f>
        <v>Aprobado</v>
      </c>
      <c r="L24" s="66" t="str">
        <f>_xlfn.XLOOKUP(Libromaestro[[#This Row],[CODIGO DEL DOCUMENTO]],Arreglo_Binaps[Codigo Documento],Arreglo_Binaps[Fecha de creación],"",0,1)</f>
        <v>2023-11-28</v>
      </c>
      <c r="M24" s="66">
        <v>45737</v>
      </c>
      <c r="N2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46833</v>
      </c>
      <c r="O24"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46833</v>
      </c>
      <c r="P24" s="74">
        <f>_xlfn.LET(_xlpm.resultado,_xlfn.XLOOKUP(Libromaestro[[#This Row],[CODIGO DEL DOCUMENTO]],Arreglo_Binaps[Codigo Documento],Arreglo_Binaps[Fecha_Aprobacion],"",0,1),IF(_xlpm.resultado=0,"",_xlpm.resultado))</f>
        <v>46091</v>
      </c>
      <c r="Q24" s="173"/>
      <c r="R24" s="75"/>
      <c r="S24" s="76"/>
      <c r="T24" s="73"/>
    </row>
    <row r="25" spans="1:20" ht="33.75" customHeight="1" x14ac:dyDescent="0.3">
      <c r="A25" s="60" t="str">
        <f>IFERROR(VLOOKUP(Libromaestro[[#This Row],[MACROPROCESO]],Tabla1[],2,FALSE),"")</f>
        <v>Electroingeniería</v>
      </c>
      <c r="B25" s="73" t="s">
        <v>29</v>
      </c>
      <c r="C25" s="64" t="s">
        <v>2255</v>
      </c>
      <c r="D25" s="64" t="s">
        <v>37</v>
      </c>
      <c r="E2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2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25" s="64">
        <v>1</v>
      </c>
      <c r="H25" s="60" t="str">
        <f>_xlfn.CONCAT(Libromaestro[[#This Row],[SIGLAS]],"-",Libromaestro[[#This Row],[T. DOC]],"-",Libromaestro[[#This Row],[CONSECUTIVO]])</f>
        <v>L-PO-1</v>
      </c>
      <c r="I25" s="73" t="s">
        <v>106</v>
      </c>
      <c r="J25" s="64">
        <v>2</v>
      </c>
      <c r="K25" s="64" t="str">
        <f>_xlfn.XLOOKUP(Libromaestro[[#This Row],[CODIGO DEL DOCUMENTO]],Arreglo_Binaps[Codigo Documento],Arreglo_Binaps[Estado],"No creado",0)</f>
        <v>Aprobado</v>
      </c>
      <c r="L25" s="66" t="str">
        <f>_xlfn.XLOOKUP(Libromaestro[[#This Row],[CODIGO DEL DOCUMENTO]],Arreglo_Binaps[Codigo Documento],Arreglo_Binaps[Fecha de creación],"",0,1)</f>
        <v>2024-05-03</v>
      </c>
      <c r="M25" s="66">
        <v>45744</v>
      </c>
      <c r="N2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46840</v>
      </c>
      <c r="O25"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46840</v>
      </c>
      <c r="P25" s="74">
        <f>_xlfn.LET(_xlpm.resultado,_xlfn.XLOOKUP(Libromaestro[[#This Row],[CODIGO DEL DOCUMENTO]],Arreglo_Binaps[Codigo Documento],Arreglo_Binaps[Fecha_Aprobacion],"",0,1),IF(_xlpm.resultado=0,"",_xlpm.resultado))</f>
        <v>45744</v>
      </c>
      <c r="Q25" s="173"/>
      <c r="R25" s="75"/>
      <c r="S25" s="76"/>
      <c r="T25" s="73"/>
    </row>
    <row r="26" spans="1:20" ht="33.75" customHeight="1" x14ac:dyDescent="0.3">
      <c r="A26" s="60" t="str">
        <f>IFERROR(VLOOKUP(Libromaestro[[#This Row],[MACROPROCESO]],Tabla1[],2,FALSE),"")</f>
        <v>Electroingeniería</v>
      </c>
      <c r="B26" s="73" t="s">
        <v>29</v>
      </c>
      <c r="C26" s="64" t="s">
        <v>2255</v>
      </c>
      <c r="D26" s="64" t="s">
        <v>34</v>
      </c>
      <c r="E2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2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6" s="64">
        <v>1</v>
      </c>
      <c r="H26" s="60" t="str">
        <f>_xlfn.CONCAT(Libromaestro[[#This Row],[SIGLAS]],"-",Libromaestro[[#This Row],[T. DOC]],"-",Libromaestro[[#This Row],[CONSECUTIVO]])</f>
        <v>L-PR-1</v>
      </c>
      <c r="I26" s="73" t="s">
        <v>107</v>
      </c>
      <c r="J26" s="64">
        <v>2</v>
      </c>
      <c r="K26" s="64" t="str">
        <f>_xlfn.XLOOKUP(Libromaestro[[#This Row],[CODIGO DEL DOCUMENTO]],Arreglo_Binaps[Codigo Documento],Arreglo_Binaps[Estado],"No creado",0)</f>
        <v>Rechazado</v>
      </c>
      <c r="L26" s="66" t="str">
        <f>_xlfn.XLOOKUP(Libromaestro[[#This Row],[CODIGO DEL DOCUMENTO]],Arreglo_Binaps[Codigo Documento],Arreglo_Binaps[Fecha de creación],"",0,1)</f>
        <v>2022-06-13</v>
      </c>
      <c r="M26" s="66">
        <v>45448</v>
      </c>
      <c r="N2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46543</v>
      </c>
      <c r="O26"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46543</v>
      </c>
      <c r="P26" s="74" t="str">
        <f>_xlfn.LET(_xlpm.resultado,_xlfn.XLOOKUP(Libromaestro[[#This Row],[CODIGO DEL DOCUMENTO]],Arreglo_Binaps[Codigo Documento],Arreglo_Binaps[Fecha_Aprobacion],"",0,1),IF(_xlpm.resultado=0,"",_xlpm.resultado))</f>
        <v/>
      </c>
      <c r="Q26" s="173"/>
      <c r="R26" s="75"/>
      <c r="S26" s="76"/>
      <c r="T26" s="73"/>
    </row>
    <row r="27" spans="1:20" ht="33.75" customHeight="1" x14ac:dyDescent="0.3">
      <c r="A27" s="60" t="str">
        <f>IFERROR(VLOOKUP(Libromaestro[[#This Row],[MACROPROCESO]],Tabla1[],2,FALSE),"")</f>
        <v>Electroingeniería</v>
      </c>
      <c r="B27" s="73" t="s">
        <v>19</v>
      </c>
      <c r="C27" s="64" t="s">
        <v>43</v>
      </c>
      <c r="D27" s="64" t="s">
        <v>31</v>
      </c>
      <c r="E2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E</v>
      </c>
      <c r="F2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27" s="64">
        <v>1</v>
      </c>
      <c r="H27" s="60" t="str">
        <f>_xlfn.CONCAT(Libromaestro[[#This Row],[SIGLAS]],"-",Libromaestro[[#This Row],[T. DOC]],"-",Libromaestro[[#This Row],[CONSECUTIVO]])</f>
        <v>E-MA-1</v>
      </c>
      <c r="I27" s="73" t="s">
        <v>108</v>
      </c>
      <c r="J27" s="64">
        <v>1</v>
      </c>
      <c r="K27" s="64" t="str">
        <f>_xlfn.XLOOKUP(Libromaestro[[#This Row],[CODIGO DEL DOCUMENTO]],Arreglo_Binaps[Codigo Documento],Arreglo_Binaps[Estado],"No creado",0)</f>
        <v>Aprobado</v>
      </c>
      <c r="L27" s="66" t="str">
        <f>_xlfn.XLOOKUP(Libromaestro[[#This Row],[CODIGO DEL DOCUMENTO]],Arreglo_Binaps[Codigo Documento],Arreglo_Binaps[Fecha de creación],"",0,1)</f>
        <v>2026-04-13</v>
      </c>
      <c r="M27" s="66"/>
      <c r="N2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47221</v>
      </c>
      <c r="O27"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47221</v>
      </c>
      <c r="P27" s="74">
        <f>_xlfn.LET(_xlpm.resultado,_xlfn.XLOOKUP(Libromaestro[[#This Row],[CODIGO DEL DOCUMENTO]],Arreglo_Binaps[Codigo Documento],Arreglo_Binaps[Fecha_Aprobacion],"",0,1),IF(_xlpm.resultado=0,"",_xlpm.resultado))</f>
        <v>46125</v>
      </c>
      <c r="Q27" s="173"/>
      <c r="R27" s="75"/>
      <c r="S27" s="76"/>
      <c r="T27" s="73"/>
    </row>
    <row r="28" spans="1:20" ht="33.75" customHeight="1" x14ac:dyDescent="0.3">
      <c r="A28" s="60" t="str">
        <f>IFERROR(VLOOKUP(Libromaestro[[#This Row],[MACROPROCESO]],Tabla1[],2,FALSE),"")</f>
        <v>Electroingeniería</v>
      </c>
      <c r="B28" s="73" t="s">
        <v>19</v>
      </c>
      <c r="C28" s="64" t="s">
        <v>43</v>
      </c>
      <c r="D28" s="64" t="s">
        <v>37</v>
      </c>
      <c r="E2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E</v>
      </c>
      <c r="F2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28" s="64">
        <v>1</v>
      </c>
      <c r="H28" s="60" t="str">
        <f>_xlfn.CONCAT(Libromaestro[[#This Row],[SIGLAS]],"-",Libromaestro[[#This Row],[T. DOC]],"-",Libromaestro[[#This Row],[CONSECUTIVO]])</f>
        <v>E-PO-1</v>
      </c>
      <c r="I28" s="73" t="s">
        <v>109</v>
      </c>
      <c r="J28" s="64">
        <v>1</v>
      </c>
      <c r="K28" s="64" t="str">
        <f>_xlfn.XLOOKUP(Libromaestro[[#This Row],[CODIGO DEL DOCUMENTO]],Arreglo_Binaps[Codigo Documento],Arreglo_Binaps[Estado],"No creado",0)</f>
        <v>Aprobado</v>
      </c>
      <c r="L28" s="66" t="str">
        <f>_xlfn.XLOOKUP(Libromaestro[[#This Row],[CODIGO DEL DOCUMENTO]],Arreglo_Binaps[Codigo Documento],Arreglo_Binaps[Fecha de creación],"",0,1)</f>
        <v>2025-02-04</v>
      </c>
      <c r="M28" s="66">
        <v>45692</v>
      </c>
      <c r="N2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46787</v>
      </c>
      <c r="O28"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46787</v>
      </c>
      <c r="P28" s="74">
        <f>_xlfn.LET(_xlpm.resultado,_xlfn.XLOOKUP(Libromaestro[[#This Row],[CODIGO DEL DOCUMENTO]],Arreglo_Binaps[Codigo Documento],Arreglo_Binaps[Fecha_Aprobacion],"",0,1),IF(_xlpm.resultado=0,"",_xlpm.resultado))</f>
        <v>45751</v>
      </c>
      <c r="Q28" s="173"/>
      <c r="R28" s="75"/>
      <c r="S28" s="76"/>
      <c r="T28" s="73"/>
    </row>
    <row r="29" spans="1:20" ht="33.75" customHeight="1" x14ac:dyDescent="0.3">
      <c r="A29" s="60" t="str">
        <f>IFERROR(VLOOKUP(Libromaestro[[#This Row],[MACROPROCESO]],Tabla1[],2,FALSE),"")</f>
        <v>Corportativa</v>
      </c>
      <c r="B29" s="73" t="s">
        <v>24</v>
      </c>
      <c r="C29" s="64" t="s">
        <v>2252</v>
      </c>
      <c r="D29" s="64" t="s">
        <v>16</v>
      </c>
      <c r="E2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2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9" s="64">
        <v>1</v>
      </c>
      <c r="H29" s="60" t="str">
        <f>_xlfn.CONCAT(Libromaestro[[#This Row],[SIGLAS]],"-",Libromaestro[[#This Row],[T. DOC]],"-",Libromaestro[[#This Row],[CONSECUTIVO]])</f>
        <v>F-FT-1</v>
      </c>
      <c r="I29" s="73" t="s">
        <v>110</v>
      </c>
      <c r="J29" s="64">
        <v>1</v>
      </c>
      <c r="K29" s="64" t="str">
        <f>_xlfn.XLOOKUP(Libromaestro[[#This Row],[CODIGO DEL DOCUMENTO]],Arreglo_Binaps[Codigo Documento],Arreglo_Binaps[Estado],"No creado",0)</f>
        <v>No creado</v>
      </c>
      <c r="L29" s="66" t="str">
        <f>_xlfn.XLOOKUP(Libromaestro[[#This Row],[CODIGO DEL DOCUMENTO]],Arreglo_Binaps[Codigo Documento],Arreglo_Binaps[Fecha de creación],"",0,1)</f>
        <v/>
      </c>
      <c r="M29" s="66"/>
      <c r="N29"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9"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9" s="74" t="str">
        <f>_xlfn.LET(_xlpm.resultado,_xlfn.XLOOKUP(Libromaestro[[#This Row],[CODIGO DEL DOCUMENTO]],Arreglo_Binaps[Codigo Documento],Arreglo_Binaps[Fecha_Aprobacion],"",0,1),IF(_xlpm.resultado=0,"",_xlpm.resultado))</f>
        <v/>
      </c>
      <c r="Q29" s="173"/>
      <c r="R29" s="75"/>
      <c r="S29" s="76"/>
      <c r="T29" s="73"/>
    </row>
    <row r="30" spans="1:20" ht="33.75" customHeight="1" x14ac:dyDescent="0.3">
      <c r="A30" s="60" t="str">
        <f>IFERROR(VLOOKUP(Libromaestro[[#This Row],[MACROPROCESO]],Tabla1[],2,FALSE),"")</f>
        <v>Corportativa</v>
      </c>
      <c r="B30" s="73" t="s">
        <v>24</v>
      </c>
      <c r="C30" s="64" t="s">
        <v>2252</v>
      </c>
      <c r="D30" s="64" t="s">
        <v>34</v>
      </c>
      <c r="E3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3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30" s="64">
        <v>1</v>
      </c>
      <c r="H30" s="60" t="str">
        <f>_xlfn.CONCAT(Libromaestro[[#This Row],[SIGLAS]],"-",Libromaestro[[#This Row],[T. DOC]],"-",Libromaestro[[#This Row],[CONSECUTIVO]])</f>
        <v>F-PR-1</v>
      </c>
      <c r="I30" s="73" t="s">
        <v>111</v>
      </c>
      <c r="J30" s="64">
        <v>1</v>
      </c>
      <c r="K30" s="64" t="str">
        <f>_xlfn.XLOOKUP(Libromaestro[[#This Row],[CODIGO DEL DOCUMENTO]],Arreglo_Binaps[Codigo Documento],Arreglo_Binaps[Estado],"No creado",0)</f>
        <v>No creado</v>
      </c>
      <c r="L30" s="66" t="str">
        <f>_xlfn.XLOOKUP(Libromaestro[[#This Row],[CODIGO DEL DOCUMENTO]],Arreglo_Binaps[Codigo Documento],Arreglo_Binaps[Fecha de creación],"",0,1)</f>
        <v/>
      </c>
      <c r="M30" s="66"/>
      <c r="N30"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30"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30" s="74" t="str">
        <f>_xlfn.LET(_xlpm.resultado,_xlfn.XLOOKUP(Libromaestro[[#This Row],[CODIGO DEL DOCUMENTO]],Arreglo_Binaps[Codigo Documento],Arreglo_Binaps[Fecha_Aprobacion],"",0,1),IF(_xlpm.resultado=0,"",_xlpm.resultado))</f>
        <v/>
      </c>
      <c r="Q30" s="173"/>
      <c r="R30" s="75"/>
      <c r="S30" s="76"/>
      <c r="T30" s="73"/>
    </row>
    <row r="31" spans="1:20" ht="33.75" customHeight="1" x14ac:dyDescent="0.3">
      <c r="A31" s="60" t="str">
        <f>IFERROR(VLOOKUP(Libromaestro[[#This Row],[MACROPROCESO]],Tabla1[],2,FALSE),"")</f>
        <v>Corportativa</v>
      </c>
      <c r="B31" s="73" t="s">
        <v>32</v>
      </c>
      <c r="C31" s="64" t="s">
        <v>51</v>
      </c>
      <c r="D31" s="64" t="s">
        <v>10</v>
      </c>
      <c r="E3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CA</v>
      </c>
      <c r="G31" s="64">
        <v>1</v>
      </c>
      <c r="H31" s="60" t="str">
        <f>_xlfn.CONCAT(Libromaestro[[#This Row],[SIGLAS]],"-",Libromaestro[[#This Row],[T. DOC]],"-",Libromaestro[[#This Row],[CONSECUTIVO]])</f>
        <v>H-CA-1</v>
      </c>
      <c r="I31" s="150" t="s">
        <v>645</v>
      </c>
      <c r="J31" s="64">
        <v>1</v>
      </c>
      <c r="K31" s="64" t="str">
        <f>_xlfn.XLOOKUP(Libromaestro[[#This Row],[CODIGO DEL DOCUMENTO]],Arreglo_Binaps[Codigo Documento],Arreglo_Binaps[Estado],"No creado",0)</f>
        <v>Rechazado</v>
      </c>
      <c r="L31" s="66" t="str">
        <f>_xlfn.XLOOKUP(Libromaestro[[#This Row],[CODIGO DEL DOCUMENTO]],Arreglo_Binaps[Codigo Documento],Arreglo_Binaps[Fecha de creación],"",0,1)</f>
        <v>2024-05-02</v>
      </c>
      <c r="M31" s="66"/>
      <c r="N3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46509</v>
      </c>
      <c r="O31"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46509</v>
      </c>
      <c r="P31" s="74" t="str">
        <f>_xlfn.LET(_xlpm.resultado,_xlfn.XLOOKUP(Libromaestro[[#This Row],[CODIGO DEL DOCUMENTO]],Arreglo_Binaps[Codigo Documento],Arreglo_Binaps[Fecha_Aprobacion],"",0,1),IF(_xlpm.resultado=0,"",_xlpm.resultado))</f>
        <v/>
      </c>
      <c r="Q31" s="173"/>
      <c r="R31" s="75"/>
      <c r="S31" s="76"/>
      <c r="T31" s="73"/>
    </row>
    <row r="32" spans="1:20" ht="33.75" customHeight="1" x14ac:dyDescent="0.3">
      <c r="A32" s="60" t="str">
        <f>IFERROR(VLOOKUP(Libromaestro[[#This Row],[MACROPROCESO]],Tabla1[],2,FALSE),"")</f>
        <v>Corportativa</v>
      </c>
      <c r="B32" s="73" t="s">
        <v>32</v>
      </c>
      <c r="C32" s="64" t="s">
        <v>51</v>
      </c>
      <c r="D32" s="64" t="s">
        <v>16</v>
      </c>
      <c r="E3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2" s="64">
        <v>1</v>
      </c>
      <c r="H32" s="60" t="str">
        <f>_xlfn.CONCAT(Libromaestro[[#This Row],[SIGLAS]],"-",Libromaestro[[#This Row],[T. DOC]],"-",Libromaestro[[#This Row],[CONSECUTIVO]])</f>
        <v>H-FT-1</v>
      </c>
      <c r="I32" s="73" t="s">
        <v>112</v>
      </c>
      <c r="J32" s="64">
        <v>2</v>
      </c>
      <c r="K32" s="64" t="str">
        <f>_xlfn.XLOOKUP(Libromaestro[[#This Row],[CODIGO DEL DOCUMENTO]],Arreglo_Binaps[Codigo Documento],Arreglo_Binaps[Estado],"No creado",0)</f>
        <v>Aprobado</v>
      </c>
      <c r="L32" s="66" t="str">
        <f>_xlfn.XLOOKUP(Libromaestro[[#This Row],[CODIGO DEL DOCUMENTO]],Arreglo_Binaps[Codigo Documento],Arreglo_Binaps[Fecha de creación],"",0,1)</f>
        <v>2019-08-26</v>
      </c>
      <c r="M32" s="66">
        <v>43703</v>
      </c>
      <c r="N3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44799</v>
      </c>
      <c r="O32"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44799</v>
      </c>
      <c r="P32" s="74">
        <f>_xlfn.LET(_xlpm.resultado,_xlfn.XLOOKUP(Libromaestro[[#This Row],[CODIGO DEL DOCUMENTO]],Arreglo_Binaps[Codigo Documento],Arreglo_Binaps[Fecha_Aprobacion],"",0,1),IF(_xlpm.resultado=0,"",_xlpm.resultado))</f>
        <v>43703</v>
      </c>
      <c r="Q32" s="174" t="s">
        <v>113</v>
      </c>
      <c r="R32" s="75"/>
      <c r="S32" s="76" t="s">
        <v>23</v>
      </c>
      <c r="T32" s="73"/>
    </row>
    <row r="33" spans="1:20" ht="33.75" customHeight="1" x14ac:dyDescent="0.3">
      <c r="A33" s="60" t="str">
        <f>IFERROR(VLOOKUP(Libromaestro[[#This Row],[MACROPROCESO]],Tabla1[],2,FALSE),"")</f>
        <v>Corportativa</v>
      </c>
      <c r="B33" s="73" t="s">
        <v>32</v>
      </c>
      <c r="C33" s="64" t="s">
        <v>59</v>
      </c>
      <c r="D33" s="64" t="s">
        <v>22</v>
      </c>
      <c r="E3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33" s="64">
        <v>1</v>
      </c>
      <c r="H33" s="60" t="str">
        <f>_xlfn.CONCAT(Libromaestro[[#This Row],[SIGLAS]],"-",Libromaestro[[#This Row],[T. DOC]],"-",Libromaestro[[#This Row],[CONSECUTIVO]])</f>
        <v>H-GU-1</v>
      </c>
      <c r="I33" s="73" t="s">
        <v>114</v>
      </c>
      <c r="J33" s="64">
        <v>1</v>
      </c>
      <c r="K33" s="64" t="str">
        <f>_xlfn.XLOOKUP(Libromaestro[[#This Row],[CODIGO DEL DOCUMENTO]],Arreglo_Binaps[Codigo Documento],Arreglo_Binaps[Estado],"No creado",0)</f>
        <v>Aprobado</v>
      </c>
      <c r="L33" s="66" t="str">
        <f>_xlfn.XLOOKUP(Libromaestro[[#This Row],[CODIGO DEL DOCUMENTO]],Arreglo_Binaps[Codigo Documento],Arreglo_Binaps[Fecha de creación],"",0,1)</f>
        <v>2024-02-05</v>
      </c>
      <c r="M33" s="66"/>
      <c r="N3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46423</v>
      </c>
      <c r="O33"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46423</v>
      </c>
      <c r="P33" s="74">
        <f>_xlfn.LET(_xlpm.resultado,_xlfn.XLOOKUP(Libromaestro[[#This Row],[CODIGO DEL DOCUMENTO]],Arreglo_Binaps[Codigo Documento],Arreglo_Binaps[Fecha_Aprobacion],"",0,1),IF(_xlpm.resultado=0,"",_xlpm.resultado))</f>
        <v>45427</v>
      </c>
      <c r="Q33" s="173"/>
      <c r="R33" s="75"/>
      <c r="S33" s="76" t="s">
        <v>28</v>
      </c>
      <c r="T33" s="73"/>
    </row>
    <row r="34" spans="1:20" ht="33.75" customHeight="1" x14ac:dyDescent="0.3">
      <c r="A34" s="60" t="str">
        <f>IFERROR(VLOOKUP(Libromaestro[[#This Row],[MACROPROCESO]],Tabla1[],2,FALSE),"")</f>
        <v>Corportativa</v>
      </c>
      <c r="B34" s="73" t="s">
        <v>32</v>
      </c>
      <c r="C34" s="64" t="s">
        <v>59</v>
      </c>
      <c r="D34" s="64" t="s">
        <v>16</v>
      </c>
      <c r="E3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4" s="64">
        <v>18</v>
      </c>
      <c r="H34" s="60" t="str">
        <f>_xlfn.CONCAT(Libromaestro[[#This Row],[SIGLAS]],"-",Libromaestro[[#This Row],[T. DOC]],"-",Libromaestro[[#This Row],[CONSECUTIVO]])</f>
        <v>H-FT-18</v>
      </c>
      <c r="I34" s="73" t="s">
        <v>115</v>
      </c>
      <c r="J34" s="64">
        <v>2</v>
      </c>
      <c r="K34" s="64" t="str">
        <f>_xlfn.XLOOKUP(Libromaestro[[#This Row],[CODIGO DEL DOCUMENTO]],Arreglo_Binaps[Codigo Documento],Arreglo_Binaps[Estado],"No creado",0)</f>
        <v>Rechazado</v>
      </c>
      <c r="L34" s="66" t="str">
        <f>_xlfn.XLOOKUP(Libromaestro[[#This Row],[CODIGO DEL DOCUMENTO]],Arreglo_Binaps[Codigo Documento],Arreglo_Binaps[Fecha de creación],"",0,1)</f>
        <v>2020-11-21</v>
      </c>
      <c r="M34" s="66">
        <v>45806</v>
      </c>
      <c r="N3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O34"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P34" s="74" t="str">
        <f>_xlfn.LET(_xlpm.resultado,_xlfn.XLOOKUP(Libromaestro[[#This Row],[CODIGO DEL DOCUMENTO]],Arreglo_Binaps[Codigo Documento],Arreglo_Binaps[Fecha_Aprobacion],"",0,1),IF(_xlpm.resultado=0,"",_xlpm.resultado))</f>
        <v/>
      </c>
      <c r="Q34" s="173"/>
      <c r="R34" s="75"/>
      <c r="S34" s="76" t="s">
        <v>11</v>
      </c>
      <c r="T34" s="73"/>
    </row>
    <row r="35" spans="1:20" ht="33.75" customHeight="1" x14ac:dyDescent="0.3">
      <c r="A35" s="60" t="str">
        <f>IFERROR(VLOOKUP(Libromaestro[[#This Row],[MACROPROCESO]],Tabla1[],2,FALSE),"")</f>
        <v>Corportativa</v>
      </c>
      <c r="B35" s="73" t="s">
        <v>32</v>
      </c>
      <c r="C35" s="64" t="s">
        <v>51</v>
      </c>
      <c r="D35" s="64" t="s">
        <v>31</v>
      </c>
      <c r="E3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35" s="64">
        <v>1</v>
      </c>
      <c r="H35" s="60" t="str">
        <f>_xlfn.CONCAT(Libromaestro[[#This Row],[SIGLAS]],"-",Libromaestro[[#This Row],[T. DOC]],"-",Libromaestro[[#This Row],[CONSECUTIVO]])</f>
        <v>H-MA-1</v>
      </c>
      <c r="I35" s="73" t="s">
        <v>116</v>
      </c>
      <c r="J35" s="64">
        <v>1</v>
      </c>
      <c r="K35" s="64" t="str">
        <f>_xlfn.XLOOKUP(Libromaestro[[#This Row],[CODIGO DEL DOCUMENTO]],Arreglo_Binaps[Codigo Documento],Arreglo_Binaps[Estado],"No creado",0)</f>
        <v>Aprobado</v>
      </c>
      <c r="L35" s="66" t="str">
        <f>_xlfn.XLOOKUP(Libromaestro[[#This Row],[CODIGO DEL DOCUMENTO]],Arreglo_Binaps[Codigo Documento],Arreglo_Binaps[Fecha de creación],"",0,1)</f>
        <v>2022-05-06</v>
      </c>
      <c r="M35" s="66"/>
      <c r="N3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45783</v>
      </c>
      <c r="O35"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45783</v>
      </c>
      <c r="P35" s="74">
        <f>_xlfn.LET(_xlpm.resultado,_xlfn.XLOOKUP(Libromaestro[[#This Row],[CODIGO DEL DOCUMENTO]],Arreglo_Binaps[Codigo Documento],Arreglo_Binaps[Fecha_Aprobacion],"",0,1),IF(_xlpm.resultado=0,"",_xlpm.resultado))</f>
        <v>44687</v>
      </c>
      <c r="Q35" s="173"/>
      <c r="R35" s="75"/>
      <c r="S35" s="76" t="s">
        <v>28</v>
      </c>
      <c r="T35" s="73"/>
    </row>
    <row r="36" spans="1:20" ht="33.75" customHeight="1" x14ac:dyDescent="0.3">
      <c r="A36" s="60" t="str">
        <f>IFERROR(VLOOKUP(Libromaestro[[#This Row],[MACROPROCESO]],Tabla1[],2,FALSE),"")</f>
        <v>Corportativa</v>
      </c>
      <c r="B36" s="73" t="s">
        <v>32</v>
      </c>
      <c r="C36" s="64" t="s">
        <v>59</v>
      </c>
      <c r="D36" s="64" t="s">
        <v>16</v>
      </c>
      <c r="E3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6" s="64">
        <v>19</v>
      </c>
      <c r="H36" s="60" t="str">
        <f>_xlfn.CONCAT(Libromaestro[[#This Row],[SIGLAS]],"-",Libromaestro[[#This Row],[T. DOC]],"-",Libromaestro[[#This Row],[CONSECUTIVO]])</f>
        <v>H-FT-19</v>
      </c>
      <c r="I36" s="73" t="s">
        <v>117</v>
      </c>
      <c r="J36" s="64">
        <v>2</v>
      </c>
      <c r="K36" s="64" t="str">
        <f>_xlfn.XLOOKUP(Libromaestro[[#This Row],[CODIGO DEL DOCUMENTO]],Arreglo_Binaps[Codigo Documento],Arreglo_Binaps[Estado],"No creado",0)</f>
        <v>Aprobado</v>
      </c>
      <c r="L36" s="66" t="str">
        <f>_xlfn.XLOOKUP(Libromaestro[[#This Row],[CODIGO DEL DOCUMENTO]],Arreglo_Binaps[Codigo Documento],Arreglo_Binaps[Fecha de creación],"",0,1)</f>
        <v>2020-11-21</v>
      </c>
      <c r="M36" s="66">
        <v>45744</v>
      </c>
      <c r="N3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46840</v>
      </c>
      <c r="O36"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46840</v>
      </c>
      <c r="P36" s="74">
        <f>_xlfn.LET(_xlpm.resultado,_xlfn.XLOOKUP(Libromaestro[[#This Row],[CODIGO DEL DOCUMENTO]],Arreglo_Binaps[Codigo Documento],Arreglo_Binaps[Fecha_Aprobacion],"",0,1),IF(_xlpm.resultado=0,"",_xlpm.resultado))</f>
        <v>45877</v>
      </c>
      <c r="Q36" s="173"/>
      <c r="R36" s="75"/>
      <c r="S36" s="76" t="s">
        <v>11</v>
      </c>
      <c r="T36" s="73"/>
    </row>
    <row r="37" spans="1:20" ht="33.75" customHeight="1" x14ac:dyDescent="0.3">
      <c r="A37" s="60" t="str">
        <f>IFERROR(VLOOKUP(Libromaestro[[#This Row],[MACROPROCESO]],Tabla1[],2,FALSE),"")</f>
        <v>Corportativa</v>
      </c>
      <c r="B37" s="73" t="s">
        <v>32</v>
      </c>
      <c r="C37" s="64" t="s">
        <v>51</v>
      </c>
      <c r="D37" s="64" t="s">
        <v>37</v>
      </c>
      <c r="E3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37" s="64">
        <v>1</v>
      </c>
      <c r="H37" s="60" t="str">
        <f>_xlfn.CONCAT(Libromaestro[[#This Row],[SIGLAS]],"-",Libromaestro[[#This Row],[T. DOC]],"-",Libromaestro[[#This Row],[CONSECUTIVO]])</f>
        <v>H-PO-1</v>
      </c>
      <c r="I37" s="73" t="s">
        <v>118</v>
      </c>
      <c r="J37" s="64">
        <v>1</v>
      </c>
      <c r="K37" s="64" t="str">
        <f>_xlfn.XLOOKUP(Libromaestro[[#This Row],[CODIGO DEL DOCUMENTO]],Arreglo_Binaps[Codigo Documento],Arreglo_Binaps[Estado],"No creado",0)</f>
        <v>Aprobado</v>
      </c>
      <c r="L37" s="66" t="str">
        <f>_xlfn.XLOOKUP(Libromaestro[[#This Row],[CODIGO DEL DOCUMENTO]],Arreglo_Binaps[Codigo Documento],Arreglo_Binaps[Fecha de creación],"",0,1)</f>
        <v>2023-09-11</v>
      </c>
      <c r="M37" s="66"/>
      <c r="N3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46276</v>
      </c>
      <c r="O37"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46276</v>
      </c>
      <c r="P37" s="74">
        <f>_xlfn.LET(_xlpm.resultado,_xlfn.XLOOKUP(Libromaestro[[#This Row],[CODIGO DEL DOCUMENTO]],Arreglo_Binaps[Codigo Documento],Arreglo_Binaps[Fecha_Aprobacion],"",0,1),IF(_xlpm.resultado=0,"",_xlpm.resultado))</f>
        <v>45300</v>
      </c>
      <c r="Q37" s="173"/>
      <c r="R37" s="75"/>
      <c r="S37" s="76" t="s">
        <v>23</v>
      </c>
      <c r="T37" s="73"/>
    </row>
    <row r="38" spans="1:20" ht="33.75" customHeight="1" x14ac:dyDescent="0.3">
      <c r="A38" s="60" t="str">
        <f>IFERROR(VLOOKUP(Libromaestro[[#This Row],[MACROPROCESO]],Tabla1[],2,FALSE),"")</f>
        <v>Corportativa</v>
      </c>
      <c r="B38" s="73" t="s">
        <v>32</v>
      </c>
      <c r="C38" s="64" t="s">
        <v>51</v>
      </c>
      <c r="D38" s="64" t="s">
        <v>34</v>
      </c>
      <c r="E3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38" s="64">
        <v>1</v>
      </c>
      <c r="H38" s="60" t="str">
        <f>_xlfn.CONCAT(Libromaestro[[#This Row],[SIGLAS]],"-",Libromaestro[[#This Row],[T. DOC]],"-",Libromaestro[[#This Row],[CONSECUTIVO]])</f>
        <v>H-PR-1</v>
      </c>
      <c r="I38" s="73" t="s">
        <v>119</v>
      </c>
      <c r="J38" s="64">
        <v>1</v>
      </c>
      <c r="K38" s="64" t="str">
        <f>_xlfn.XLOOKUP(Libromaestro[[#This Row],[CODIGO DEL DOCUMENTO]],Arreglo_Binaps[Codigo Documento],Arreglo_Binaps[Estado],"No creado",0)</f>
        <v>No creado</v>
      </c>
      <c r="L38" s="66" t="str">
        <f>_xlfn.XLOOKUP(Libromaestro[[#This Row],[CODIGO DEL DOCUMENTO]],Arreglo_Binaps[Codigo Documento],Arreglo_Binaps[Fecha de creación],"",0,1)</f>
        <v/>
      </c>
      <c r="M38" s="66"/>
      <c r="N38"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38"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38" s="74" t="str">
        <f>_xlfn.LET(_xlpm.resultado,_xlfn.XLOOKUP(Libromaestro[[#This Row],[CODIGO DEL DOCUMENTO]],Arreglo_Binaps[Codigo Documento],Arreglo_Binaps[Fecha_Aprobacion],"",0,1),IF(_xlpm.resultado=0,"",_xlpm.resultado))</f>
        <v/>
      </c>
      <c r="Q38" s="173"/>
      <c r="R38" s="75"/>
      <c r="S38" s="76"/>
      <c r="T38" s="73"/>
    </row>
    <row r="39" spans="1:20" ht="33.75" customHeight="1" x14ac:dyDescent="0.3">
      <c r="A39" s="60" t="str">
        <f>IFERROR(VLOOKUP(Libromaestro[[#This Row],[MACROPROCESO]],Tabla1[],2,FALSE),"")</f>
        <v>Corportativa</v>
      </c>
      <c r="B39" s="73" t="s">
        <v>32</v>
      </c>
      <c r="C39" s="64" t="s">
        <v>59</v>
      </c>
      <c r="D39" s="64" t="s">
        <v>40</v>
      </c>
      <c r="E3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PT</v>
      </c>
      <c r="G39" s="64">
        <v>1</v>
      </c>
      <c r="H39" s="60" t="str">
        <f>_xlfn.CONCAT(Libromaestro[[#This Row],[SIGLAS]],"-",Libromaestro[[#This Row],[T. DOC]],"-",Libromaestro[[#This Row],[CONSECUTIVO]])</f>
        <v>H-PT-1</v>
      </c>
      <c r="I39" s="73" t="s">
        <v>120</v>
      </c>
      <c r="J39" s="64">
        <v>2</v>
      </c>
      <c r="K39" s="64" t="str">
        <f>_xlfn.XLOOKUP(Libromaestro[[#This Row],[CODIGO DEL DOCUMENTO]],Arreglo_Binaps[Codigo Documento],Arreglo_Binaps[Estado],"No creado",0)</f>
        <v>Aprobado</v>
      </c>
      <c r="L39" s="66" t="str">
        <f>_xlfn.XLOOKUP(Libromaestro[[#This Row],[CODIGO DEL DOCUMENTO]],Arreglo_Binaps[Codigo Documento],Arreglo_Binaps[Fecha de creación],"",0,1)</f>
        <v>2020-04-24</v>
      </c>
      <c r="M39" s="66"/>
      <c r="N3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45040</v>
      </c>
      <c r="O39"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45040</v>
      </c>
      <c r="P39" s="74">
        <f>_xlfn.LET(_xlpm.resultado,_xlfn.XLOOKUP(Libromaestro[[#This Row],[CODIGO DEL DOCUMENTO]],Arreglo_Binaps[Codigo Documento],Arreglo_Binaps[Fecha_Aprobacion],"",0,1),IF(_xlpm.resultado=0,"",_xlpm.resultado))</f>
        <v>45877</v>
      </c>
      <c r="Q39" s="173"/>
      <c r="R39" s="75"/>
      <c r="S39" s="76" t="s">
        <v>28</v>
      </c>
      <c r="T39" s="73"/>
    </row>
    <row r="40" spans="1:20" ht="33.75" customHeight="1" x14ac:dyDescent="0.3">
      <c r="A40" s="60" t="str">
        <f>IFERROR(VLOOKUP(Libromaestro[[#This Row],[MACROPROCESO]],Tabla1[],2,FALSE),"")</f>
        <v>Corportativa</v>
      </c>
      <c r="B40" s="73" t="s">
        <v>35</v>
      </c>
      <c r="C40" s="64" t="s">
        <v>2253</v>
      </c>
      <c r="D40" s="64" t="s">
        <v>16</v>
      </c>
      <c r="E4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J</v>
      </c>
      <c r="F4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0" s="64">
        <v>1</v>
      </c>
      <c r="H40" s="60" t="str">
        <f>_xlfn.CONCAT(Libromaestro[[#This Row],[SIGLAS]],"-",Libromaestro[[#This Row],[T. DOC]],"-",Libromaestro[[#This Row],[CONSECUTIVO]])</f>
        <v>J-FT-1</v>
      </c>
      <c r="I40" s="73" t="s">
        <v>121</v>
      </c>
      <c r="J40" s="64"/>
      <c r="K40" s="64" t="str">
        <f>_xlfn.XLOOKUP(Libromaestro[[#This Row],[CODIGO DEL DOCUMENTO]],Arreglo_Binaps[Codigo Documento],Arreglo_Binaps[Estado],"No creado",0)</f>
        <v>No creado</v>
      </c>
      <c r="L40" s="66" t="str">
        <f>_xlfn.XLOOKUP(Libromaestro[[#This Row],[CODIGO DEL DOCUMENTO]],Arreglo_Binaps[Codigo Documento],Arreglo_Binaps[Fecha de creación],"",0,1)</f>
        <v/>
      </c>
      <c r="M40" s="66"/>
      <c r="N40" s="65"/>
      <c r="O40"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0" s="74" t="str">
        <f>_xlfn.LET(_xlpm.resultado,_xlfn.XLOOKUP(Libromaestro[[#This Row],[CODIGO DEL DOCUMENTO]],Arreglo_Binaps[Codigo Documento],Arreglo_Binaps[Fecha_Aprobacion],"",0,1),IF(_xlpm.resultado=0,"",_xlpm.resultado))</f>
        <v/>
      </c>
      <c r="Q40" s="173"/>
      <c r="R40" s="75"/>
      <c r="S40" s="76"/>
      <c r="T40" s="80"/>
    </row>
    <row r="41" spans="1:20" ht="33.75" customHeight="1" x14ac:dyDescent="0.3">
      <c r="A41" s="60" t="str">
        <f>IFERROR(VLOOKUP(Libromaestro[[#This Row],[MACROPROCESO]],Tabla1[],2,FALSE),"")</f>
        <v>Corportativa</v>
      </c>
      <c r="B41" s="73" t="s">
        <v>38</v>
      </c>
      <c r="C41" s="64" t="s">
        <v>26</v>
      </c>
      <c r="D41" s="64" t="s">
        <v>16</v>
      </c>
      <c r="E4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4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1" s="64">
        <v>1</v>
      </c>
      <c r="H41" s="60" t="str">
        <f>_xlfn.CONCAT(Libromaestro[[#This Row],[SIGLAS]],"-",Libromaestro[[#This Row],[T. DOC]],"-",Libromaestro[[#This Row],[CONSECUTIVO]])</f>
        <v>M-FT-1</v>
      </c>
      <c r="I41" s="73" t="s">
        <v>122</v>
      </c>
      <c r="J41" s="64">
        <v>2</v>
      </c>
      <c r="K41" s="64" t="str">
        <f>_xlfn.XLOOKUP(Libromaestro[[#This Row],[CODIGO DEL DOCUMENTO]],Arreglo_Binaps[Codigo Documento],Arreglo_Binaps[Estado],"No creado",0)</f>
        <v>Aprobado</v>
      </c>
      <c r="L41" s="66" t="str">
        <f>_xlfn.XLOOKUP(Libromaestro[[#This Row],[CODIGO DEL DOCUMENTO]],Arreglo_Binaps[Codigo Documento],Arreglo_Binaps[Fecha de creación],"",0,1)</f>
        <v>2019-09-03</v>
      </c>
      <c r="M41" s="66">
        <v>45230</v>
      </c>
      <c r="N4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46326</v>
      </c>
      <c r="O41"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46326</v>
      </c>
      <c r="P41" s="74">
        <f>_xlfn.LET(_xlpm.resultado,_xlfn.XLOOKUP(Libromaestro[[#This Row],[CODIGO DEL DOCUMENTO]],Arreglo_Binaps[Codigo Documento],Arreglo_Binaps[Fecha_Aprobacion],"",0,1),IF(_xlpm.resultado=0,"",_xlpm.resultado))</f>
        <v>45244</v>
      </c>
      <c r="Q41" s="173"/>
      <c r="R41" s="75"/>
      <c r="S41" s="76" t="s">
        <v>28</v>
      </c>
      <c r="T41" s="73"/>
    </row>
    <row r="42" spans="1:20" ht="33.75" customHeight="1" x14ac:dyDescent="0.3">
      <c r="A42" s="60" t="str">
        <f>IFERROR(VLOOKUP(Libromaestro[[#This Row],[MACROPROCESO]],Tabla1[],2,FALSE),"")</f>
        <v>Corportativa</v>
      </c>
      <c r="B42" s="73" t="s">
        <v>38</v>
      </c>
      <c r="C42" s="64" t="s">
        <v>26</v>
      </c>
      <c r="D42" s="64" t="s">
        <v>22</v>
      </c>
      <c r="E4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4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42" s="64">
        <v>1</v>
      </c>
      <c r="H42" s="60" t="str">
        <f>_xlfn.CONCAT(Libromaestro[[#This Row],[SIGLAS]],"-",Libromaestro[[#This Row],[T. DOC]],"-",Libromaestro[[#This Row],[CONSECUTIVO]])</f>
        <v>M-GU-1</v>
      </c>
      <c r="I42" s="73" t="s">
        <v>123</v>
      </c>
      <c r="J42" s="64">
        <v>1</v>
      </c>
      <c r="K42" s="64" t="str">
        <f>_xlfn.XLOOKUP(Libromaestro[[#This Row],[CODIGO DEL DOCUMENTO]],Arreglo_Binaps[Codigo Documento],Arreglo_Binaps[Estado],"No creado",0)</f>
        <v>Aprobado</v>
      </c>
      <c r="L42" s="66" t="str">
        <f>_xlfn.XLOOKUP(Libromaestro[[#This Row],[CODIGO DEL DOCUMENTO]],Arreglo_Binaps[Codigo Documento],Arreglo_Binaps[Fecha de creación],"",0,1)</f>
        <v>2025-09-19</v>
      </c>
      <c r="M42" s="66"/>
      <c r="N4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47015</v>
      </c>
      <c r="O42"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47015</v>
      </c>
      <c r="P42" s="74">
        <f>_xlfn.LET(_xlpm.resultado,_xlfn.XLOOKUP(Libromaestro[[#This Row],[CODIGO DEL DOCUMENTO]],Arreglo_Binaps[Codigo Documento],Arreglo_Binaps[Fecha_Aprobacion],"",0,1),IF(_xlpm.resultado=0,"",_xlpm.resultado))</f>
        <v>46083</v>
      </c>
      <c r="Q42" s="173"/>
      <c r="R42" s="75"/>
      <c r="S42" s="76"/>
      <c r="T42" s="73"/>
    </row>
    <row r="43" spans="1:20" ht="33.75" customHeight="1" x14ac:dyDescent="0.3">
      <c r="A43" s="60" t="str">
        <f>IFERROR(VLOOKUP(Libromaestro[[#This Row],[MACROPROCESO]],Tabla1[],2,FALSE),"")</f>
        <v>Corportativa</v>
      </c>
      <c r="B43" s="70" t="s">
        <v>38</v>
      </c>
      <c r="C43" s="60" t="s">
        <v>26</v>
      </c>
      <c r="D43" s="60" t="s">
        <v>27</v>
      </c>
      <c r="E43"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43"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43" s="60">
        <v>1</v>
      </c>
      <c r="H43" s="60" t="str">
        <f>_xlfn.CONCAT(Libromaestro[[#This Row],[SIGLAS]],"-",Libromaestro[[#This Row],[T. DOC]],"-",Libromaestro[[#This Row],[CONSECUTIVO]])</f>
        <v>M-IN-1</v>
      </c>
      <c r="I43" s="81" t="s">
        <v>124</v>
      </c>
      <c r="J43" s="60">
        <v>1</v>
      </c>
      <c r="K43" s="64" t="str">
        <f>_xlfn.XLOOKUP(Libromaestro[[#This Row],[CODIGO DEL DOCUMENTO]],Arreglo_Binaps[Codigo Documento],Arreglo_Binaps[Estado],"No creado",0)</f>
        <v>Aprobado</v>
      </c>
      <c r="L43" s="66" t="str">
        <f>_xlfn.XLOOKUP(Libromaestro[[#This Row],[CODIGO DEL DOCUMENTO]],Arreglo_Binaps[Codigo Documento],Arreglo_Binaps[Fecha de creación],"",0,1)</f>
        <v>2024-12-26</v>
      </c>
      <c r="M43" s="66"/>
      <c r="N4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46747</v>
      </c>
      <c r="O4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46747</v>
      </c>
      <c r="P43" s="67">
        <f>_xlfn.LET(_xlpm.resultado,_xlfn.XLOOKUP(Libromaestro[[#This Row],[CODIGO DEL DOCUMENTO]],Arreglo_Binaps[Codigo Documento],Arreglo_Binaps[Fecha_Aprobacion],"",0,1),IF(_xlpm.resultado=0,"",_xlpm.resultado))</f>
        <v>45762</v>
      </c>
      <c r="Q43" s="172"/>
      <c r="R43" s="68"/>
      <c r="S43" s="69"/>
      <c r="T43" s="70"/>
    </row>
    <row r="44" spans="1:20" ht="33.75" customHeight="1" x14ac:dyDescent="0.3">
      <c r="A44" s="60" t="str">
        <f>IFERROR(VLOOKUP(Libromaestro[[#This Row],[MACROPROCESO]],Tabla1[],2,FALSE),"")</f>
        <v>Corportativa</v>
      </c>
      <c r="B44" s="73" t="s">
        <v>38</v>
      </c>
      <c r="C44" s="64" t="s">
        <v>26</v>
      </c>
      <c r="D44" s="64" t="s">
        <v>31</v>
      </c>
      <c r="E4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44" s="7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44" s="64">
        <v>1</v>
      </c>
      <c r="H44" s="60" t="str">
        <f>_xlfn.CONCAT(Libromaestro[[#This Row],[SIGLAS]],"-",Libromaestro[[#This Row],[T. DOC]],"-",Libromaestro[[#This Row],[CONSECUTIVO]])</f>
        <v>M-MA-1</v>
      </c>
      <c r="I44" s="73" t="s">
        <v>125</v>
      </c>
      <c r="J44" s="64">
        <v>1</v>
      </c>
      <c r="K44" s="64" t="str">
        <f>_xlfn.XLOOKUP(Libromaestro[[#This Row],[CODIGO DEL DOCUMENTO]],Arreglo_Binaps[Codigo Documento],Arreglo_Binaps[Estado],"No creado",0)</f>
        <v>No creado</v>
      </c>
      <c r="L44" s="66" t="str">
        <f>_xlfn.XLOOKUP(Libromaestro[[#This Row],[CODIGO DEL DOCUMENTO]],Arreglo_Binaps[Codigo Documento],Arreglo_Binaps[Fecha de creación],"",0,1)</f>
        <v/>
      </c>
      <c r="M44" s="66"/>
      <c r="N44"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44"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4" s="74" t="str">
        <f>_xlfn.LET(_xlpm.resultado,_xlfn.XLOOKUP(Libromaestro[[#This Row],[CODIGO DEL DOCUMENTO]],Arreglo_Binaps[Codigo Documento],Arreglo_Binaps[Fecha_Aprobacion],"",0,1),IF(_xlpm.resultado=0,"",_xlpm.resultado))</f>
        <v/>
      </c>
      <c r="Q44" s="173"/>
      <c r="R44" s="75"/>
      <c r="S44" s="76"/>
      <c r="T44" s="73"/>
    </row>
    <row r="45" spans="1:20" ht="33.75" customHeight="1" x14ac:dyDescent="0.3">
      <c r="A45" s="60" t="str">
        <f>IFERROR(VLOOKUP(Libromaestro[[#This Row],[MACROPROCESO]],Tabla1[],2,FALSE),"")</f>
        <v>Corportativa</v>
      </c>
      <c r="B45" s="73" t="s">
        <v>38</v>
      </c>
      <c r="C45" s="64" t="s">
        <v>26</v>
      </c>
      <c r="D45" s="64" t="s">
        <v>44</v>
      </c>
      <c r="E4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45" s="7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PL</v>
      </c>
      <c r="G45" s="64">
        <v>1</v>
      </c>
      <c r="H45" s="60" t="str">
        <f>_xlfn.CONCAT(Libromaestro[[#This Row],[SIGLAS]],"-",Libromaestro[[#This Row],[T. DOC]],"-",Libromaestro[[#This Row],[CONSECUTIVO]])</f>
        <v>M-PL-1</v>
      </c>
      <c r="I45" s="73" t="s">
        <v>126</v>
      </c>
      <c r="J45" s="64">
        <v>1</v>
      </c>
      <c r="K45" s="64" t="str">
        <f>_xlfn.XLOOKUP(Libromaestro[[#This Row],[CODIGO DEL DOCUMENTO]],Arreglo_Binaps[Codigo Documento],Arreglo_Binaps[Estado],"No creado",0)</f>
        <v>No creado</v>
      </c>
      <c r="L45" s="66" t="str">
        <f>_xlfn.XLOOKUP(Libromaestro[[#This Row],[CODIGO DEL DOCUMENTO]],Arreglo_Binaps[Codigo Documento],Arreglo_Binaps[Fecha de creación],"",0,1)</f>
        <v/>
      </c>
      <c r="M45" s="66"/>
      <c r="N45"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45"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5" s="74" t="str">
        <f>_xlfn.LET(_xlpm.resultado,_xlfn.XLOOKUP(Libromaestro[[#This Row],[CODIGO DEL DOCUMENTO]],Arreglo_Binaps[Codigo Documento],Arreglo_Binaps[Fecha_Aprobacion],"",0,1),IF(_xlpm.resultado=0,"",_xlpm.resultado))</f>
        <v/>
      </c>
      <c r="Q45" s="173"/>
      <c r="R45" s="75"/>
      <c r="S45" s="76"/>
      <c r="T45" s="73"/>
    </row>
    <row r="46" spans="1:20" ht="33.75" customHeight="1" x14ac:dyDescent="0.3">
      <c r="A46" s="60" t="str">
        <f>IFERROR(VLOOKUP(Libromaestro[[#This Row],[MACROPROCESO]],Tabla1[],2,FALSE),"")</f>
        <v>Corportativa</v>
      </c>
      <c r="B46" s="73" t="s">
        <v>38</v>
      </c>
      <c r="C46" s="64" t="s">
        <v>26</v>
      </c>
      <c r="D46" s="64" t="s">
        <v>37</v>
      </c>
      <c r="E4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46" s="7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46" s="64">
        <v>1</v>
      </c>
      <c r="H46" s="60" t="str">
        <f>_xlfn.CONCAT(Libromaestro[[#This Row],[SIGLAS]],"-",Libromaestro[[#This Row],[T. DOC]],"-",Libromaestro[[#This Row],[CONSECUTIVO]])</f>
        <v>M-PO-1</v>
      </c>
      <c r="I46" s="73" t="s">
        <v>127</v>
      </c>
      <c r="J46" s="64">
        <v>2</v>
      </c>
      <c r="K46" s="64" t="str">
        <f>_xlfn.XLOOKUP(Libromaestro[[#This Row],[CODIGO DEL DOCUMENTO]],Arreglo_Binaps[Codigo Documento],Arreglo_Binaps[Estado],"No creado",0)</f>
        <v>Aprobado</v>
      </c>
      <c r="L46" s="66" t="str">
        <f>_xlfn.XLOOKUP(Libromaestro[[#This Row],[CODIGO DEL DOCUMENTO]],Arreglo_Binaps[Codigo Documento],Arreglo_Binaps[Fecha de creación],"",0,1)</f>
        <v>2024-07-22</v>
      </c>
      <c r="M46" s="66">
        <v>45495</v>
      </c>
      <c r="N4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46590</v>
      </c>
      <c r="O46"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46590</v>
      </c>
      <c r="P46" s="74">
        <f>_xlfn.LET(_xlpm.resultado,_xlfn.XLOOKUP(Libromaestro[[#This Row],[CODIGO DEL DOCUMENTO]],Arreglo_Binaps[Codigo Documento],Arreglo_Binaps[Fecha_Aprobacion],"",0,1),IF(_xlpm.resultado=0,"",_xlpm.resultado))</f>
        <v>45538</v>
      </c>
      <c r="Q46" s="173"/>
      <c r="R46" s="75"/>
      <c r="S46" s="76" t="s">
        <v>28</v>
      </c>
      <c r="T46" s="73"/>
    </row>
    <row r="47" spans="1:20" ht="33.75" customHeight="1" x14ac:dyDescent="0.3">
      <c r="A47" s="60" t="str">
        <f>IFERROR(VLOOKUP(Libromaestro[[#This Row],[MACROPROCESO]],Tabla1[],2,FALSE),"")</f>
        <v>Corportativa</v>
      </c>
      <c r="B47" s="73" t="s">
        <v>38</v>
      </c>
      <c r="C47" s="64" t="s">
        <v>39</v>
      </c>
      <c r="D47" s="64" t="s">
        <v>34</v>
      </c>
      <c r="E4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4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47" s="64">
        <v>1</v>
      </c>
      <c r="H47" s="60" t="str">
        <f>_xlfn.CONCAT(Libromaestro[[#This Row],[SIGLAS]],"-",Libromaestro[[#This Row],[T. DOC]],"-",Libromaestro[[#This Row],[CONSECUTIVO]])</f>
        <v>M-PR-1</v>
      </c>
      <c r="I47" s="73" t="s">
        <v>128</v>
      </c>
      <c r="J47" s="64">
        <v>1</v>
      </c>
      <c r="K47" s="64" t="str">
        <f>_xlfn.XLOOKUP(Libromaestro[[#This Row],[CODIGO DEL DOCUMENTO]],Arreglo_Binaps[Codigo Documento],Arreglo_Binaps[Estado],"No creado",0)</f>
        <v>No creado</v>
      </c>
      <c r="L47" s="66" t="str">
        <f>_xlfn.XLOOKUP(Libromaestro[[#This Row],[CODIGO DEL DOCUMENTO]],Arreglo_Binaps[Codigo Documento],Arreglo_Binaps[Fecha de creación],"",0,1)</f>
        <v/>
      </c>
      <c r="M47" s="66"/>
      <c r="N47"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47"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7" s="74" t="str">
        <f>_xlfn.LET(_xlpm.resultado,_xlfn.XLOOKUP(Libromaestro[[#This Row],[CODIGO DEL DOCUMENTO]],Arreglo_Binaps[Codigo Documento],Arreglo_Binaps[Fecha_Aprobacion],"",0,1),IF(_xlpm.resultado=0,"",_xlpm.resultado))</f>
        <v/>
      </c>
      <c r="Q47" s="173"/>
      <c r="R47" s="75"/>
      <c r="S47" s="76"/>
      <c r="T47" s="73"/>
    </row>
    <row r="48" spans="1:20" ht="33.75" customHeight="1" x14ac:dyDescent="0.3">
      <c r="A48" s="60" t="str">
        <f>IFERROR(VLOOKUP(Libromaestro[[#This Row],[MACROPROCESO]],Tabla1[],2,FALSE),"")</f>
        <v>Proyectos</v>
      </c>
      <c r="B48" s="73" t="s">
        <v>41</v>
      </c>
      <c r="C48" s="64" t="s">
        <v>58</v>
      </c>
      <c r="D48" s="64" t="s">
        <v>22</v>
      </c>
      <c r="E4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4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48" s="76">
        <v>1</v>
      </c>
      <c r="H48" s="60" t="str">
        <f>_xlfn.CONCAT(Libromaestro[[#This Row],[SIGLAS]],"-",Libromaestro[[#This Row],[T. DOC]],"-",Libromaestro[[#This Row],[CONSECUTIVO]])</f>
        <v>P-GU-1</v>
      </c>
      <c r="I48" s="73" t="s">
        <v>129</v>
      </c>
      <c r="J48" s="64">
        <v>1</v>
      </c>
      <c r="K48" s="64" t="str">
        <f>_xlfn.XLOOKUP(Libromaestro[[#This Row],[CODIGO DEL DOCUMENTO]],Arreglo_Binaps[Codigo Documento],Arreglo_Binaps[Estado],"No creado",0)</f>
        <v>Aprobado</v>
      </c>
      <c r="L48" s="66" t="str">
        <f>_xlfn.XLOOKUP(Libromaestro[[#This Row],[CODIGO DEL DOCUMENTO]],Arreglo_Binaps[Codigo Documento],Arreglo_Binaps[Fecha de creación],"",0,1)</f>
        <v>2023-04-05</v>
      </c>
      <c r="M48" s="66"/>
      <c r="N4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46117</v>
      </c>
      <c r="O48"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46117</v>
      </c>
      <c r="P48" s="74">
        <f>_xlfn.LET(_xlpm.resultado,_xlfn.XLOOKUP(Libromaestro[[#This Row],[CODIGO DEL DOCUMENTO]],Arreglo_Binaps[Codigo Documento],Arreglo_Binaps[Fecha_Aprobacion],"",0,1),IF(_xlpm.resultado=0,"",_xlpm.resultado))</f>
        <v>45296</v>
      </c>
      <c r="Q48" s="176"/>
      <c r="R48" s="76"/>
      <c r="S48" s="78" t="s">
        <v>23</v>
      </c>
      <c r="T48" s="79"/>
    </row>
    <row r="49" spans="1:20" ht="33.75" customHeight="1" x14ac:dyDescent="0.3">
      <c r="A49" s="60" t="str">
        <f>IFERROR(VLOOKUP(Libromaestro[[#This Row],[MACROPROCESO]],Tabla1[],2,FALSE),"")</f>
        <v>Suministros</v>
      </c>
      <c r="B49" s="73" t="s">
        <v>45</v>
      </c>
      <c r="C49" s="64" t="s">
        <v>54</v>
      </c>
      <c r="D49" s="64" t="s">
        <v>10</v>
      </c>
      <c r="E4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4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CA</v>
      </c>
      <c r="G49" s="64">
        <v>1</v>
      </c>
      <c r="H49" s="60" t="str">
        <f>_xlfn.CONCAT(Libromaestro[[#This Row],[SIGLAS]],"-",Libromaestro[[#This Row],[T. DOC]],"-",Libromaestro[[#This Row],[CONSECUTIVO]])</f>
        <v>S-CA-1</v>
      </c>
      <c r="I49" s="150" t="s">
        <v>645</v>
      </c>
      <c r="J49" s="64">
        <v>1</v>
      </c>
      <c r="K49" s="64" t="str">
        <f>_xlfn.XLOOKUP(Libromaestro[[#This Row],[CODIGO DEL DOCUMENTO]],Arreglo_Binaps[Codigo Documento],Arreglo_Binaps[Estado],"No creado",0)</f>
        <v>Aprobado</v>
      </c>
      <c r="L49" s="66" t="str">
        <f>_xlfn.XLOOKUP(Libromaestro[[#This Row],[CODIGO DEL DOCUMENTO]],Arreglo_Binaps[Codigo Documento],Arreglo_Binaps[Fecha de creación],"",0,1)</f>
        <v>2024-08-05</v>
      </c>
      <c r="M49" s="66"/>
      <c r="N4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46604</v>
      </c>
      <c r="O49"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46604</v>
      </c>
      <c r="P49" s="74">
        <f>_xlfn.LET(_xlpm.resultado,_xlfn.XLOOKUP(Libromaestro[[#This Row],[CODIGO DEL DOCUMENTO]],Arreglo_Binaps[Codigo Documento],Arreglo_Binaps[Fecha_Aprobacion],"",0,1),IF(_xlpm.resultado=0,"",_xlpm.resultado))</f>
        <v>46218</v>
      </c>
      <c r="Q49" s="173"/>
      <c r="R49" s="75"/>
      <c r="S49" s="76" t="s">
        <v>28</v>
      </c>
      <c r="T49" s="82"/>
    </row>
    <row r="50" spans="1:20" ht="33.75" customHeight="1" x14ac:dyDescent="0.3">
      <c r="A50" s="60" t="str">
        <f>IFERROR(VLOOKUP(Libromaestro[[#This Row],[MACROPROCESO]],Tabla1[],2,FALSE),"")</f>
        <v>Suministros</v>
      </c>
      <c r="B50" s="73" t="s">
        <v>45</v>
      </c>
      <c r="C50" s="64" t="s">
        <v>63</v>
      </c>
      <c r="D50" s="64" t="s">
        <v>10</v>
      </c>
      <c r="E5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5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CA</v>
      </c>
      <c r="G50" s="64">
        <v>2</v>
      </c>
      <c r="H50" s="60" t="str">
        <f>_xlfn.CONCAT(Libromaestro[[#This Row],[SIGLAS]],"-",Libromaestro[[#This Row],[T. DOC]],"-",Libromaestro[[#This Row],[CONSECUTIVO]])</f>
        <v>S-CA-2</v>
      </c>
      <c r="I50" s="150" t="s">
        <v>645</v>
      </c>
      <c r="J50" s="64">
        <v>1</v>
      </c>
      <c r="K50" s="64" t="str">
        <f>_xlfn.XLOOKUP(Libromaestro[[#This Row],[CODIGO DEL DOCUMENTO]],Arreglo_Binaps[Codigo Documento],Arreglo_Binaps[Estado],"No creado",0)</f>
        <v>En Revision</v>
      </c>
      <c r="L50" s="66" t="str">
        <f>_xlfn.XLOOKUP(Libromaestro[[#This Row],[CODIGO DEL DOCUMENTO]],Arreglo_Binaps[Codigo Documento],Arreglo_Binaps[Fecha de creación],"",0,1)</f>
        <v>2026-07-16</v>
      </c>
      <c r="M50" s="66"/>
      <c r="N5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47315</v>
      </c>
      <c r="O50"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47315</v>
      </c>
      <c r="P50" s="74" t="str">
        <f>_xlfn.LET(_xlpm.resultado,_xlfn.XLOOKUP(Libromaestro[[#This Row],[CODIGO DEL DOCUMENTO]],Arreglo_Binaps[Codigo Documento],Arreglo_Binaps[Fecha_Aprobacion],"",0,1),IF(_xlpm.resultado=0,"",_xlpm.resultado))</f>
        <v/>
      </c>
      <c r="Q50" s="173"/>
      <c r="R50" s="75"/>
      <c r="S50" s="76"/>
      <c r="T50" s="73"/>
    </row>
    <row r="51" spans="1:20" ht="33.75" customHeight="1" x14ac:dyDescent="0.3">
      <c r="A51" s="60" t="str">
        <f>IFERROR(VLOOKUP(Libromaestro[[#This Row],[MACROPROCESO]],Tabla1[],2,FALSE),"")</f>
        <v>Suministros</v>
      </c>
      <c r="B51" s="73" t="s">
        <v>45</v>
      </c>
      <c r="C51" s="64" t="s">
        <v>30</v>
      </c>
      <c r="D51" s="64" t="s">
        <v>10</v>
      </c>
      <c r="E5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5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CA</v>
      </c>
      <c r="G51" s="64">
        <v>3</v>
      </c>
      <c r="H51" s="60" t="str">
        <f>_xlfn.CONCAT(Libromaestro[[#This Row],[SIGLAS]],"-",Libromaestro[[#This Row],[T. DOC]],"-",Libromaestro[[#This Row],[CONSECUTIVO]])</f>
        <v>S-CA-3</v>
      </c>
      <c r="I51" s="150" t="s">
        <v>645</v>
      </c>
      <c r="J51" s="64">
        <v>1</v>
      </c>
      <c r="K51" s="64" t="str">
        <f>_xlfn.XLOOKUP(Libromaestro[[#This Row],[CODIGO DEL DOCUMENTO]],Arreglo_Binaps[Codigo Documento],Arreglo_Binaps[Estado],"No creado",0)</f>
        <v>Aprobado</v>
      </c>
      <c r="L51" s="66" t="str">
        <f>_xlfn.XLOOKUP(Libromaestro[[#This Row],[CODIGO DEL DOCUMENTO]],Arreglo_Binaps[Codigo Documento],Arreglo_Binaps[Fecha de creación],"",0,1)</f>
        <v>2024-08-13</v>
      </c>
      <c r="M51" s="66"/>
      <c r="N5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46612</v>
      </c>
      <c r="O51"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46612</v>
      </c>
      <c r="P51" s="74">
        <f>_xlfn.LET(_xlpm.resultado,_xlfn.XLOOKUP(Libromaestro[[#This Row],[CODIGO DEL DOCUMENTO]],Arreglo_Binaps[Codigo Documento],Arreglo_Binaps[Fecha_Aprobacion],"",0,1),IF(_xlpm.resultado=0,"",_xlpm.resultado))</f>
        <v>46098</v>
      </c>
      <c r="Q51" s="173"/>
      <c r="R51" s="75"/>
      <c r="S51" s="76"/>
      <c r="T51" s="73"/>
    </row>
    <row r="52" spans="1:20" ht="33.75" customHeight="1" x14ac:dyDescent="0.3">
      <c r="A52" s="60" t="str">
        <f>IFERROR(VLOOKUP(Libromaestro[[#This Row],[MACROPROCESO]],Tabla1[],2,FALSE),"")</f>
        <v>Suministros</v>
      </c>
      <c r="B52" s="73" t="s">
        <v>45</v>
      </c>
      <c r="C52" s="64" t="s">
        <v>36</v>
      </c>
      <c r="D52" s="64" t="s">
        <v>10</v>
      </c>
      <c r="E5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5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CA</v>
      </c>
      <c r="G52" s="64">
        <v>4</v>
      </c>
      <c r="H52" s="60" t="str">
        <f>_xlfn.CONCAT(Libromaestro[[#This Row],[SIGLAS]],"-",Libromaestro[[#This Row],[T. DOC]],"-",Libromaestro[[#This Row],[CONSECUTIVO]])</f>
        <v>S-CA-4</v>
      </c>
      <c r="I52" s="150" t="s">
        <v>645</v>
      </c>
      <c r="J52" s="64">
        <v>1</v>
      </c>
      <c r="K52" s="64" t="str">
        <f>_xlfn.XLOOKUP(Libromaestro[[#This Row],[CODIGO DEL DOCUMENTO]],Arreglo_Binaps[Codigo Documento],Arreglo_Binaps[Estado],"No creado",0)</f>
        <v>En Revision</v>
      </c>
      <c r="L52" s="66" t="str">
        <f>_xlfn.XLOOKUP(Libromaestro[[#This Row],[CODIGO DEL DOCUMENTO]],Arreglo_Binaps[Codigo Documento],Arreglo_Binaps[Fecha de creación],"",0,1)</f>
        <v>2024-10-28</v>
      </c>
      <c r="M52" s="66"/>
      <c r="N5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46688</v>
      </c>
      <c r="O52"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46688</v>
      </c>
      <c r="P52" s="74" t="str">
        <f>_xlfn.LET(_xlpm.resultado,_xlfn.XLOOKUP(Libromaestro[[#This Row],[CODIGO DEL DOCUMENTO]],Arreglo_Binaps[Codigo Documento],Arreglo_Binaps[Fecha_Aprobacion],"",0,1),IF(_xlpm.resultado=0,"",_xlpm.resultado))</f>
        <v/>
      </c>
      <c r="Q52" s="173"/>
      <c r="R52" s="75"/>
      <c r="S52" s="76"/>
      <c r="T52" s="73"/>
    </row>
    <row r="53" spans="1:20" ht="33.75" customHeight="1" x14ac:dyDescent="0.3">
      <c r="A53" s="60" t="str">
        <f>IFERROR(VLOOKUP(Libromaestro[[#This Row],[MACROPROCESO]],Tabla1[],2,FALSE),"")</f>
        <v>Suministros</v>
      </c>
      <c r="B53" s="73" t="s">
        <v>45</v>
      </c>
      <c r="C53" s="64" t="s">
        <v>30</v>
      </c>
      <c r="D53" s="64" t="s">
        <v>16</v>
      </c>
      <c r="E5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5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3" s="76">
        <v>1</v>
      </c>
      <c r="H53" s="60" t="str">
        <f>_xlfn.CONCAT(Libromaestro[[#This Row],[SIGLAS]],"-",Libromaestro[[#This Row],[T. DOC]],"-",Libromaestro[[#This Row],[CONSECUTIVO]])</f>
        <v>S-FT-1</v>
      </c>
      <c r="I53" s="73" t="s">
        <v>131</v>
      </c>
      <c r="J53" s="64">
        <v>1</v>
      </c>
      <c r="K53" s="64" t="str">
        <f>_xlfn.XLOOKUP(Libromaestro[[#This Row],[CODIGO DEL DOCUMENTO]],Arreglo_Binaps[Codigo Documento],Arreglo_Binaps[Estado],"No creado",0)</f>
        <v>Aprobado</v>
      </c>
      <c r="L53" s="66" t="str">
        <f>_xlfn.XLOOKUP(Libromaestro[[#This Row],[CODIGO DEL DOCUMENTO]],Arreglo_Binaps[Codigo Documento],Arreglo_Binaps[Fecha de creación],"",0,1)</f>
        <v>2025-10-21</v>
      </c>
      <c r="M53" s="66"/>
      <c r="N5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47047</v>
      </c>
      <c r="O53"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47047</v>
      </c>
      <c r="P53" s="74">
        <f>_xlfn.LET(_xlpm.resultado,_xlfn.XLOOKUP(Libromaestro[[#This Row],[CODIGO DEL DOCUMENTO]],Arreglo_Binaps[Codigo Documento],Arreglo_Binaps[Fecha_Aprobacion],"",0,1),IF(_xlpm.resultado=0,"",_xlpm.resultado))</f>
        <v>46050</v>
      </c>
      <c r="Q53" s="176"/>
      <c r="R53" s="76"/>
      <c r="S53" s="78"/>
      <c r="T53" s="79"/>
    </row>
    <row r="54" spans="1:20" ht="33.75" customHeight="1" x14ac:dyDescent="0.3">
      <c r="A54" s="60" t="str">
        <f>IFERROR(VLOOKUP(Libromaestro[[#This Row],[MACROPROCESO]],Tabla1[],2,FALSE),"")</f>
        <v>Suministros</v>
      </c>
      <c r="B54" s="73" t="s">
        <v>45</v>
      </c>
      <c r="C54" s="64" t="s">
        <v>36</v>
      </c>
      <c r="D54" s="64" t="s">
        <v>16</v>
      </c>
      <c r="E5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5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4" s="76">
        <v>2</v>
      </c>
      <c r="H54" s="60" t="str">
        <f>_xlfn.CONCAT(Libromaestro[[#This Row],[SIGLAS]],"-",Libromaestro[[#This Row],[T. DOC]],"-",Libromaestro[[#This Row],[CONSECUTIVO]])</f>
        <v>S-FT-2</v>
      </c>
      <c r="I54" s="73" t="s">
        <v>174</v>
      </c>
      <c r="J54" s="64">
        <v>2</v>
      </c>
      <c r="K54" s="64" t="str">
        <f>_xlfn.XLOOKUP(Libromaestro[[#This Row],[CODIGO DEL DOCUMENTO]],Arreglo_Binaps[Codigo Documento],Arreglo_Binaps[Estado],"No creado",0)</f>
        <v>Aprobado</v>
      </c>
      <c r="L54" s="66" t="str">
        <f>_xlfn.XLOOKUP(Libromaestro[[#This Row],[CODIGO DEL DOCUMENTO]],Arreglo_Binaps[Codigo Documento],Arreglo_Binaps[Fecha de creación],"",0,1)</f>
        <v>2024-02-12</v>
      </c>
      <c r="M54" s="66">
        <v>45853</v>
      </c>
      <c r="N5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O54"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P54" s="74">
        <f>_xlfn.LET(_xlpm.resultado,_xlfn.XLOOKUP(Libromaestro[[#This Row],[CODIGO DEL DOCUMENTO]],Arreglo_Binaps[Codigo Documento],Arreglo_Binaps[Fecha_Aprobacion],"",0,1),IF(_xlpm.resultado=0,"",_xlpm.resultado))</f>
        <v>45853</v>
      </c>
      <c r="Q54" s="176"/>
      <c r="R54" s="76"/>
      <c r="S54" s="78" t="s">
        <v>23</v>
      </c>
      <c r="T54" s="79"/>
    </row>
    <row r="55" spans="1:20" ht="33.75" customHeight="1" x14ac:dyDescent="0.3">
      <c r="A55" s="60" t="str">
        <f>IFERROR(VLOOKUP(Libromaestro[[#This Row],[MACROPROCESO]],Tabla1[],2,FALSE),"")</f>
        <v>Suministros</v>
      </c>
      <c r="B55" s="73" t="s">
        <v>45</v>
      </c>
      <c r="C55" s="64" t="s">
        <v>36</v>
      </c>
      <c r="D55" s="64" t="s">
        <v>16</v>
      </c>
      <c r="E5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5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5" s="76">
        <v>3</v>
      </c>
      <c r="H55" s="60" t="str">
        <f>_xlfn.CONCAT(Libromaestro[[#This Row],[SIGLAS]],"-",Libromaestro[[#This Row],[T. DOC]],"-",Libromaestro[[#This Row],[CONSECUTIVO]])</f>
        <v>S-FT-3</v>
      </c>
      <c r="I55" s="73" t="s">
        <v>206</v>
      </c>
      <c r="J55" s="64">
        <v>1</v>
      </c>
      <c r="K55" s="64" t="str">
        <f>_xlfn.XLOOKUP(Libromaestro[[#This Row],[CODIGO DEL DOCUMENTO]],Arreglo_Binaps[Codigo Documento],Arreglo_Binaps[Estado],"No creado",0)</f>
        <v>Aprobado</v>
      </c>
      <c r="L55" s="66" t="str">
        <f>_xlfn.XLOOKUP(Libromaestro[[#This Row],[CODIGO DEL DOCUMENTO]],Arreglo_Binaps[Codigo Documento],Arreglo_Binaps[Fecha de creación],"",0,1)</f>
        <v>2024-08-23</v>
      </c>
      <c r="M55" s="66"/>
      <c r="N5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46622</v>
      </c>
      <c r="O55"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46622</v>
      </c>
      <c r="P55" s="74">
        <f>_xlfn.LET(_xlpm.resultado,_xlfn.XLOOKUP(Libromaestro[[#This Row],[CODIGO DEL DOCUMENTO]],Arreglo_Binaps[Codigo Documento],Arreglo_Binaps[Fecha_Aprobacion],"",0,1),IF(_xlpm.resultado=0,"",_xlpm.resultado))</f>
        <v>45561</v>
      </c>
      <c r="Q55" s="176"/>
      <c r="R55" s="76"/>
      <c r="S55" s="78"/>
      <c r="T55" s="79"/>
    </row>
    <row r="56" spans="1:20" ht="33.75" customHeight="1" x14ac:dyDescent="0.3">
      <c r="A56" s="60" t="str">
        <f>IFERROR(VLOOKUP(Libromaestro[[#This Row],[MACROPROCESO]],Tabla1[],2,FALSE),"")</f>
        <v>Corporativa</v>
      </c>
      <c r="B56" s="73" t="s">
        <v>13</v>
      </c>
      <c r="C56" s="64" t="s">
        <v>82</v>
      </c>
      <c r="D56" s="64" t="s">
        <v>16</v>
      </c>
      <c r="E5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5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6" s="64">
        <v>2</v>
      </c>
      <c r="H56" s="60" t="str">
        <f>_xlfn.CONCAT(Libromaestro[[#This Row],[SIGLAS]],"-",Libromaestro[[#This Row],[T. DOC]],"-",Libromaestro[[#This Row],[CONSECUTIVO]])</f>
        <v>D-FT-2</v>
      </c>
      <c r="I56" s="84" t="s">
        <v>137</v>
      </c>
      <c r="J56" s="64">
        <v>2</v>
      </c>
      <c r="K56" s="64" t="str">
        <f>_xlfn.XLOOKUP(Libromaestro[[#This Row],[CODIGO DEL DOCUMENTO]],Arreglo_Binaps[Codigo Documento],Arreglo_Binaps[Estado],"No creado",0)</f>
        <v>Aprobado</v>
      </c>
      <c r="L56" s="66" t="str">
        <f>_xlfn.XLOOKUP(Libromaestro[[#This Row],[CODIGO DEL DOCUMENTO]],Arreglo_Binaps[Codigo Documento],Arreglo_Binaps[Fecha de creación],"",0,1)</f>
        <v>2019-11-25</v>
      </c>
      <c r="M56" s="66"/>
      <c r="N5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44890</v>
      </c>
      <c r="O56"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44890</v>
      </c>
      <c r="P56" s="74">
        <f>_xlfn.LET(_xlpm.resultado,_xlfn.XLOOKUP(Libromaestro[[#This Row],[CODIGO DEL DOCUMENTO]],Arreglo_Binaps[Codigo Documento],Arreglo_Binaps[Fecha_Aprobacion],"",0,1),IF(_xlpm.resultado=0,"",_xlpm.resultado))</f>
        <v>43794</v>
      </c>
      <c r="Q56" s="173" t="s">
        <v>138</v>
      </c>
      <c r="R56" s="75"/>
      <c r="S56" s="76" t="s">
        <v>28</v>
      </c>
      <c r="T56" s="73"/>
    </row>
    <row r="57" spans="1:20" ht="33.75" customHeight="1" x14ac:dyDescent="0.3">
      <c r="A57" s="60" t="str">
        <f>IFERROR(VLOOKUP(Libromaestro[[#This Row],[MACROPROCESO]],Tabla1[],2,FALSE),"")</f>
        <v>Corporativa</v>
      </c>
      <c r="B57" s="73" t="s">
        <v>13</v>
      </c>
      <c r="C57" s="64" t="s">
        <v>21</v>
      </c>
      <c r="D57" s="64" t="s">
        <v>22</v>
      </c>
      <c r="E5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5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57" s="64">
        <v>2</v>
      </c>
      <c r="H57" s="60" t="str">
        <f>_xlfn.CONCAT(Libromaestro[[#This Row],[SIGLAS]],"-",Libromaestro[[#This Row],[T. DOC]],"-",Libromaestro[[#This Row],[CONSECUTIVO]])</f>
        <v>D-GU-2</v>
      </c>
      <c r="I57" s="73" t="s">
        <v>139</v>
      </c>
      <c r="J57" s="64">
        <v>1</v>
      </c>
      <c r="K57" s="64" t="str">
        <f>_xlfn.XLOOKUP(Libromaestro[[#This Row],[CODIGO DEL DOCUMENTO]],Arreglo_Binaps[Codigo Documento],Arreglo_Binaps[Estado],"No creado",0)</f>
        <v>Aprobado</v>
      </c>
      <c r="L57" s="66" t="str">
        <f>_xlfn.XLOOKUP(Libromaestro[[#This Row],[CODIGO DEL DOCUMENTO]],Arreglo_Binaps[Codigo Documento],Arreglo_Binaps[Fecha de creación],"",0,1)</f>
        <v>2024-09-19</v>
      </c>
      <c r="M57" s="66"/>
      <c r="N5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46649</v>
      </c>
      <c r="O57"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46649</v>
      </c>
      <c r="P57" s="74">
        <f>_xlfn.LET(_xlpm.resultado,_xlfn.XLOOKUP(Libromaestro[[#This Row],[CODIGO DEL DOCUMENTO]],Arreglo_Binaps[Codigo Documento],Arreglo_Binaps[Fecha_Aprobacion],"",0,1),IF(_xlpm.resultado=0,"",_xlpm.resultado))</f>
        <v>45987</v>
      </c>
      <c r="Q57" s="173"/>
      <c r="R57" s="75"/>
      <c r="S57" s="76"/>
      <c r="T57" s="73"/>
    </row>
    <row r="58" spans="1:20" ht="33.75" customHeight="1" x14ac:dyDescent="0.3">
      <c r="A58" s="60" t="str">
        <f>IFERROR(VLOOKUP(Libromaestro[[#This Row],[MACROPROCESO]],Tabla1[],2,FALSE),"")</f>
        <v>Corporativa</v>
      </c>
      <c r="B58" s="73" t="s">
        <v>13</v>
      </c>
      <c r="C58" s="64" t="s">
        <v>21</v>
      </c>
      <c r="D58" s="64" t="s">
        <v>27</v>
      </c>
      <c r="E5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5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58" s="64">
        <v>2</v>
      </c>
      <c r="H58" s="60" t="str">
        <f>_xlfn.CONCAT(Libromaestro[[#This Row],[SIGLAS]],"-",Libromaestro[[#This Row],[T. DOC]],"-",Libromaestro[[#This Row],[CONSECUTIVO]])</f>
        <v>D-IN-2</v>
      </c>
      <c r="I58" s="73" t="s">
        <v>140</v>
      </c>
      <c r="J58" s="64">
        <v>1</v>
      </c>
      <c r="K58" s="64" t="str">
        <f>_xlfn.XLOOKUP(Libromaestro[[#This Row],[CODIGO DEL DOCUMENTO]],Arreglo_Binaps[Codigo Documento],Arreglo_Binaps[Estado],"No creado",0)</f>
        <v>En aprobacion</v>
      </c>
      <c r="L58" s="66" t="str">
        <f>_xlfn.XLOOKUP(Libromaestro[[#This Row],[CODIGO DEL DOCUMENTO]],Arreglo_Binaps[Codigo Documento],Arreglo_Binaps[Fecha de creación],"",0,1)</f>
        <v>2024-09-18</v>
      </c>
      <c r="M58" s="66"/>
      <c r="N5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46648</v>
      </c>
      <c r="O58"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46648</v>
      </c>
      <c r="P58" s="74" t="str">
        <f>_xlfn.LET(_xlpm.resultado,_xlfn.XLOOKUP(Libromaestro[[#This Row],[CODIGO DEL DOCUMENTO]],Arreglo_Binaps[Codigo Documento],Arreglo_Binaps[Fecha_Aprobacion],"",0,1),IF(_xlpm.resultado=0,"",_xlpm.resultado))</f>
        <v/>
      </c>
      <c r="Q58" s="173"/>
      <c r="R58" s="75"/>
      <c r="S58" s="76"/>
      <c r="T58" s="73"/>
    </row>
    <row r="59" spans="1:20" ht="33.75" customHeight="1" x14ac:dyDescent="0.3">
      <c r="A59" s="60" t="str">
        <f>IFERROR(VLOOKUP(Libromaestro[[#This Row],[MACROPROCESO]],Tabla1[],2,FALSE),"")</f>
        <v>Corporativa</v>
      </c>
      <c r="B59" s="70" t="s">
        <v>13</v>
      </c>
      <c r="C59" s="60" t="s">
        <v>50</v>
      </c>
      <c r="D59" s="60" t="s">
        <v>31</v>
      </c>
      <c r="E59"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59"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59" s="60">
        <v>2</v>
      </c>
      <c r="H59" s="60" t="str">
        <f>_xlfn.CONCAT(Libromaestro[[#This Row],[SIGLAS]],"-",Libromaestro[[#This Row],[T. DOC]],"-",Libromaestro[[#This Row],[CONSECUTIVO]])</f>
        <v>D-MA-2</v>
      </c>
      <c r="I59" s="70" t="s">
        <v>141</v>
      </c>
      <c r="J59" s="60">
        <v>1</v>
      </c>
      <c r="K59" s="64" t="str">
        <f>_xlfn.XLOOKUP(Libromaestro[[#This Row],[CODIGO DEL DOCUMENTO]],Arreglo_Binaps[Codigo Documento],Arreglo_Binaps[Estado],"No creado",0)</f>
        <v>Aprobado</v>
      </c>
      <c r="L59" s="66" t="str">
        <f>_xlfn.XLOOKUP(Libromaestro[[#This Row],[CODIGO DEL DOCUMENTO]],Arreglo_Binaps[Codigo Documento],Arreglo_Binaps[Fecha de creación],"",0,1)</f>
        <v>2025-04-09</v>
      </c>
      <c r="M59" s="66">
        <v>45791</v>
      </c>
      <c r="N5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46887</v>
      </c>
      <c r="O5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46887</v>
      </c>
      <c r="P59" s="67">
        <f>_xlfn.LET(_xlpm.resultado,_xlfn.XLOOKUP(Libromaestro[[#This Row],[CODIGO DEL DOCUMENTO]],Arreglo_Binaps[Codigo Documento],Arreglo_Binaps[Fecha_Aprobacion],"",0,1),IF(_xlpm.resultado=0,"",_xlpm.resultado))</f>
        <v>45833</v>
      </c>
      <c r="Q59" s="172"/>
      <c r="R59" s="68"/>
      <c r="S59" s="69"/>
      <c r="T59" s="70"/>
    </row>
    <row r="60" spans="1:20" ht="33.75" customHeight="1" x14ac:dyDescent="0.3">
      <c r="A60" s="60" t="str">
        <f>IFERROR(VLOOKUP(Libromaestro[[#This Row],[MACROPROCESO]],Tabla1[],2,FALSE),"")</f>
        <v>Corporativa</v>
      </c>
      <c r="B60" s="70" t="s">
        <v>13</v>
      </c>
      <c r="C60" s="60" t="s">
        <v>82</v>
      </c>
      <c r="D60" s="60" t="s">
        <v>16</v>
      </c>
      <c r="E60"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60"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60" s="60">
        <v>14</v>
      </c>
      <c r="H60" s="60" t="str">
        <f>_xlfn.CONCAT(Libromaestro[[#This Row],[SIGLAS]],"-",Libromaestro[[#This Row],[T. DOC]],"-",Libromaestro[[#This Row],[CONSECUTIVO]])</f>
        <v>D-FT-14</v>
      </c>
      <c r="I60" s="70" t="s">
        <v>142</v>
      </c>
      <c r="J60" s="60">
        <v>1</v>
      </c>
      <c r="K60" s="64" t="str">
        <f>_xlfn.XLOOKUP(Libromaestro[[#This Row],[CODIGO DEL DOCUMENTO]],Arreglo_Binaps[Codigo Documento],Arreglo_Binaps[Estado],"No creado",0)</f>
        <v>No creado</v>
      </c>
      <c r="L60" s="66" t="str">
        <f>_xlfn.XLOOKUP(Libromaestro[[#This Row],[CODIGO DEL DOCUMENTO]],Arreglo_Binaps[Codigo Documento],Arreglo_Binaps[Fecha de creación],"",0,1)</f>
        <v/>
      </c>
      <c r="M60" s="66"/>
      <c r="N60"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60"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0" s="67" t="str">
        <f>_xlfn.LET(_xlpm.resultado,_xlfn.XLOOKUP(Libromaestro[[#This Row],[CODIGO DEL DOCUMENTO]],Arreglo_Binaps[Codigo Documento],Arreglo_Binaps[Fecha_Aprobacion],"",0,1),IF(_xlpm.resultado=0,"",_xlpm.resultado))</f>
        <v/>
      </c>
      <c r="Q60" s="172"/>
      <c r="R60" s="68"/>
      <c r="S60" s="69"/>
      <c r="T60" s="70"/>
    </row>
    <row r="61" spans="1:20" ht="33.75" customHeight="1" x14ac:dyDescent="0.3">
      <c r="A61" s="60" t="str">
        <f>IFERROR(VLOOKUP(Libromaestro[[#This Row],[MACROPROCESO]],Tabla1[],2,FALSE),"")</f>
        <v>Alumbrado Público</v>
      </c>
      <c r="B61" s="73" t="s">
        <v>7</v>
      </c>
      <c r="C61" s="64" t="s">
        <v>61</v>
      </c>
      <c r="D61" s="64" t="s">
        <v>10</v>
      </c>
      <c r="E6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6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CA</v>
      </c>
      <c r="G61" s="64">
        <v>2</v>
      </c>
      <c r="H61" s="60" t="str">
        <f>_xlfn.CONCAT(Libromaestro[[#This Row],[SIGLAS]],"-",Libromaestro[[#This Row],[T. DOC]],"-",Libromaestro[[#This Row],[CONSECUTIVO]])</f>
        <v>A-CA-2</v>
      </c>
      <c r="I61" s="150" t="s">
        <v>645</v>
      </c>
      <c r="J61" s="64">
        <v>1</v>
      </c>
      <c r="K61" s="64" t="str">
        <f>_xlfn.XLOOKUP(Libromaestro[[#This Row],[CODIGO DEL DOCUMENTO]],Arreglo_Binaps[Codigo Documento],Arreglo_Binaps[Estado],"No creado",0)</f>
        <v>Aprobado</v>
      </c>
      <c r="L61" s="66" t="str">
        <f>_xlfn.XLOOKUP(Libromaestro[[#This Row],[CODIGO DEL DOCUMENTO]],Arreglo_Binaps[Codigo Documento],Arreglo_Binaps[Fecha de creación],"",0,1)</f>
        <v>2024-05-07</v>
      </c>
      <c r="M61" s="66"/>
      <c r="N6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46514</v>
      </c>
      <c r="O61"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46514</v>
      </c>
      <c r="P61" s="74">
        <f>_xlfn.LET(_xlpm.resultado,_xlfn.XLOOKUP(Libromaestro[[#This Row],[CODIGO DEL DOCUMENTO]],Arreglo_Binaps[Codigo Documento],Arreglo_Binaps[Fecha_Aprobacion],"",0,1),IF(_xlpm.resultado=0,"",_xlpm.resultado))</f>
        <v>45505</v>
      </c>
      <c r="Q61" s="173"/>
      <c r="R61" s="75"/>
      <c r="S61" s="76" t="s">
        <v>28</v>
      </c>
      <c r="T61" s="73"/>
    </row>
    <row r="62" spans="1:20" ht="33.75" customHeight="1" x14ac:dyDescent="0.3">
      <c r="A62" s="60" t="str">
        <f>IFERROR(VLOOKUP(Libromaestro[[#This Row],[MACROPROCESO]],Tabla1[],2,FALSE),"")</f>
        <v>Alumbrado Público</v>
      </c>
      <c r="B62" s="73" t="s">
        <v>7</v>
      </c>
      <c r="C62" s="64" t="s">
        <v>52</v>
      </c>
      <c r="D62" s="64" t="s">
        <v>16</v>
      </c>
      <c r="E6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6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62" s="64">
        <v>2</v>
      </c>
      <c r="H62" s="60" t="str">
        <f>_xlfn.CONCAT(Libromaestro[[#This Row],[SIGLAS]],"-",Libromaestro[[#This Row],[T. DOC]],"-",Libromaestro[[#This Row],[CONSECUTIVO]])</f>
        <v>A-FT-2</v>
      </c>
      <c r="I62" s="73" t="s">
        <v>143</v>
      </c>
      <c r="J62" s="64">
        <v>1</v>
      </c>
      <c r="K62" s="64" t="str">
        <f>_xlfn.XLOOKUP(Libromaestro[[#This Row],[CODIGO DEL DOCUMENTO]],Arreglo_Binaps[Codigo Documento],Arreglo_Binaps[Estado],"No creado",0)</f>
        <v>No creado</v>
      </c>
      <c r="L62" s="66" t="str">
        <f>_xlfn.XLOOKUP(Libromaestro[[#This Row],[CODIGO DEL DOCUMENTO]],Arreglo_Binaps[Codigo Documento],Arreglo_Binaps[Fecha de creación],"",0,1)</f>
        <v/>
      </c>
      <c r="M62" s="66"/>
      <c r="N62"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62"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2" s="74" t="str">
        <f>_xlfn.LET(_xlpm.resultado,_xlfn.XLOOKUP(Libromaestro[[#This Row],[CODIGO DEL DOCUMENTO]],Arreglo_Binaps[Codigo Documento],Arreglo_Binaps[Fecha_Aprobacion],"",0,1),IF(_xlpm.resultado=0,"",_xlpm.resultado))</f>
        <v/>
      </c>
      <c r="Q62" s="173"/>
      <c r="R62" s="75"/>
      <c r="S62" s="76"/>
      <c r="T62" s="73"/>
    </row>
    <row r="63" spans="1:20" ht="33.75" customHeight="1" x14ac:dyDescent="0.3">
      <c r="A63" s="60" t="str">
        <f>IFERROR(VLOOKUP(Libromaestro[[#This Row],[MACROPROCESO]],Tabla1[],2,FALSE),"")</f>
        <v>Alumbrado Público</v>
      </c>
      <c r="B63" s="73" t="s">
        <v>7</v>
      </c>
      <c r="C63" s="64" t="s">
        <v>52</v>
      </c>
      <c r="D63" s="64" t="s">
        <v>22</v>
      </c>
      <c r="E6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6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63" s="64">
        <v>2</v>
      </c>
      <c r="H63" s="60" t="str">
        <f>_xlfn.CONCAT(Libromaestro[[#This Row],[SIGLAS]],"-",Libromaestro[[#This Row],[T. DOC]],"-",Libromaestro[[#This Row],[CONSECUTIVO]])</f>
        <v>A-GU-2</v>
      </c>
      <c r="I63" s="73" t="s">
        <v>144</v>
      </c>
      <c r="J63" s="64">
        <v>1</v>
      </c>
      <c r="K63" s="64" t="str">
        <f>_xlfn.XLOOKUP(Libromaestro[[#This Row],[CODIGO DEL DOCUMENTO]],Arreglo_Binaps[Codigo Documento],Arreglo_Binaps[Estado],"No creado",0)</f>
        <v>Aprobado</v>
      </c>
      <c r="L63" s="66" t="str">
        <f>_xlfn.XLOOKUP(Libromaestro[[#This Row],[CODIGO DEL DOCUMENTO]],Arreglo_Binaps[Codigo Documento],Arreglo_Binaps[Fecha de creación],"",0,1)</f>
        <v>2024-09-23</v>
      </c>
      <c r="M63" s="66"/>
      <c r="N6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46653</v>
      </c>
      <c r="O63"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46653</v>
      </c>
      <c r="P63" s="74">
        <f>_xlfn.LET(_xlpm.resultado,_xlfn.XLOOKUP(Libromaestro[[#This Row],[CODIGO DEL DOCUMENTO]],Arreglo_Binaps[Codigo Documento],Arreglo_Binaps[Fecha_Aprobacion],"",0,1),IF(_xlpm.resultado=0,"",_xlpm.resultado))</f>
        <v>45589</v>
      </c>
      <c r="Q63" s="173"/>
      <c r="R63" s="75"/>
      <c r="S63" s="76"/>
      <c r="T63" s="73"/>
    </row>
    <row r="64" spans="1:20" ht="33.75" customHeight="1" x14ac:dyDescent="0.3">
      <c r="A64" s="60" t="str">
        <f>IFERROR(VLOOKUP(Libromaestro[[#This Row],[MACROPROCESO]],Tabla1[],2,FALSE),"")</f>
        <v>Alumbrado Público</v>
      </c>
      <c r="B64" s="73" t="s">
        <v>7</v>
      </c>
      <c r="C64" s="64" t="s">
        <v>52</v>
      </c>
      <c r="D64" s="64" t="s">
        <v>27</v>
      </c>
      <c r="E6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6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64" s="64">
        <v>2</v>
      </c>
      <c r="H64" s="60" t="str">
        <f>_xlfn.CONCAT(Libromaestro[[#This Row],[SIGLAS]],"-",Libromaestro[[#This Row],[T. DOC]],"-",Libromaestro[[#This Row],[CONSECUTIVO]])</f>
        <v>A-IN-2</v>
      </c>
      <c r="I64" s="73" t="s">
        <v>145</v>
      </c>
      <c r="J64" s="64">
        <v>1</v>
      </c>
      <c r="K64" s="64" t="str">
        <f>_xlfn.XLOOKUP(Libromaestro[[#This Row],[CODIGO DEL DOCUMENTO]],Arreglo_Binaps[Codigo Documento],Arreglo_Binaps[Estado],"No creado",0)</f>
        <v>Aprobado</v>
      </c>
      <c r="L64" s="66" t="str">
        <f>_xlfn.XLOOKUP(Libromaestro[[#This Row],[CODIGO DEL DOCUMENTO]],Arreglo_Binaps[Codigo Documento],Arreglo_Binaps[Fecha de creación],"",0,1)</f>
        <v>2024-08-21</v>
      </c>
      <c r="M64" s="66"/>
      <c r="N6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46620</v>
      </c>
      <c r="O64"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46620</v>
      </c>
      <c r="P64" s="74">
        <f>_xlfn.LET(_xlpm.resultado,_xlfn.XLOOKUP(Libromaestro[[#This Row],[CODIGO DEL DOCUMENTO]],Arreglo_Binaps[Codigo Documento],Arreglo_Binaps[Fecha_Aprobacion],"",0,1),IF(_xlpm.resultado=0,"",_xlpm.resultado))</f>
        <v>45589</v>
      </c>
      <c r="Q64" s="173"/>
      <c r="R64" s="75"/>
      <c r="S64" s="76"/>
      <c r="T64" s="73"/>
    </row>
    <row r="65" spans="1:20" ht="33.75" customHeight="1" x14ac:dyDescent="0.3">
      <c r="A65" s="60" t="str">
        <f>IFERROR(VLOOKUP(Libromaestro[[#This Row],[MACROPROCESO]],Tabla1[],2,FALSE),"")</f>
        <v>Alumbrado Público</v>
      </c>
      <c r="B65" s="73" t="s">
        <v>7</v>
      </c>
      <c r="C65" s="64" t="s">
        <v>61</v>
      </c>
      <c r="D65" s="64" t="s">
        <v>16</v>
      </c>
      <c r="E6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6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65" s="64">
        <v>32</v>
      </c>
      <c r="H65" s="60" t="str">
        <f>_xlfn.CONCAT(Libromaestro[[#This Row],[SIGLAS]],"-",Libromaestro[[#This Row],[T. DOC]],"-",Libromaestro[[#This Row],[CONSECUTIVO]])</f>
        <v>A-FT-32</v>
      </c>
      <c r="I65" s="73" t="s">
        <v>146</v>
      </c>
      <c r="J65" s="64">
        <v>2</v>
      </c>
      <c r="K65" s="64" t="str">
        <f>_xlfn.XLOOKUP(Libromaestro[[#This Row],[CODIGO DEL DOCUMENTO]],Arreglo_Binaps[Codigo Documento],Arreglo_Binaps[Estado],"No creado",0)</f>
        <v>Aprobado</v>
      </c>
      <c r="L65" s="66" t="str">
        <f>_xlfn.XLOOKUP(Libromaestro[[#This Row],[CODIGO DEL DOCUMENTO]],Arreglo_Binaps[Codigo Documento],Arreglo_Binaps[Fecha de creación],"",0,1)</f>
        <v>2023-06-19</v>
      </c>
      <c r="M65" s="66">
        <v>45925</v>
      </c>
      <c r="N6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47021</v>
      </c>
      <c r="O65"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47021</v>
      </c>
      <c r="P65" s="74">
        <f>_xlfn.LET(_xlpm.resultado,_xlfn.XLOOKUP(Libromaestro[[#This Row],[CODIGO DEL DOCUMENTO]],Arreglo_Binaps[Codigo Documento],Arreglo_Binaps[Fecha_Aprobacion],"",0,1),IF(_xlpm.resultado=0,"",_xlpm.resultado))</f>
        <v>45925</v>
      </c>
      <c r="Q65" s="173"/>
      <c r="R65" s="75"/>
      <c r="S65" s="76" t="s">
        <v>28</v>
      </c>
      <c r="T65" s="73"/>
    </row>
    <row r="66" spans="1:20" ht="33.75" customHeight="1" x14ac:dyDescent="0.3">
      <c r="A66" s="60" t="str">
        <f>IFERROR(VLOOKUP(Libromaestro[[#This Row],[MACROPROCESO]],Tabla1[],2,FALSE),"")</f>
        <v>Alumbrado Público</v>
      </c>
      <c r="B66" s="73" t="s">
        <v>7</v>
      </c>
      <c r="C66" s="64" t="s">
        <v>61</v>
      </c>
      <c r="D66" s="64" t="s">
        <v>27</v>
      </c>
      <c r="E6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6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66" s="64">
        <v>10</v>
      </c>
      <c r="H66" s="60" t="str">
        <f>_xlfn.CONCAT(Libromaestro[[#This Row],[SIGLAS]],"-",Libromaestro[[#This Row],[T. DOC]],"-",Libromaestro[[#This Row],[CONSECUTIVO]])</f>
        <v>A-IN-10</v>
      </c>
      <c r="I66" s="73" t="s">
        <v>147</v>
      </c>
      <c r="J66" s="64">
        <v>1</v>
      </c>
      <c r="K66" s="64" t="str">
        <f>_xlfn.XLOOKUP(Libromaestro[[#This Row],[CODIGO DEL DOCUMENTO]],Arreglo_Binaps[Codigo Documento],Arreglo_Binaps[Estado],"No creado",0)</f>
        <v>No creado</v>
      </c>
      <c r="L66" s="66" t="str">
        <f>_xlfn.XLOOKUP(Libromaestro[[#This Row],[CODIGO DEL DOCUMENTO]],Arreglo_Binaps[Codigo Documento],Arreglo_Binaps[Fecha de creación],"",0,1)</f>
        <v/>
      </c>
      <c r="M66" s="66"/>
      <c r="N66"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66"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6" s="74" t="str">
        <f>_xlfn.LET(_xlpm.resultado,_xlfn.XLOOKUP(Libromaestro[[#This Row],[CODIGO DEL DOCUMENTO]],Arreglo_Binaps[Codigo Documento],Arreglo_Binaps[Fecha_Aprobacion],"",0,1),IF(_xlpm.resultado=0,"",_xlpm.resultado))</f>
        <v/>
      </c>
      <c r="Q66" s="173"/>
      <c r="R66" s="75"/>
      <c r="S66" s="76"/>
      <c r="T66" s="73"/>
    </row>
    <row r="67" spans="1:20" ht="33.75" customHeight="1" x14ac:dyDescent="0.3">
      <c r="A67" s="60" t="str">
        <f>IFERROR(VLOOKUP(Libromaestro[[#This Row],[MACROPROCESO]],Tabla1[],2,FALSE),"")</f>
        <v>Corportativa</v>
      </c>
      <c r="B67" s="73" t="s">
        <v>49</v>
      </c>
      <c r="C67" s="64" t="s">
        <v>2254</v>
      </c>
      <c r="D67" s="64" t="s">
        <v>22</v>
      </c>
      <c r="E6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6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67" s="76">
        <v>2</v>
      </c>
      <c r="H67" s="60" t="str">
        <f>_xlfn.CONCAT(Libromaestro[[#This Row],[SIGLAS]],"-",Libromaestro[[#This Row],[T. DOC]],"-",Libromaestro[[#This Row],[CONSECUTIVO]])</f>
        <v>T-GU-2</v>
      </c>
      <c r="I67" s="73" t="s">
        <v>148</v>
      </c>
      <c r="J67" s="64">
        <v>1</v>
      </c>
      <c r="K67" s="64" t="str">
        <f>_xlfn.XLOOKUP(Libromaestro[[#This Row],[CODIGO DEL DOCUMENTO]],Arreglo_Binaps[Codigo Documento],Arreglo_Binaps[Estado],"No creado",0)</f>
        <v>No creado</v>
      </c>
      <c r="L67" s="66" t="str">
        <f>_xlfn.XLOOKUP(Libromaestro[[#This Row],[CODIGO DEL DOCUMENTO]],Arreglo_Binaps[Codigo Documento],Arreglo_Binaps[Fecha de creación],"",0,1)</f>
        <v/>
      </c>
      <c r="M67" s="66"/>
      <c r="N67"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67"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7" s="74" t="str">
        <f>_xlfn.LET(_xlpm.resultado,_xlfn.XLOOKUP(Libromaestro[[#This Row],[CODIGO DEL DOCUMENTO]],Arreglo_Binaps[Codigo Documento],Arreglo_Binaps[Fecha_Aprobacion],"",0,1),IF(_xlpm.resultado=0,"",_xlpm.resultado))</f>
        <v/>
      </c>
      <c r="Q67" s="176"/>
      <c r="R67" s="76"/>
      <c r="S67" s="78"/>
      <c r="T67" s="79"/>
    </row>
    <row r="68" spans="1:20" ht="33.75" customHeight="1" x14ac:dyDescent="0.3">
      <c r="A68" s="60" t="str">
        <f>IFERROR(VLOOKUP(Libromaestro[[#This Row],[MACROPROCESO]],Tabla1[],2,FALSE),"")</f>
        <v>Corportativa</v>
      </c>
      <c r="B68" s="73" t="s">
        <v>49</v>
      </c>
      <c r="C68" s="64" t="s">
        <v>2254</v>
      </c>
      <c r="D68" s="64" t="s">
        <v>22</v>
      </c>
      <c r="E6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6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68" s="76">
        <v>3</v>
      </c>
      <c r="H68" s="60" t="str">
        <f>_xlfn.CONCAT(Libromaestro[[#This Row],[SIGLAS]],"-",Libromaestro[[#This Row],[T. DOC]],"-",Libromaestro[[#This Row],[CONSECUTIVO]])</f>
        <v>T-GU-3</v>
      </c>
      <c r="I68" s="73" t="s">
        <v>149</v>
      </c>
      <c r="J68" s="64">
        <v>1</v>
      </c>
      <c r="K68" s="64" t="str">
        <f>_xlfn.XLOOKUP(Libromaestro[[#This Row],[CODIGO DEL DOCUMENTO]],Arreglo_Binaps[Codigo Documento],Arreglo_Binaps[Estado],"No creado",0)</f>
        <v>No creado</v>
      </c>
      <c r="L68" s="66" t="str">
        <f>_xlfn.XLOOKUP(Libromaestro[[#This Row],[CODIGO DEL DOCUMENTO]],Arreglo_Binaps[Codigo Documento],Arreglo_Binaps[Fecha de creación],"",0,1)</f>
        <v/>
      </c>
      <c r="M68" s="66"/>
      <c r="N68"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68"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8" s="74" t="str">
        <f>_xlfn.LET(_xlpm.resultado,_xlfn.XLOOKUP(Libromaestro[[#This Row],[CODIGO DEL DOCUMENTO]],Arreglo_Binaps[Codigo Documento],Arreglo_Binaps[Fecha_Aprobacion],"",0,1),IF(_xlpm.resultado=0,"",_xlpm.resultado))</f>
        <v/>
      </c>
      <c r="Q68" s="176"/>
      <c r="R68" s="76"/>
      <c r="S68" s="78"/>
      <c r="T68" s="79"/>
    </row>
    <row r="69" spans="1:20" ht="33.75" customHeight="1" x14ac:dyDescent="0.3">
      <c r="A69" s="60" t="str">
        <f>IFERROR(VLOOKUP(Libromaestro[[#This Row],[MACROPROCESO]],Tabla1[],2,FALSE),"")</f>
        <v>Corportativa</v>
      </c>
      <c r="B69" s="70" t="s">
        <v>49</v>
      </c>
      <c r="C69" s="64" t="s">
        <v>2254</v>
      </c>
      <c r="D69" s="60" t="s">
        <v>27</v>
      </c>
      <c r="E69"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69"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69" s="69">
        <v>1</v>
      </c>
      <c r="H69" s="60" t="str">
        <f>_xlfn.CONCAT(Libromaestro[[#This Row],[SIGLAS]],"-",Libromaestro[[#This Row],[T. DOC]],"-",Libromaestro[[#This Row],[CONSECUTIVO]])</f>
        <v>T-IN-1</v>
      </c>
      <c r="I69" s="70" t="s">
        <v>150</v>
      </c>
      <c r="J69" s="60">
        <v>1</v>
      </c>
      <c r="K69" s="64" t="str">
        <f>_xlfn.XLOOKUP(Libromaestro[[#This Row],[CODIGO DEL DOCUMENTO]],Arreglo_Binaps[Codigo Documento],Arreglo_Binaps[Estado],"No creado",0)</f>
        <v>No creado</v>
      </c>
      <c r="L69" s="66" t="str">
        <f>_xlfn.XLOOKUP(Libromaestro[[#This Row],[CODIGO DEL DOCUMENTO]],Arreglo_Binaps[Codigo Documento],Arreglo_Binaps[Fecha de creación],"",0,1)</f>
        <v/>
      </c>
      <c r="M69" s="66"/>
      <c r="N69"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69"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9" s="67" t="str">
        <f>_xlfn.LET(_xlpm.resultado,_xlfn.XLOOKUP(Libromaestro[[#This Row],[CODIGO DEL DOCUMENTO]],Arreglo_Binaps[Codigo Documento],Arreglo_Binaps[Fecha_Aprobacion],"",0,1),IF(_xlpm.resultado=0,"",_xlpm.resultado))</f>
        <v/>
      </c>
      <c r="Q69" s="177"/>
      <c r="R69" s="69"/>
      <c r="S69" s="85"/>
      <c r="T69" s="86"/>
    </row>
    <row r="70" spans="1:20" ht="33.75" customHeight="1" x14ac:dyDescent="0.3">
      <c r="A70" s="60" t="str">
        <f>IFERROR(VLOOKUP(Libromaestro[[#This Row],[MACROPROCESO]],Tabla1[],2,FALSE),"")</f>
        <v>Corportativa</v>
      </c>
      <c r="B70" s="38" t="s">
        <v>49</v>
      </c>
      <c r="C70" s="64" t="s">
        <v>2254</v>
      </c>
      <c r="D70" s="39" t="s">
        <v>27</v>
      </c>
      <c r="E70"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70"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70" s="60">
        <v>10</v>
      </c>
      <c r="H70" s="60" t="str">
        <f>_xlfn.CONCAT(Libromaestro[[#This Row],[SIGLAS]],"-",Libromaestro[[#This Row],[T. DOC]],"-",Libromaestro[[#This Row],[CONSECUTIVO]])</f>
        <v>T-IN-10</v>
      </c>
      <c r="I70" s="49" t="s">
        <v>151</v>
      </c>
      <c r="J70" s="60"/>
      <c r="K70" s="64" t="str">
        <f>_xlfn.XLOOKUP(Libromaestro[[#This Row],[CODIGO DEL DOCUMENTO]],Arreglo_Binaps[Codigo Documento],Arreglo_Binaps[Estado],"No creado",0)</f>
        <v>No creado</v>
      </c>
      <c r="L70" s="66" t="str">
        <f>_xlfn.XLOOKUP(Libromaestro[[#This Row],[CODIGO DEL DOCUMENTO]],Arreglo_Binaps[Codigo Documento],Arreglo_Binaps[Fecha de creación],"",0,1)</f>
        <v/>
      </c>
      <c r="M70" s="66"/>
      <c r="N70" s="65"/>
      <c r="O70" s="67"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70" s="67" t="str">
        <f>_xlfn.LET(_xlpm.resultado,_xlfn.XLOOKUP(Libromaestro[[#This Row],[CODIGO DEL DOCUMENTO]],Arreglo_Binaps[Codigo Documento],Arreglo_Binaps[Fecha_Aprobacion],"",0,1),IF(_xlpm.resultado=0,"",_xlpm.resultado))</f>
        <v/>
      </c>
      <c r="Q70" s="172"/>
      <c r="R70" s="68"/>
      <c r="S70" s="69"/>
      <c r="T70" s="87"/>
    </row>
    <row r="71" spans="1:20" ht="33.75" customHeight="1" x14ac:dyDescent="0.3">
      <c r="A71" s="60" t="str">
        <f>IFERROR(VLOOKUP(Libromaestro[[#This Row],[MACROPROCESO]],Tabla1[],2,FALSE),"")</f>
        <v>Electroingeniería</v>
      </c>
      <c r="B71" s="73" t="s">
        <v>29</v>
      </c>
      <c r="C71" s="64" t="s">
        <v>2255</v>
      </c>
      <c r="D71" s="64" t="s">
        <v>16</v>
      </c>
      <c r="E7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7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71" s="64">
        <v>2</v>
      </c>
      <c r="H71" s="60" t="str">
        <f>_xlfn.CONCAT(Libromaestro[[#This Row],[SIGLAS]],"-",Libromaestro[[#This Row],[T. DOC]],"-",Libromaestro[[#This Row],[CONSECUTIVO]])</f>
        <v>L-FT-2</v>
      </c>
      <c r="I71" s="73" t="s">
        <v>152</v>
      </c>
      <c r="J71" s="64">
        <v>1</v>
      </c>
      <c r="K71" s="64" t="str">
        <f>_xlfn.XLOOKUP(Libromaestro[[#This Row],[CODIGO DEL DOCUMENTO]],Arreglo_Binaps[Codigo Documento],Arreglo_Binaps[Estado],"No creado",0)</f>
        <v>Aprobado</v>
      </c>
      <c r="L71" s="66" t="str">
        <f>_xlfn.XLOOKUP(Libromaestro[[#This Row],[CODIGO DEL DOCUMENTO]],Arreglo_Binaps[Codigo Documento],Arreglo_Binaps[Fecha de creación],"",0,1)</f>
        <v>2023-10-23</v>
      </c>
      <c r="M71" s="66"/>
      <c r="N7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46318</v>
      </c>
      <c r="O71"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46318</v>
      </c>
      <c r="P71" s="74">
        <f>_xlfn.LET(_xlpm.resultado,_xlfn.XLOOKUP(Libromaestro[[#This Row],[CODIGO DEL DOCUMENTO]],Arreglo_Binaps[Codigo Documento],Arreglo_Binaps[Fecha_Aprobacion],"",0,1),IF(_xlpm.resultado=0,"",_xlpm.resultado))</f>
        <v>45715</v>
      </c>
      <c r="Q71" s="173"/>
      <c r="R71" s="75"/>
      <c r="S71" s="76" t="s">
        <v>23</v>
      </c>
      <c r="T71" s="73"/>
    </row>
    <row r="72" spans="1:20" ht="33.75" customHeight="1" x14ac:dyDescent="0.3">
      <c r="A72" s="60" t="str">
        <f>IFERROR(VLOOKUP(Libromaestro[[#This Row],[MACROPROCESO]],Tabla1[],2,FALSE),"")</f>
        <v>Electroingeniería</v>
      </c>
      <c r="B72" s="73" t="s">
        <v>29</v>
      </c>
      <c r="C72" s="64" t="s">
        <v>2255</v>
      </c>
      <c r="D72" s="64" t="s">
        <v>16</v>
      </c>
      <c r="E7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7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72" s="64">
        <v>15</v>
      </c>
      <c r="H72" s="60" t="str">
        <f>_xlfn.CONCAT(Libromaestro[[#This Row],[SIGLAS]],"-",Libromaestro[[#This Row],[T. DOC]],"-",Libromaestro[[#This Row],[CONSECUTIVO]])</f>
        <v>L-FT-15</v>
      </c>
      <c r="I72" s="73" t="s">
        <v>153</v>
      </c>
      <c r="J72" s="64">
        <v>1</v>
      </c>
      <c r="K72" s="64" t="str">
        <f>_xlfn.XLOOKUP(Libromaestro[[#This Row],[CODIGO DEL DOCUMENTO]],Arreglo_Binaps[Codigo Documento],Arreglo_Binaps[Estado],"No creado",0)</f>
        <v>No creado</v>
      </c>
      <c r="L72" s="66" t="str">
        <f>_xlfn.XLOOKUP(Libromaestro[[#This Row],[CODIGO DEL DOCUMENTO]],Arreglo_Binaps[Codigo Documento],Arreglo_Binaps[Fecha de creación],"",0,1)</f>
        <v/>
      </c>
      <c r="M72" s="66"/>
      <c r="N72"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72"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72" s="74" t="str">
        <f>_xlfn.LET(_xlpm.resultado,_xlfn.XLOOKUP(Libromaestro[[#This Row],[CODIGO DEL DOCUMENTO]],Arreglo_Binaps[Codigo Documento],Arreglo_Binaps[Fecha_Aprobacion],"",0,1),IF(_xlpm.resultado=0,"",_xlpm.resultado))</f>
        <v/>
      </c>
      <c r="Q72" s="173"/>
      <c r="R72" s="75"/>
      <c r="S72" s="76"/>
      <c r="T72" s="73"/>
    </row>
    <row r="73" spans="1:20" ht="33.75" customHeight="1" x14ac:dyDescent="0.3">
      <c r="A73" s="60" t="str">
        <f>IFERROR(VLOOKUP(Libromaestro[[#This Row],[MACROPROCESO]],Tabla1[],2,FALSE),"")</f>
        <v>Electroingeniería</v>
      </c>
      <c r="B73" s="73" t="s">
        <v>29</v>
      </c>
      <c r="C73" s="64" t="s">
        <v>2255</v>
      </c>
      <c r="D73" s="64" t="s">
        <v>37</v>
      </c>
      <c r="E7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7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73" s="64">
        <v>2</v>
      </c>
      <c r="H73" s="60" t="str">
        <f>_xlfn.CONCAT(Libromaestro[[#This Row],[SIGLAS]],"-",Libromaestro[[#This Row],[T. DOC]],"-",Libromaestro[[#This Row],[CONSECUTIVO]])</f>
        <v>L-PO-2</v>
      </c>
      <c r="I73" s="73" t="s">
        <v>154</v>
      </c>
      <c r="J73" s="64">
        <v>1</v>
      </c>
      <c r="K73" s="64" t="str">
        <f>_xlfn.XLOOKUP(Libromaestro[[#This Row],[CODIGO DEL DOCUMENTO]],Arreglo_Binaps[Codigo Documento],Arreglo_Binaps[Estado],"No creado",0)</f>
        <v>Aprobado</v>
      </c>
      <c r="L73" s="66" t="str">
        <f>_xlfn.XLOOKUP(Libromaestro[[#This Row],[CODIGO DEL DOCUMENTO]],Arreglo_Binaps[Codigo Documento],Arreglo_Binaps[Fecha de creación],"",0,1)</f>
        <v>2024-06-13</v>
      </c>
      <c r="M73" s="66">
        <v>45744</v>
      </c>
      <c r="N7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46840</v>
      </c>
      <c r="O73"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46840</v>
      </c>
      <c r="P73" s="74">
        <f>_xlfn.LET(_xlpm.resultado,_xlfn.XLOOKUP(Libromaestro[[#This Row],[CODIGO DEL DOCUMENTO]],Arreglo_Binaps[Codigo Documento],Arreglo_Binaps[Fecha_Aprobacion],"",0,1),IF(_xlpm.resultado=0,"",_xlpm.resultado))</f>
        <v>45744</v>
      </c>
      <c r="Q73" s="173"/>
      <c r="R73" s="75"/>
      <c r="S73" s="76"/>
      <c r="T73" s="73"/>
    </row>
    <row r="74" spans="1:20" ht="33.75" customHeight="1" x14ac:dyDescent="0.3">
      <c r="A74" s="60" t="str">
        <f>IFERROR(VLOOKUP(Libromaestro[[#This Row],[MACROPROCESO]],Tabla1[],2,FALSE),"")</f>
        <v>Corporativa</v>
      </c>
      <c r="B74" s="73" t="s">
        <v>13</v>
      </c>
      <c r="C74" s="64" t="s">
        <v>55</v>
      </c>
      <c r="D74" s="64" t="s">
        <v>34</v>
      </c>
      <c r="E7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7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74" s="64">
        <v>4</v>
      </c>
      <c r="H74" s="60" t="str">
        <f>_xlfn.CONCAT(Libromaestro[[#This Row],[SIGLAS]],"-",Libromaestro[[#This Row],[T. DOC]],"-",Libromaestro[[#This Row],[CONSECUTIVO]])</f>
        <v>D-PR-4</v>
      </c>
      <c r="I74" s="73" t="s">
        <v>212</v>
      </c>
      <c r="J74" s="64">
        <v>1</v>
      </c>
      <c r="K74" s="64" t="str">
        <f>_xlfn.XLOOKUP(Libromaestro[[#This Row],[CODIGO DEL DOCUMENTO]],Arreglo_Binaps[Codigo Documento],Arreglo_Binaps[Estado],"No creado",0)</f>
        <v>Aprobado</v>
      </c>
      <c r="L74" s="66" t="str">
        <f>_xlfn.XLOOKUP(Libromaestro[[#This Row],[CODIGO DEL DOCUMENTO]],Arreglo_Binaps[Codigo Documento],Arreglo_Binaps[Fecha de creación],"",0,1)</f>
        <v>2024-04-08</v>
      </c>
      <c r="M74" s="66"/>
      <c r="N7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46485</v>
      </c>
      <c r="O74"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46485</v>
      </c>
      <c r="P74" s="74">
        <f>_xlfn.LET(_xlpm.resultado,_xlfn.XLOOKUP(Libromaestro[[#This Row],[CODIGO DEL DOCUMENTO]],Arreglo_Binaps[Codigo Documento],Arreglo_Binaps[Fecha_Aprobacion],"",0,1),IF(_xlpm.resultado=0,"",_xlpm.resultado))</f>
        <v>45463</v>
      </c>
      <c r="Q74" s="173"/>
      <c r="R74" s="75"/>
      <c r="S74" s="76" t="s">
        <v>28</v>
      </c>
      <c r="T74" s="73"/>
    </row>
    <row r="75" spans="1:20" ht="33.75" customHeight="1" x14ac:dyDescent="0.3">
      <c r="A75" s="60" t="str">
        <f>IFERROR(VLOOKUP(Libromaestro[[#This Row],[MACROPROCESO]],Tabla1[],2,FALSE),"")</f>
        <v>Electroingeniería</v>
      </c>
      <c r="B75" s="73" t="s">
        <v>19</v>
      </c>
      <c r="C75" s="60" t="s">
        <v>43</v>
      </c>
      <c r="D75" s="64" t="s">
        <v>37</v>
      </c>
      <c r="E7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E</v>
      </c>
      <c r="F7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75" s="64">
        <v>2</v>
      </c>
      <c r="H75" s="60" t="str">
        <f>_xlfn.CONCAT(Libromaestro[[#This Row],[SIGLAS]],"-",Libromaestro[[#This Row],[T. DOC]],"-",Libromaestro[[#This Row],[CONSECUTIVO]])</f>
        <v>E-PO-2</v>
      </c>
      <c r="I75" s="70" t="s">
        <v>156</v>
      </c>
      <c r="J75" s="60">
        <v>1</v>
      </c>
      <c r="K75" s="64" t="str">
        <f>_xlfn.XLOOKUP(Libromaestro[[#This Row],[CODIGO DEL DOCUMENTO]],Arreglo_Binaps[Codigo Documento],Arreglo_Binaps[Estado],"No creado",0)</f>
        <v>Aprobado</v>
      </c>
      <c r="L75" s="66" t="str">
        <f>_xlfn.XLOOKUP(Libromaestro[[#This Row],[CODIGO DEL DOCUMENTO]],Arreglo_Binaps[Codigo Documento],Arreglo_Binaps[Fecha de creación],"",0,1)</f>
        <v>2026-05-29</v>
      </c>
      <c r="M75" s="65"/>
      <c r="N7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47267</v>
      </c>
      <c r="O7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47267</v>
      </c>
      <c r="P75" s="67">
        <f>_xlfn.LET(_xlpm.resultado,_xlfn.XLOOKUP(Libromaestro[[#This Row],[CODIGO DEL DOCUMENTO]],Arreglo_Binaps[Codigo Documento],Arreglo_Binaps[Fecha_Aprobacion],"",0,1),IF(_xlpm.resultado=0,"",_xlpm.resultado))</f>
        <v>46210</v>
      </c>
      <c r="Q75" s="172"/>
      <c r="R75" s="68"/>
      <c r="S75" s="69"/>
      <c r="T75" s="70"/>
    </row>
    <row r="76" spans="1:20" ht="33.75" customHeight="1" x14ac:dyDescent="0.3">
      <c r="A76" s="60" t="str">
        <f>IFERROR(VLOOKUP(Libromaestro[[#This Row],[MACROPROCESO]],Tabla1[],2,FALSE),"")</f>
        <v>Corportativa</v>
      </c>
      <c r="B76" s="73" t="s">
        <v>24</v>
      </c>
      <c r="C76" s="64" t="s">
        <v>2252</v>
      </c>
      <c r="D76" s="64" t="s">
        <v>16</v>
      </c>
      <c r="E7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7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76" s="64">
        <v>2</v>
      </c>
      <c r="H76" s="60" t="str">
        <f>_xlfn.CONCAT(Libromaestro[[#This Row],[SIGLAS]],"-",Libromaestro[[#This Row],[T. DOC]],"-",Libromaestro[[#This Row],[CONSECUTIVO]])</f>
        <v>F-FT-2</v>
      </c>
      <c r="I76" s="70" t="s">
        <v>157</v>
      </c>
      <c r="J76" s="60">
        <v>1</v>
      </c>
      <c r="K76" s="64" t="str">
        <f>_xlfn.XLOOKUP(Libromaestro[[#This Row],[CODIGO DEL DOCUMENTO]],Arreglo_Binaps[Codigo Documento],Arreglo_Binaps[Estado],"No creado",0)</f>
        <v>No creado</v>
      </c>
      <c r="L76" s="66" t="str">
        <f>_xlfn.XLOOKUP(Libromaestro[[#This Row],[CODIGO DEL DOCUMENTO]],Arreglo_Binaps[Codigo Documento],Arreglo_Binaps[Fecha de creación],"",0,1)</f>
        <v/>
      </c>
      <c r="M76" s="65"/>
      <c r="N76"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76"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76" s="67" t="str">
        <f>_xlfn.LET(_xlpm.resultado,_xlfn.XLOOKUP(Libromaestro[[#This Row],[CODIGO DEL DOCUMENTO]],Arreglo_Binaps[Codigo Documento],Arreglo_Binaps[Fecha_Aprobacion],"",0,1),IF(_xlpm.resultado=0,"",_xlpm.resultado))</f>
        <v/>
      </c>
      <c r="Q76" s="172"/>
      <c r="R76" s="68"/>
      <c r="S76" s="69"/>
      <c r="T76" s="70"/>
    </row>
    <row r="77" spans="1:20" ht="33.75" customHeight="1" x14ac:dyDescent="0.3">
      <c r="A77" s="60" t="str">
        <f>IFERROR(VLOOKUP(Libromaestro[[#This Row],[MACROPROCESO]],Tabla1[],2,FALSE),"")</f>
        <v>Corportativa</v>
      </c>
      <c r="B77" s="73" t="s">
        <v>24</v>
      </c>
      <c r="C77" s="64" t="s">
        <v>2252</v>
      </c>
      <c r="D77" s="64" t="s">
        <v>34</v>
      </c>
      <c r="E7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7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77" s="64">
        <v>2</v>
      </c>
      <c r="H77" s="60" t="str">
        <f>_xlfn.CONCAT(Libromaestro[[#This Row],[SIGLAS]],"-",Libromaestro[[#This Row],[T. DOC]],"-",Libromaestro[[#This Row],[CONSECUTIVO]])</f>
        <v>F-PR-2</v>
      </c>
      <c r="I77" s="70" t="s">
        <v>158</v>
      </c>
      <c r="J77" s="60">
        <v>1</v>
      </c>
      <c r="K77" s="64" t="str">
        <f>_xlfn.XLOOKUP(Libromaestro[[#This Row],[CODIGO DEL DOCUMENTO]],Arreglo_Binaps[Codigo Documento],Arreglo_Binaps[Estado],"No creado",0)</f>
        <v>No creado</v>
      </c>
      <c r="L77" s="66" t="str">
        <f>_xlfn.XLOOKUP(Libromaestro[[#This Row],[CODIGO DEL DOCUMENTO]],Arreglo_Binaps[Codigo Documento],Arreglo_Binaps[Fecha de creación],"",0,1)</f>
        <v/>
      </c>
      <c r="M77" s="65"/>
      <c r="N77"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77"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77" s="67" t="str">
        <f>_xlfn.LET(_xlpm.resultado,_xlfn.XLOOKUP(Libromaestro[[#This Row],[CODIGO DEL DOCUMENTO]],Arreglo_Binaps[Codigo Documento],Arreglo_Binaps[Fecha_Aprobacion],"",0,1),IF(_xlpm.resultado=0,"",_xlpm.resultado))</f>
        <v/>
      </c>
      <c r="Q77" s="172"/>
      <c r="R77" s="68"/>
      <c r="S77" s="69"/>
      <c r="T77" s="70"/>
    </row>
    <row r="78" spans="1:20" ht="33.75" customHeight="1" x14ac:dyDescent="0.3">
      <c r="A78" s="60" t="str">
        <f>IFERROR(VLOOKUP(Libromaestro[[#This Row],[MACROPROCESO]],Tabla1[],2,FALSE),"")</f>
        <v>Corportativa</v>
      </c>
      <c r="B78" s="73" t="s">
        <v>32</v>
      </c>
      <c r="C78" s="60" t="s">
        <v>59</v>
      </c>
      <c r="D78" s="64" t="s">
        <v>10</v>
      </c>
      <c r="E7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7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CA</v>
      </c>
      <c r="G78" s="64">
        <v>2</v>
      </c>
      <c r="H78" s="60" t="str">
        <f>_xlfn.CONCAT(Libromaestro[[#This Row],[SIGLAS]],"-",Libromaestro[[#This Row],[T. DOC]],"-",Libromaestro[[#This Row],[CONSECUTIVO]])</f>
        <v>H-CA-2</v>
      </c>
      <c r="I78" s="150" t="s">
        <v>645</v>
      </c>
      <c r="J78" s="60">
        <v>1</v>
      </c>
      <c r="K78" s="64" t="str">
        <f>_xlfn.XLOOKUP(Libromaestro[[#This Row],[CODIGO DEL DOCUMENTO]],Arreglo_Binaps[Codigo Documento],Arreglo_Binaps[Estado],"No creado",0)</f>
        <v>Rechazado</v>
      </c>
      <c r="L78" s="66" t="str">
        <f>_xlfn.XLOOKUP(Libromaestro[[#This Row],[CODIGO DEL DOCUMENTO]],Arreglo_Binaps[Codigo Documento],Arreglo_Binaps[Fecha de creación],"",0,1)</f>
        <v>2024-05-09</v>
      </c>
      <c r="M78" s="65"/>
      <c r="N7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46516</v>
      </c>
      <c r="O7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46516</v>
      </c>
      <c r="P78" s="67">
        <f>_xlfn.LET(_xlpm.resultado,_xlfn.XLOOKUP(Libromaestro[[#This Row],[CODIGO DEL DOCUMENTO]],Arreglo_Binaps[Codigo Documento],Arreglo_Binaps[Fecha_Aprobacion],"",0,1),IF(_xlpm.resultado=0,"",_xlpm.resultado))</f>
        <v>45762</v>
      </c>
      <c r="Q78" s="172"/>
      <c r="R78" s="68"/>
      <c r="S78" s="69"/>
      <c r="T78" s="70"/>
    </row>
    <row r="79" spans="1:20" ht="33.75" customHeight="1" x14ac:dyDescent="0.3">
      <c r="A79" s="60" t="str">
        <f>IFERROR(VLOOKUP(Libromaestro[[#This Row],[MACROPROCESO]],Tabla1[],2,FALSE),"")</f>
        <v>Corportativa</v>
      </c>
      <c r="B79" s="73" t="s">
        <v>32</v>
      </c>
      <c r="C79" s="60" t="s">
        <v>51</v>
      </c>
      <c r="D79" s="64" t="s">
        <v>16</v>
      </c>
      <c r="E7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7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79" s="64">
        <v>2</v>
      </c>
      <c r="H79" s="60" t="str">
        <f>_xlfn.CONCAT(Libromaestro[[#This Row],[SIGLAS]],"-",Libromaestro[[#This Row],[T. DOC]],"-",Libromaestro[[#This Row],[CONSECUTIVO]])</f>
        <v>H-FT-2</v>
      </c>
      <c r="I79" s="70" t="s">
        <v>159</v>
      </c>
      <c r="J79" s="60">
        <v>3</v>
      </c>
      <c r="K79" s="64" t="str">
        <f>_xlfn.XLOOKUP(Libromaestro[[#This Row],[CODIGO DEL DOCUMENTO]],Arreglo_Binaps[Codigo Documento],Arreglo_Binaps[Estado],"No creado",0)</f>
        <v>Aprobado</v>
      </c>
      <c r="L79" s="66" t="str">
        <f>_xlfn.XLOOKUP(Libromaestro[[#This Row],[CODIGO DEL DOCUMENTO]],Arreglo_Binaps[Codigo Documento],Arreglo_Binaps[Fecha de creación],"",0,1)</f>
        <v>2023-10-23</v>
      </c>
      <c r="M79" s="65">
        <v>45222</v>
      </c>
      <c r="N7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46318</v>
      </c>
      <c r="O7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46318</v>
      </c>
      <c r="P79" s="67">
        <f>_xlfn.LET(_xlpm.resultado,_xlfn.XLOOKUP(Libromaestro[[#This Row],[CODIGO DEL DOCUMENTO]],Arreglo_Binaps[Codigo Documento],Arreglo_Binaps[Fecha_Aprobacion],"",0,1),IF(_xlpm.resultado=0,"",_xlpm.resultado))</f>
        <v>45265</v>
      </c>
      <c r="Q79" s="172"/>
      <c r="R79" s="68"/>
      <c r="S79" s="69" t="s">
        <v>23</v>
      </c>
      <c r="T79" s="70"/>
    </row>
    <row r="80" spans="1:20" ht="33.75" customHeight="1" x14ac:dyDescent="0.3">
      <c r="A80" s="60" t="str">
        <f>IFERROR(VLOOKUP(Libromaestro[[#This Row],[MACROPROCESO]],Tabla1[],2,FALSE),"")</f>
        <v>Corportativa</v>
      </c>
      <c r="B80" s="73" t="s">
        <v>32</v>
      </c>
      <c r="C80" s="60" t="s">
        <v>59</v>
      </c>
      <c r="D80" s="64" t="s">
        <v>22</v>
      </c>
      <c r="E8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8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80" s="64">
        <v>2</v>
      </c>
      <c r="H80" s="60" t="str">
        <f>_xlfn.CONCAT(Libromaestro[[#This Row],[SIGLAS]],"-",Libromaestro[[#This Row],[T. DOC]],"-",Libromaestro[[#This Row],[CONSECUTIVO]])</f>
        <v>H-GU-2</v>
      </c>
      <c r="I80" s="70" t="s">
        <v>160</v>
      </c>
      <c r="J80" s="60">
        <v>1</v>
      </c>
      <c r="K80" s="64" t="str">
        <f>_xlfn.XLOOKUP(Libromaestro[[#This Row],[CODIGO DEL DOCUMENTO]],Arreglo_Binaps[Codigo Documento],Arreglo_Binaps[Estado],"No creado",0)</f>
        <v>Aprobado</v>
      </c>
      <c r="L80" s="66" t="str">
        <f>_xlfn.XLOOKUP(Libromaestro[[#This Row],[CODIGO DEL DOCUMENTO]],Arreglo_Binaps[Codigo Documento],Arreglo_Binaps[Fecha de creación],"",0,1)</f>
        <v>2024-02-08</v>
      </c>
      <c r="M80" s="65"/>
      <c r="N8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46426</v>
      </c>
      <c r="O8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46426</v>
      </c>
      <c r="P80" s="67">
        <f>_xlfn.LET(_xlpm.resultado,_xlfn.XLOOKUP(Libromaestro[[#This Row],[CODIGO DEL DOCUMENTO]],Arreglo_Binaps[Codigo Documento],Arreglo_Binaps[Fecha_Aprobacion],"",0,1),IF(_xlpm.resultado=0,"",_xlpm.resultado))</f>
        <v>45509</v>
      </c>
      <c r="Q80" s="172"/>
      <c r="R80" s="68"/>
      <c r="S80" s="69" t="s">
        <v>28</v>
      </c>
      <c r="T80" s="70"/>
    </row>
    <row r="81" spans="1:20" ht="33.75" customHeight="1" x14ac:dyDescent="0.3">
      <c r="A81" s="60" t="str">
        <f>IFERROR(VLOOKUP(Libromaestro[[#This Row],[MACROPROCESO]],Tabla1[],2,FALSE),"")</f>
        <v>Corportativa</v>
      </c>
      <c r="B81" s="73" t="s">
        <v>32</v>
      </c>
      <c r="C81" s="60" t="s">
        <v>59</v>
      </c>
      <c r="D81" s="64" t="s">
        <v>27</v>
      </c>
      <c r="E8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8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81" s="64">
        <v>2</v>
      </c>
      <c r="H81" s="60" t="str">
        <f>_xlfn.CONCAT(Libromaestro[[#This Row],[SIGLAS]],"-",Libromaestro[[#This Row],[T. DOC]],"-",Libromaestro[[#This Row],[CONSECUTIVO]])</f>
        <v>H-IN-2</v>
      </c>
      <c r="I81" s="70" t="s">
        <v>161</v>
      </c>
      <c r="J81" s="60">
        <v>2</v>
      </c>
      <c r="K81" s="64" t="str">
        <f>_xlfn.XLOOKUP(Libromaestro[[#This Row],[CODIGO DEL DOCUMENTO]],Arreglo_Binaps[Codigo Documento],Arreglo_Binaps[Estado],"No creado",0)</f>
        <v>Aprobado</v>
      </c>
      <c r="L81" s="66" t="str">
        <f>_xlfn.XLOOKUP(Libromaestro[[#This Row],[CODIGO DEL DOCUMENTO]],Arreglo_Binaps[Codigo Documento],Arreglo_Binaps[Fecha de creación],"",0,1)</f>
        <v>2020-10-07</v>
      </c>
      <c r="M81" s="65">
        <v>45820</v>
      </c>
      <c r="N8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46916</v>
      </c>
      <c r="O8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46916</v>
      </c>
      <c r="P81" s="67">
        <f>_xlfn.LET(_xlpm.resultado,_xlfn.XLOOKUP(Libromaestro[[#This Row],[CODIGO DEL DOCUMENTO]],Arreglo_Binaps[Codigo Documento],Arreglo_Binaps[Fecha_Aprobacion],"",0,1),IF(_xlpm.resultado=0,"",_xlpm.resultado))</f>
        <v>45877</v>
      </c>
      <c r="Q81" s="172"/>
      <c r="R81" s="68"/>
      <c r="S81" s="69" t="s">
        <v>28</v>
      </c>
      <c r="T81" s="70"/>
    </row>
    <row r="82" spans="1:20" ht="33.75" customHeight="1" x14ac:dyDescent="0.3">
      <c r="A82" s="60" t="str">
        <f>IFERROR(VLOOKUP(Libromaestro[[#This Row],[MACROPROCESO]],Tabla1[],2,FALSE),"")</f>
        <v>Corportativa</v>
      </c>
      <c r="B82" s="73" t="s">
        <v>32</v>
      </c>
      <c r="C82" s="60" t="s">
        <v>59</v>
      </c>
      <c r="D82" s="64" t="s">
        <v>16</v>
      </c>
      <c r="E8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8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82" s="64">
        <v>28</v>
      </c>
      <c r="H82" s="60" t="str">
        <f>_xlfn.CONCAT(Libromaestro[[#This Row],[SIGLAS]],"-",Libromaestro[[#This Row],[T. DOC]],"-",Libromaestro[[#This Row],[CONSECUTIVO]])</f>
        <v>H-FT-28</v>
      </c>
      <c r="I82" s="70" t="s">
        <v>162</v>
      </c>
      <c r="J82" s="60">
        <v>2</v>
      </c>
      <c r="K82" s="64" t="str">
        <f>_xlfn.XLOOKUP(Libromaestro[[#This Row],[CODIGO DEL DOCUMENTO]],Arreglo_Binaps[Codigo Documento],Arreglo_Binaps[Estado],"No creado",0)</f>
        <v>Aprobado</v>
      </c>
      <c r="L82" s="66" t="str">
        <f>_xlfn.XLOOKUP(Libromaestro[[#This Row],[CODIGO DEL DOCUMENTO]],Arreglo_Binaps[Codigo Documento],Arreglo_Binaps[Fecha de creación],"",0,1)</f>
        <v>2020-01-03</v>
      </c>
      <c r="M82" s="65">
        <v>45762</v>
      </c>
      <c r="N8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46858</v>
      </c>
      <c r="O8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46858</v>
      </c>
      <c r="P82" s="67">
        <f>_xlfn.LET(_xlpm.resultado,_xlfn.XLOOKUP(Libromaestro[[#This Row],[CODIGO DEL DOCUMENTO]],Arreglo_Binaps[Codigo Documento],Arreglo_Binaps[Fecha_Aprobacion],"",0,1),IF(_xlpm.resultado=0,"",_xlpm.resultado))</f>
        <v>45762</v>
      </c>
      <c r="Q82" s="172"/>
      <c r="R82" s="68"/>
      <c r="S82" s="69" t="s">
        <v>11</v>
      </c>
      <c r="T82" s="70"/>
    </row>
    <row r="83" spans="1:20" ht="33.75" customHeight="1" x14ac:dyDescent="0.3">
      <c r="A83" s="60" t="str">
        <f>IFERROR(VLOOKUP(Libromaestro[[#This Row],[MACROPROCESO]],Tabla1[],2,FALSE),"")</f>
        <v>Corportativa</v>
      </c>
      <c r="B83" s="73" t="s">
        <v>32</v>
      </c>
      <c r="C83" s="60" t="s">
        <v>59</v>
      </c>
      <c r="D83" s="64" t="s">
        <v>37</v>
      </c>
      <c r="E8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8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83" s="64">
        <v>2</v>
      </c>
      <c r="H83" s="60" t="str">
        <f>_xlfn.CONCAT(Libromaestro[[#This Row],[SIGLAS]],"-",Libromaestro[[#This Row],[T. DOC]],"-",Libromaestro[[#This Row],[CONSECUTIVO]])</f>
        <v>H-PO-2</v>
      </c>
      <c r="I83" s="70" t="s">
        <v>163</v>
      </c>
      <c r="J83" s="60">
        <v>1</v>
      </c>
      <c r="K83" s="64" t="str">
        <f>_xlfn.XLOOKUP(Libromaestro[[#This Row],[CODIGO DEL DOCUMENTO]],Arreglo_Binaps[Codigo Documento],Arreglo_Binaps[Estado],"No creado",0)</f>
        <v>Aprobado</v>
      </c>
      <c r="L83" s="66" t="str">
        <f>_xlfn.XLOOKUP(Libromaestro[[#This Row],[CODIGO DEL DOCUMENTO]],Arreglo_Binaps[Codigo Documento],Arreglo_Binaps[Fecha de creación],"",0,1)</f>
        <v>2022-09-29</v>
      </c>
      <c r="M83" s="65"/>
      <c r="N8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45929</v>
      </c>
      <c r="O8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45929</v>
      </c>
      <c r="P83" s="67">
        <f>_xlfn.LET(_xlpm.resultado,_xlfn.XLOOKUP(Libromaestro[[#This Row],[CODIGO DEL DOCUMENTO]],Arreglo_Binaps[Codigo Documento],Arreglo_Binaps[Fecha_Aprobacion],"",0,1),IF(_xlpm.resultado=0,"",_xlpm.resultado))</f>
        <v>44833</v>
      </c>
      <c r="Q83" s="172"/>
      <c r="R83" s="68"/>
      <c r="S83" s="69" t="s">
        <v>28</v>
      </c>
      <c r="T83" s="70"/>
    </row>
    <row r="84" spans="1:20" ht="33.75" customHeight="1" x14ac:dyDescent="0.3">
      <c r="A84" s="60" t="str">
        <f>IFERROR(VLOOKUP(Libromaestro[[#This Row],[MACROPROCESO]],Tabla1[],2,FALSE),"")</f>
        <v>Corportativa</v>
      </c>
      <c r="B84" s="73" t="s">
        <v>32</v>
      </c>
      <c r="C84" s="60" t="s">
        <v>51</v>
      </c>
      <c r="D84" s="64" t="s">
        <v>34</v>
      </c>
      <c r="E8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8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84" s="64">
        <v>2</v>
      </c>
      <c r="H84" s="60" t="str">
        <f>_xlfn.CONCAT(Libromaestro[[#This Row],[SIGLAS]],"-",Libromaestro[[#This Row],[T. DOC]],"-",Libromaestro[[#This Row],[CONSECUTIVO]])</f>
        <v>H-PR-2</v>
      </c>
      <c r="I84" s="70" t="s">
        <v>164</v>
      </c>
      <c r="J84" s="60">
        <v>1</v>
      </c>
      <c r="K84" s="64" t="str">
        <f>_xlfn.XLOOKUP(Libromaestro[[#This Row],[CODIGO DEL DOCUMENTO]],Arreglo_Binaps[Codigo Documento],Arreglo_Binaps[Estado],"No creado",0)</f>
        <v>No creado</v>
      </c>
      <c r="L84" s="66" t="str">
        <f>_xlfn.XLOOKUP(Libromaestro[[#This Row],[CODIGO DEL DOCUMENTO]],Arreglo_Binaps[Codigo Documento],Arreglo_Binaps[Fecha de creación],"",0,1)</f>
        <v/>
      </c>
      <c r="M84" s="65"/>
      <c r="N84"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84"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84" s="67" t="str">
        <f>_xlfn.LET(_xlpm.resultado,_xlfn.XLOOKUP(Libromaestro[[#This Row],[CODIGO DEL DOCUMENTO]],Arreglo_Binaps[Codigo Documento],Arreglo_Binaps[Fecha_Aprobacion],"",0,1),IF(_xlpm.resultado=0,"",_xlpm.resultado))</f>
        <v/>
      </c>
      <c r="Q84" s="172"/>
      <c r="R84" s="68"/>
      <c r="S84" s="69"/>
      <c r="T84" s="70"/>
    </row>
    <row r="85" spans="1:20" ht="33.75" customHeight="1" x14ac:dyDescent="0.3">
      <c r="A85" s="60" t="str">
        <f>IFERROR(VLOOKUP(Libromaestro[[#This Row],[MACROPROCESO]],Tabla1[],2,FALSE),"")</f>
        <v>Corportativa</v>
      </c>
      <c r="B85" s="73" t="s">
        <v>32</v>
      </c>
      <c r="C85" s="60" t="s">
        <v>51</v>
      </c>
      <c r="D85" s="64" t="s">
        <v>40</v>
      </c>
      <c r="E8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8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PT</v>
      </c>
      <c r="G85" s="64">
        <v>2</v>
      </c>
      <c r="H85" s="60" t="str">
        <f>_xlfn.CONCAT(Libromaestro[[#This Row],[SIGLAS]],"-",Libromaestro[[#This Row],[T. DOC]],"-",Libromaestro[[#This Row],[CONSECUTIVO]])</f>
        <v>H-PT-2</v>
      </c>
      <c r="I85" s="151" t="s">
        <v>165</v>
      </c>
      <c r="J85" s="60">
        <v>1</v>
      </c>
      <c r="K85" s="64" t="str">
        <f>_xlfn.XLOOKUP(Libromaestro[[#This Row],[CODIGO DEL DOCUMENTO]],Arreglo_Binaps[Codigo Documento],Arreglo_Binaps[Estado],"No creado",0)</f>
        <v>Aprobado</v>
      </c>
      <c r="L85" s="66" t="str">
        <f>_xlfn.XLOOKUP(Libromaestro[[#This Row],[CODIGO DEL DOCUMENTO]],Arreglo_Binaps[Codigo Documento],Arreglo_Binaps[Fecha de creación],"",0,1)</f>
        <v>2026-02-20</v>
      </c>
      <c r="M85" s="66"/>
      <c r="N8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47169</v>
      </c>
      <c r="O8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47169</v>
      </c>
      <c r="P85" s="67">
        <f>_xlfn.LET(_xlpm.resultado,_xlfn.XLOOKUP(Libromaestro[[#This Row],[CODIGO DEL DOCUMENTO]],Arreglo_Binaps[Codigo Documento],Arreglo_Binaps[Fecha_Aprobacion],"",0,1),IF(_xlpm.resultado=0,"",_xlpm.resultado))</f>
        <v>46093</v>
      </c>
      <c r="Q85" s="172"/>
      <c r="R85" s="68"/>
      <c r="S85" s="69" t="s">
        <v>28</v>
      </c>
      <c r="T85" s="70"/>
    </row>
    <row r="86" spans="1:20" ht="33.75" customHeight="1" x14ac:dyDescent="0.3">
      <c r="A86" s="60" t="str">
        <f>IFERROR(VLOOKUP(Libromaestro[[#This Row],[MACROPROCESO]],Tabla1[],2,FALSE),"")</f>
        <v>Corportativa</v>
      </c>
      <c r="B86" s="73" t="s">
        <v>35</v>
      </c>
      <c r="C86" s="64" t="s">
        <v>2253</v>
      </c>
      <c r="D86" s="64" t="s">
        <v>16</v>
      </c>
      <c r="E8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J</v>
      </c>
      <c r="F8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86" s="64">
        <v>2</v>
      </c>
      <c r="H86" s="60" t="str">
        <f>_xlfn.CONCAT(Libromaestro[[#This Row],[SIGLAS]],"-",Libromaestro[[#This Row],[T. DOC]],"-",Libromaestro[[#This Row],[CONSECUTIVO]])</f>
        <v>J-FT-2</v>
      </c>
      <c r="I86" s="70" t="s">
        <v>166</v>
      </c>
      <c r="J86" s="60">
        <v>1</v>
      </c>
      <c r="K86" s="64" t="str">
        <f>_xlfn.XLOOKUP(Libromaestro[[#This Row],[CODIGO DEL DOCUMENTO]],Arreglo_Binaps[Codigo Documento],Arreglo_Binaps[Estado],"No creado",0)</f>
        <v>No creado</v>
      </c>
      <c r="L86" s="66" t="str">
        <f>_xlfn.XLOOKUP(Libromaestro[[#This Row],[CODIGO DEL DOCUMENTO]],Arreglo_Binaps[Codigo Documento],Arreglo_Binaps[Fecha de creación],"",0,1)</f>
        <v/>
      </c>
      <c r="M86" s="65"/>
      <c r="N86"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86"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86" s="67" t="str">
        <f>_xlfn.LET(_xlpm.resultado,_xlfn.XLOOKUP(Libromaestro[[#This Row],[CODIGO DEL DOCUMENTO]],Arreglo_Binaps[Codigo Documento],Arreglo_Binaps[Fecha_Aprobacion],"",0,1),IF(_xlpm.resultado=0,"",_xlpm.resultado))</f>
        <v/>
      </c>
      <c r="Q86" s="172"/>
      <c r="R86" s="68"/>
      <c r="S86" s="69"/>
      <c r="T86" s="70"/>
    </row>
    <row r="87" spans="1:20" ht="33.75" customHeight="1" x14ac:dyDescent="0.3">
      <c r="A87" s="60" t="str">
        <f>IFERROR(VLOOKUP(Libromaestro[[#This Row],[MACROPROCESO]],Tabla1[],2,FALSE),"")</f>
        <v>Corportativa</v>
      </c>
      <c r="B87" s="73" t="s">
        <v>35</v>
      </c>
      <c r="C87" s="64" t="s">
        <v>2253</v>
      </c>
      <c r="D87" s="64" t="s">
        <v>16</v>
      </c>
      <c r="E8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J</v>
      </c>
      <c r="F8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87" s="64">
        <v>3</v>
      </c>
      <c r="H87" s="60" t="str">
        <f>_xlfn.CONCAT(Libromaestro[[#This Row],[SIGLAS]],"-",Libromaestro[[#This Row],[T. DOC]],"-",Libromaestro[[#This Row],[CONSECUTIVO]])</f>
        <v>J-FT-3</v>
      </c>
      <c r="I87" s="70" t="s">
        <v>167</v>
      </c>
      <c r="J87" s="60"/>
      <c r="K87" s="64" t="str">
        <f>_xlfn.XLOOKUP(Libromaestro[[#This Row],[CODIGO DEL DOCUMENTO]],Arreglo_Binaps[Codigo Documento],Arreglo_Binaps[Estado],"No creado",0)</f>
        <v>No creado</v>
      </c>
      <c r="L87" s="66" t="str">
        <f>_xlfn.XLOOKUP(Libromaestro[[#This Row],[CODIGO DEL DOCUMENTO]],Arreglo_Binaps[Codigo Documento],Arreglo_Binaps[Fecha de creación],"",0,1)</f>
        <v/>
      </c>
      <c r="M87" s="65"/>
      <c r="N87" s="65"/>
      <c r="O87" s="67"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87" s="67" t="str">
        <f>_xlfn.LET(_xlpm.resultado,_xlfn.XLOOKUP(Libromaestro[[#This Row],[CODIGO DEL DOCUMENTO]],Arreglo_Binaps[Codigo Documento],Arreglo_Binaps[Fecha_Aprobacion],"",0,1),IF(_xlpm.resultado=0,"",_xlpm.resultado))</f>
        <v/>
      </c>
      <c r="Q87" s="172"/>
      <c r="R87" s="68"/>
      <c r="S87" s="69"/>
      <c r="T87" s="87"/>
    </row>
    <row r="88" spans="1:20" ht="33.75" customHeight="1" x14ac:dyDescent="0.3">
      <c r="A88" s="60" t="str">
        <f>IFERROR(VLOOKUP(Libromaestro[[#This Row],[MACROPROCESO]],Tabla1[],2,FALSE),"")</f>
        <v>Corportativa</v>
      </c>
      <c r="B88" s="73" t="s">
        <v>38</v>
      </c>
      <c r="C88" s="60" t="s">
        <v>26</v>
      </c>
      <c r="D88" s="64" t="s">
        <v>16</v>
      </c>
      <c r="E8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8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88" s="64">
        <v>2</v>
      </c>
      <c r="H88" s="60" t="str">
        <f>_xlfn.CONCAT(Libromaestro[[#This Row],[SIGLAS]],"-",Libromaestro[[#This Row],[T. DOC]],"-",Libromaestro[[#This Row],[CONSECUTIVO]])</f>
        <v>M-FT-2</v>
      </c>
      <c r="I88" s="70" t="s">
        <v>168</v>
      </c>
      <c r="J88" s="60">
        <v>2</v>
      </c>
      <c r="K88" s="64" t="str">
        <f>_xlfn.XLOOKUP(Libromaestro[[#This Row],[CODIGO DEL DOCUMENTO]],Arreglo_Binaps[Codigo Documento],Arreglo_Binaps[Estado],"No creado",0)</f>
        <v>Aprobado</v>
      </c>
      <c r="L88" s="66" t="str">
        <f>_xlfn.XLOOKUP(Libromaestro[[#This Row],[CODIGO DEL DOCUMENTO]],Arreglo_Binaps[Codigo Documento],Arreglo_Binaps[Fecha de creación],"",0,1)</f>
        <v>2022-08-25</v>
      </c>
      <c r="M88" s="65">
        <v>45222</v>
      </c>
      <c r="N8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46318</v>
      </c>
      <c r="O8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46318</v>
      </c>
      <c r="P88" s="67">
        <f>_xlfn.LET(_xlpm.resultado,_xlfn.XLOOKUP(Libromaestro[[#This Row],[CODIGO DEL DOCUMENTO]],Arreglo_Binaps[Codigo Documento],Arreglo_Binaps[Fecha_Aprobacion],"",0,1),IF(_xlpm.resultado=0,"",_xlpm.resultado))</f>
        <v>45246</v>
      </c>
      <c r="Q88" s="172"/>
      <c r="R88" s="68"/>
      <c r="S88" s="69"/>
      <c r="T88" s="70"/>
    </row>
    <row r="89" spans="1:20" ht="33.75" customHeight="1" x14ac:dyDescent="0.3">
      <c r="A89" s="60" t="str">
        <f>IFERROR(VLOOKUP(Libromaestro[[#This Row],[MACROPROCESO]],Tabla1[],2,FALSE),"")</f>
        <v>Corportativa</v>
      </c>
      <c r="B89" s="70" t="s">
        <v>38</v>
      </c>
      <c r="C89" s="60" t="s">
        <v>26</v>
      </c>
      <c r="D89" s="60" t="s">
        <v>22</v>
      </c>
      <c r="E89"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89"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89" s="60">
        <v>2</v>
      </c>
      <c r="H89" s="60" t="str">
        <f>_xlfn.CONCAT(Libromaestro[[#This Row],[SIGLAS]],"-",Libromaestro[[#This Row],[T. DOC]],"-",Libromaestro[[#This Row],[CONSECUTIVO]])</f>
        <v>M-GU-2</v>
      </c>
      <c r="I89" s="70" t="s">
        <v>169</v>
      </c>
      <c r="J89" s="60">
        <v>1</v>
      </c>
      <c r="K89" s="64" t="str">
        <f>_xlfn.XLOOKUP(Libromaestro[[#This Row],[CODIGO DEL DOCUMENTO]],Arreglo_Binaps[Codigo Documento],Arreglo_Binaps[Estado],"No creado",0)</f>
        <v>Aprobado</v>
      </c>
      <c r="L89" s="66" t="str">
        <f>_xlfn.XLOOKUP(Libromaestro[[#This Row],[CODIGO DEL DOCUMENTO]],Arreglo_Binaps[Codigo Documento],Arreglo_Binaps[Fecha de creación],"",0,1)</f>
        <v>2025-09-25</v>
      </c>
      <c r="M89" s="66"/>
      <c r="N8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47021</v>
      </c>
      <c r="O8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47021</v>
      </c>
      <c r="P89" s="67">
        <f>_xlfn.LET(_xlpm.resultado,_xlfn.XLOOKUP(Libromaestro[[#This Row],[CODIGO DEL DOCUMENTO]],Arreglo_Binaps[Codigo Documento],Arreglo_Binaps[Fecha_Aprobacion],"",0,1),IF(_xlpm.resultado=0,"",_xlpm.resultado))</f>
        <v>46083</v>
      </c>
      <c r="Q89" s="172"/>
      <c r="R89" s="68"/>
      <c r="S89" s="69"/>
      <c r="T89" s="70"/>
    </row>
    <row r="90" spans="1:20" ht="33.75" customHeight="1" x14ac:dyDescent="0.3">
      <c r="A90" s="60" t="str">
        <f>IFERROR(VLOOKUP(Libromaestro[[#This Row],[MACROPROCESO]],Tabla1[],2,FALSE),"")</f>
        <v>Corportativa</v>
      </c>
      <c r="B90" s="70" t="s">
        <v>38</v>
      </c>
      <c r="C90" s="60" t="s">
        <v>26</v>
      </c>
      <c r="D90" s="60" t="s">
        <v>27</v>
      </c>
      <c r="E90"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90"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90" s="60">
        <v>2</v>
      </c>
      <c r="H90" s="60" t="str">
        <f>_xlfn.CONCAT(Libromaestro[[#This Row],[SIGLAS]],"-",Libromaestro[[#This Row],[T. DOC]],"-",Libromaestro[[#This Row],[CONSECUTIVO]])</f>
        <v>M-IN-2</v>
      </c>
      <c r="I90" s="81" t="s">
        <v>170</v>
      </c>
      <c r="J90" s="60">
        <v>1</v>
      </c>
      <c r="K90" s="64" t="str">
        <f>_xlfn.XLOOKUP(Libromaestro[[#This Row],[CODIGO DEL DOCUMENTO]],Arreglo_Binaps[Codigo Documento],Arreglo_Binaps[Estado],"No creado",0)</f>
        <v>Aprobado</v>
      </c>
      <c r="L90" s="66" t="str">
        <f>_xlfn.XLOOKUP(Libromaestro[[#This Row],[CODIGO DEL DOCUMENTO]],Arreglo_Binaps[Codigo Documento],Arreglo_Binaps[Fecha de creación],"",0,1)</f>
        <v>2025-11-12</v>
      </c>
      <c r="M90" s="66"/>
      <c r="N9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47069</v>
      </c>
      <c r="O9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47069</v>
      </c>
      <c r="P90" s="67">
        <f>_xlfn.LET(_xlpm.resultado,_xlfn.XLOOKUP(Libromaestro[[#This Row],[CODIGO DEL DOCUMENTO]],Arreglo_Binaps[Codigo Documento],Arreglo_Binaps[Fecha_Aprobacion],"",0,1),IF(_xlpm.resultado=0,"",_xlpm.resultado))</f>
        <v>46083</v>
      </c>
      <c r="Q90" s="172"/>
      <c r="R90" s="68"/>
      <c r="S90" s="69"/>
      <c r="T90" s="70"/>
    </row>
    <row r="91" spans="1:20" ht="33.75" customHeight="1" x14ac:dyDescent="0.3">
      <c r="A91" s="60" t="str">
        <f>IFERROR(VLOOKUP(Libromaestro[[#This Row],[MACROPROCESO]],Tabla1[],2,FALSE),"")</f>
        <v>Corportativa</v>
      </c>
      <c r="B91" s="73" t="s">
        <v>38</v>
      </c>
      <c r="C91" s="60" t="s">
        <v>26</v>
      </c>
      <c r="D91" s="64" t="s">
        <v>31</v>
      </c>
      <c r="E9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91" s="7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91" s="64">
        <v>2</v>
      </c>
      <c r="H91" s="60" t="str">
        <f>_xlfn.CONCAT(Libromaestro[[#This Row],[SIGLAS]],"-",Libromaestro[[#This Row],[T. DOC]],"-",Libromaestro[[#This Row],[CONSECUTIVO]])</f>
        <v>M-MA-2</v>
      </c>
      <c r="I91" s="70" t="s">
        <v>171</v>
      </c>
      <c r="J91" s="60">
        <v>1</v>
      </c>
      <c r="K91" s="64" t="str">
        <f>_xlfn.XLOOKUP(Libromaestro[[#This Row],[CODIGO DEL DOCUMENTO]],Arreglo_Binaps[Codigo Documento],Arreglo_Binaps[Estado],"No creado",0)</f>
        <v>No creado</v>
      </c>
      <c r="L91" s="66" t="str">
        <f>_xlfn.XLOOKUP(Libromaestro[[#This Row],[CODIGO DEL DOCUMENTO]],Arreglo_Binaps[Codigo Documento],Arreglo_Binaps[Fecha de creación],"",0,1)</f>
        <v/>
      </c>
      <c r="M91" s="66"/>
      <c r="N91"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91"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91" s="67" t="str">
        <f>_xlfn.LET(_xlpm.resultado,_xlfn.XLOOKUP(Libromaestro[[#This Row],[CODIGO DEL DOCUMENTO]],Arreglo_Binaps[Codigo Documento],Arreglo_Binaps[Fecha_Aprobacion],"",0,1),IF(_xlpm.resultado=0,"",_xlpm.resultado))</f>
        <v/>
      </c>
      <c r="Q91" s="172"/>
      <c r="R91" s="68"/>
      <c r="S91" s="69"/>
      <c r="T91" s="70"/>
    </row>
    <row r="92" spans="1:20" ht="33.75" customHeight="1" x14ac:dyDescent="0.3">
      <c r="A92" s="60" t="str">
        <f>IFERROR(VLOOKUP(Libromaestro[[#This Row],[MACROPROCESO]],Tabla1[],2,FALSE),"")</f>
        <v>Corportativa</v>
      </c>
      <c r="B92" s="73" t="s">
        <v>38</v>
      </c>
      <c r="C92" s="60" t="s">
        <v>26</v>
      </c>
      <c r="D92" s="64" t="s">
        <v>34</v>
      </c>
      <c r="E9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9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92" s="64">
        <v>2</v>
      </c>
      <c r="H92" s="60" t="str">
        <f>_xlfn.CONCAT(Libromaestro[[#This Row],[SIGLAS]],"-",Libromaestro[[#This Row],[T. DOC]],"-",Libromaestro[[#This Row],[CONSECUTIVO]])</f>
        <v>M-PR-2</v>
      </c>
      <c r="I92" s="70" t="s">
        <v>172</v>
      </c>
      <c r="J92" s="60">
        <v>1</v>
      </c>
      <c r="K92" s="64" t="str">
        <f>_xlfn.XLOOKUP(Libromaestro[[#This Row],[CODIGO DEL DOCUMENTO]],Arreglo_Binaps[Codigo Documento],Arreglo_Binaps[Estado],"No creado",0)</f>
        <v>No creado</v>
      </c>
      <c r="L92" s="66" t="str">
        <f>_xlfn.XLOOKUP(Libromaestro[[#This Row],[CODIGO DEL DOCUMENTO]],Arreglo_Binaps[Codigo Documento],Arreglo_Binaps[Fecha de creación],"",0,1)</f>
        <v/>
      </c>
      <c r="M92" s="65"/>
      <c r="N92"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92"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92" s="67" t="str">
        <f>_xlfn.LET(_xlpm.resultado,_xlfn.XLOOKUP(Libromaestro[[#This Row],[CODIGO DEL DOCUMENTO]],Arreglo_Binaps[Codigo Documento],Arreglo_Binaps[Fecha_Aprobacion],"",0,1),IF(_xlpm.resultado=0,"",_xlpm.resultado))</f>
        <v/>
      </c>
      <c r="Q92" s="172"/>
      <c r="R92" s="68"/>
      <c r="S92" s="69"/>
      <c r="T92" s="70"/>
    </row>
    <row r="93" spans="1:20" ht="33.75" customHeight="1" x14ac:dyDescent="0.3">
      <c r="A93" s="60" t="str">
        <f>IFERROR(VLOOKUP(Libromaestro[[#This Row],[MACROPROCESO]],Tabla1[],2,FALSE),"")</f>
        <v>Proyectos</v>
      </c>
      <c r="B93" s="73" t="s">
        <v>41</v>
      </c>
      <c r="C93" s="64" t="s">
        <v>58</v>
      </c>
      <c r="D93" s="64" t="s">
        <v>16</v>
      </c>
      <c r="E9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9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93" s="76">
        <v>2</v>
      </c>
      <c r="H93" s="60" t="str">
        <f>_xlfn.CONCAT(Libromaestro[[#This Row],[SIGLAS]],"-",Libromaestro[[#This Row],[T. DOC]],"-",Libromaestro[[#This Row],[CONSECUTIVO]])</f>
        <v>P-FT-2</v>
      </c>
      <c r="I93" s="70" t="s">
        <v>173</v>
      </c>
      <c r="J93" s="60">
        <v>1</v>
      </c>
      <c r="K93" s="64" t="str">
        <f>_xlfn.XLOOKUP(Libromaestro[[#This Row],[CODIGO DEL DOCUMENTO]],Arreglo_Binaps[Codigo Documento],Arreglo_Binaps[Estado],"No creado",0)</f>
        <v>No creado</v>
      </c>
      <c r="L93" s="66" t="str">
        <f>_xlfn.XLOOKUP(Libromaestro[[#This Row],[CODIGO DEL DOCUMENTO]],Arreglo_Binaps[Codigo Documento],Arreglo_Binaps[Fecha de creación],"",0,1)</f>
        <v/>
      </c>
      <c r="M93" s="65"/>
      <c r="N93"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93"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93" s="67" t="str">
        <f>_xlfn.LET(_xlpm.resultado,_xlfn.XLOOKUP(Libromaestro[[#This Row],[CODIGO DEL DOCUMENTO]],Arreglo_Binaps[Codigo Documento],Arreglo_Binaps[Fecha_Aprobacion],"",0,1),IF(_xlpm.resultado=0,"",_xlpm.resultado))</f>
        <v/>
      </c>
      <c r="Q93" s="177"/>
      <c r="R93" s="69"/>
      <c r="S93" s="85"/>
      <c r="T93" s="86"/>
    </row>
    <row r="94" spans="1:20" ht="33.75" customHeight="1" x14ac:dyDescent="0.3">
      <c r="A94" s="60" t="str">
        <f>IFERROR(VLOOKUP(Libromaestro[[#This Row],[MACROPROCESO]],Tabla1[],2,FALSE),"")</f>
        <v>Suministros</v>
      </c>
      <c r="B94" s="73" t="s">
        <v>45</v>
      </c>
      <c r="C94" s="60" t="s">
        <v>36</v>
      </c>
      <c r="D94" s="64" t="s">
        <v>16</v>
      </c>
      <c r="E9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9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94" s="76">
        <v>4</v>
      </c>
      <c r="H94" s="60" t="str">
        <f>_xlfn.CONCAT(Libromaestro[[#This Row],[SIGLAS]],"-",Libromaestro[[#This Row],[T. DOC]],"-",Libromaestro[[#This Row],[CONSECUTIVO]])</f>
        <v>S-FT-4</v>
      </c>
      <c r="I94" s="73" t="s">
        <v>234</v>
      </c>
      <c r="J94" s="60">
        <v>1</v>
      </c>
      <c r="K94" s="64" t="str">
        <f>_xlfn.XLOOKUP(Libromaestro[[#This Row],[CODIGO DEL DOCUMENTO]],Arreglo_Binaps[Codigo Documento],Arreglo_Binaps[Estado],"No creado",0)</f>
        <v>Aprobado</v>
      </c>
      <c r="L94" s="66" t="str">
        <f>_xlfn.XLOOKUP(Libromaestro[[#This Row],[CODIGO DEL DOCUMENTO]],Arreglo_Binaps[Codigo Documento],Arreglo_Binaps[Fecha de creación],"",0,1)</f>
        <v>2024-08-23</v>
      </c>
      <c r="M94" s="65"/>
      <c r="N9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46622</v>
      </c>
      <c r="O9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46622</v>
      </c>
      <c r="P94" s="67">
        <f>_xlfn.LET(_xlpm.resultado,_xlfn.XLOOKUP(Libromaestro[[#This Row],[CODIGO DEL DOCUMENTO]],Arreglo_Binaps[Codigo Documento],Arreglo_Binaps[Fecha_Aprobacion],"",0,1),IF(_xlpm.resultado=0,"",_xlpm.resultado))</f>
        <v>45561</v>
      </c>
      <c r="Q94" s="177"/>
      <c r="R94" s="69"/>
      <c r="S94" s="85"/>
      <c r="T94" s="86"/>
    </row>
    <row r="95" spans="1:20" ht="33.75" customHeight="1" x14ac:dyDescent="0.3">
      <c r="A95" s="60" t="str">
        <f>IFERROR(VLOOKUP(Libromaestro[[#This Row],[MACROPROCESO]],Tabla1[],2,FALSE),"")</f>
        <v>Suministros</v>
      </c>
      <c r="B95" s="73" t="s">
        <v>45</v>
      </c>
      <c r="C95" s="60" t="s">
        <v>36</v>
      </c>
      <c r="D95" s="64" t="s">
        <v>16</v>
      </c>
      <c r="E9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9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95" s="76">
        <v>5</v>
      </c>
      <c r="H95" s="60" t="str">
        <f>_xlfn.CONCAT(Libromaestro[[#This Row],[SIGLAS]],"-",Libromaestro[[#This Row],[T. DOC]],"-",Libromaestro[[#This Row],[CONSECUTIVO]])</f>
        <v>S-FT-5</v>
      </c>
      <c r="I95" s="70" t="s">
        <v>258</v>
      </c>
      <c r="J95" s="60">
        <v>1</v>
      </c>
      <c r="K95" s="64" t="str">
        <f>_xlfn.XLOOKUP(Libromaestro[[#This Row],[CODIGO DEL DOCUMENTO]],Arreglo_Binaps[Codigo Documento],Arreglo_Binaps[Estado],"No creado",0)</f>
        <v>Aprobado</v>
      </c>
      <c r="L95" s="66" t="str">
        <f>_xlfn.XLOOKUP(Libromaestro[[#This Row],[CODIGO DEL DOCUMENTO]],Arreglo_Binaps[Codigo Documento],Arreglo_Binaps[Fecha de creación],"",0,1)</f>
        <v>2024-08-23</v>
      </c>
      <c r="M95" s="65"/>
      <c r="N9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46622</v>
      </c>
      <c r="O9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46622</v>
      </c>
      <c r="P95" s="67">
        <f>_xlfn.LET(_xlpm.resultado,_xlfn.XLOOKUP(Libromaestro[[#This Row],[CODIGO DEL DOCUMENTO]],Arreglo_Binaps[Codigo Documento],Arreglo_Binaps[Fecha_Aprobacion],"",0,1),IF(_xlpm.resultado=0,"",_xlpm.resultado))</f>
        <v>45630</v>
      </c>
      <c r="Q95" s="177"/>
      <c r="R95" s="69"/>
      <c r="S95" s="85"/>
      <c r="T95" s="86"/>
    </row>
    <row r="96" spans="1:20" ht="33.75" customHeight="1" x14ac:dyDescent="0.3">
      <c r="A96" s="60" t="str">
        <f>IFERROR(VLOOKUP(Libromaestro[[#This Row],[MACROPROCESO]],Tabla1[],2,FALSE),"")</f>
        <v>Suministros</v>
      </c>
      <c r="B96" s="73" t="s">
        <v>45</v>
      </c>
      <c r="C96" s="60" t="s">
        <v>36</v>
      </c>
      <c r="D96" s="64" t="s">
        <v>16</v>
      </c>
      <c r="E9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9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96" s="76">
        <v>6</v>
      </c>
      <c r="H96" s="60" t="str">
        <f>_xlfn.CONCAT(Libromaestro[[#This Row],[SIGLAS]],"-",Libromaestro[[#This Row],[T. DOC]],"-",Libromaestro[[#This Row],[CONSECUTIVO]])</f>
        <v>S-FT-6</v>
      </c>
      <c r="I96" s="70" t="s">
        <v>282</v>
      </c>
      <c r="J96" s="60">
        <v>1</v>
      </c>
      <c r="K96" s="64" t="str">
        <f>_xlfn.XLOOKUP(Libromaestro[[#This Row],[CODIGO DEL DOCUMENTO]],Arreglo_Binaps[Codigo Documento],Arreglo_Binaps[Estado],"No creado",0)</f>
        <v>Aprobado</v>
      </c>
      <c r="L96" s="66" t="str">
        <f>_xlfn.XLOOKUP(Libromaestro[[#This Row],[CODIGO DEL DOCUMENTO]],Arreglo_Binaps[Codigo Documento],Arreglo_Binaps[Fecha de creación],"",0,1)</f>
        <v>2024-07-23</v>
      </c>
      <c r="M96" s="65"/>
      <c r="N9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46591</v>
      </c>
      <c r="O9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46591</v>
      </c>
      <c r="P96" s="67">
        <f>_xlfn.LET(_xlpm.resultado,_xlfn.XLOOKUP(Libromaestro[[#This Row],[CODIGO DEL DOCUMENTO]],Arreglo_Binaps[Codigo Documento],Arreglo_Binaps[Fecha_Aprobacion],"",0,1),IF(_xlpm.resultado=0,"",_xlpm.resultado))</f>
        <v>45561</v>
      </c>
      <c r="Q96" s="177"/>
      <c r="R96" s="69"/>
      <c r="S96" s="85"/>
      <c r="T96" s="86"/>
    </row>
    <row r="97" spans="1:20" ht="33.75" customHeight="1" x14ac:dyDescent="0.3">
      <c r="A97" s="60" t="str">
        <f>IFERROR(VLOOKUP(Libromaestro[[#This Row],[MACROPROCESO]],Tabla1[],2,FALSE),"")</f>
        <v>Suministros</v>
      </c>
      <c r="B97" s="89" t="s">
        <v>45</v>
      </c>
      <c r="C97" s="90" t="s">
        <v>54</v>
      </c>
      <c r="D97" s="90" t="s">
        <v>16</v>
      </c>
      <c r="E97" s="9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97" s="9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97" s="91">
        <v>7</v>
      </c>
      <c r="H97" s="60" t="str">
        <f>_xlfn.CONCAT(Libromaestro[[#This Row],[SIGLAS]],"-",Libromaestro[[#This Row],[T. DOC]],"-",Libromaestro[[#This Row],[CONSECUTIVO]])</f>
        <v>S-FT-7</v>
      </c>
      <c r="I97" s="268" t="s">
        <v>301</v>
      </c>
      <c r="J97" s="90">
        <v>1</v>
      </c>
      <c r="K97" s="64" t="str">
        <f>_xlfn.XLOOKUP(Libromaestro[[#This Row],[CODIGO DEL DOCUMENTO]],Arreglo_Binaps[Codigo Documento],Arreglo_Binaps[Estado],"No creado",0)</f>
        <v>Aprobado</v>
      </c>
      <c r="L97" s="66" t="str">
        <f>_xlfn.XLOOKUP(Libromaestro[[#This Row],[CODIGO DEL DOCUMENTO]],Arreglo_Binaps[Codigo Documento],Arreglo_Binaps[Fecha de creación],"",0,1)</f>
        <v>2024-12-17</v>
      </c>
      <c r="M97" s="92"/>
      <c r="N9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46738</v>
      </c>
      <c r="O97"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46738</v>
      </c>
      <c r="P97" s="94">
        <f>_xlfn.LET(_xlpm.resultado,_xlfn.XLOOKUP(Libromaestro[[#This Row],[CODIGO DEL DOCUMENTO]],Arreglo_Binaps[Codigo Documento],Arreglo_Binaps[Fecha_Aprobacion],"",0,1),IF(_xlpm.resultado=0,"",_xlpm.resultado))</f>
        <v>45882</v>
      </c>
      <c r="Q97" s="178"/>
      <c r="R97" s="91"/>
      <c r="S97" s="95" t="s">
        <v>17</v>
      </c>
      <c r="T97" s="96"/>
    </row>
    <row r="98" spans="1:20" ht="33.75" customHeight="1" x14ac:dyDescent="0.3">
      <c r="A98" s="60" t="str">
        <f>IFERROR(VLOOKUP(Libromaestro[[#This Row],[MACROPROCESO]],Tabla1[],2,FALSE),"")</f>
        <v>Suministros</v>
      </c>
      <c r="B98" s="73" t="s">
        <v>45</v>
      </c>
      <c r="C98" s="60" t="s">
        <v>30</v>
      </c>
      <c r="D98" s="64" t="s">
        <v>16</v>
      </c>
      <c r="E9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9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98" s="76">
        <v>8</v>
      </c>
      <c r="H98" s="60" t="str">
        <f>_xlfn.CONCAT(Libromaestro[[#This Row],[SIGLAS]],"-",Libromaestro[[#This Row],[T. DOC]],"-",Libromaestro[[#This Row],[CONSECUTIVO]])</f>
        <v>S-FT-8</v>
      </c>
      <c r="I98" s="70" t="s">
        <v>319</v>
      </c>
      <c r="J98" s="60">
        <v>2</v>
      </c>
      <c r="K98" s="64" t="str">
        <f>_xlfn.XLOOKUP(Libromaestro[[#This Row],[CODIGO DEL DOCUMENTO]],Arreglo_Binaps[Codigo Documento],Arreglo_Binaps[Estado],"No creado",0)</f>
        <v>Aprobado</v>
      </c>
      <c r="L98" s="66" t="str">
        <f>_xlfn.XLOOKUP(Libromaestro[[#This Row],[CODIGO DEL DOCUMENTO]],Arreglo_Binaps[Codigo Documento],Arreglo_Binaps[Fecha de creación],"",0,1)</f>
        <v>2024-06-24</v>
      </c>
      <c r="M98" s="65">
        <v>45467</v>
      </c>
      <c r="N9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46562</v>
      </c>
      <c r="O9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46562</v>
      </c>
      <c r="P98" s="67">
        <f>_xlfn.LET(_xlpm.resultado,_xlfn.XLOOKUP(Libromaestro[[#This Row],[CODIGO DEL DOCUMENTO]],Arreglo_Binaps[Codigo Documento],Arreglo_Binaps[Fecha_Aprobacion],"",0,1),IF(_xlpm.resultado=0,"",_xlpm.resultado))</f>
        <v>45581</v>
      </c>
      <c r="Q98" s="177"/>
      <c r="R98" s="69"/>
      <c r="S98" s="85"/>
      <c r="T98" s="86"/>
    </row>
    <row r="99" spans="1:20" ht="33.75" customHeight="1" x14ac:dyDescent="0.3">
      <c r="A99" s="60" t="str">
        <f>IFERROR(VLOOKUP(Libromaestro[[#This Row],[MACROPROCESO]],Tabla1[],2,FALSE),"")</f>
        <v>Suministros</v>
      </c>
      <c r="B99" s="70" t="s">
        <v>45</v>
      </c>
      <c r="C99" s="60" t="s">
        <v>30</v>
      </c>
      <c r="D99" s="60" t="s">
        <v>16</v>
      </c>
      <c r="E99"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99"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99" s="69">
        <v>9</v>
      </c>
      <c r="H99" s="60" t="str">
        <f>_xlfn.CONCAT(Libromaestro[[#This Row],[SIGLAS]],"-",Libromaestro[[#This Row],[T. DOC]],"-",Libromaestro[[#This Row],[CONSECUTIVO]])</f>
        <v>S-FT-9</v>
      </c>
      <c r="I99" s="70" t="s">
        <v>336</v>
      </c>
      <c r="J99" s="60">
        <v>3</v>
      </c>
      <c r="K99" s="64" t="str">
        <f>_xlfn.XLOOKUP(Libromaestro[[#This Row],[CODIGO DEL DOCUMENTO]],Arreglo_Binaps[Codigo Documento],Arreglo_Binaps[Estado],"No creado",0)</f>
        <v>Aprobado</v>
      </c>
      <c r="L99" s="66" t="str">
        <f>_xlfn.XLOOKUP(Libromaestro[[#This Row],[CODIGO DEL DOCUMENTO]],Arreglo_Binaps[Codigo Documento],Arreglo_Binaps[Fecha de creación],"",0,1)</f>
        <v>2024-07-05</v>
      </c>
      <c r="M99" s="66">
        <v>45859</v>
      </c>
      <c r="N9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46955</v>
      </c>
      <c r="O9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46955</v>
      </c>
      <c r="P99" s="67">
        <f>_xlfn.LET(_xlpm.resultado,_xlfn.XLOOKUP(Libromaestro[[#This Row],[CODIGO DEL DOCUMENTO]],Arreglo_Binaps[Codigo Documento],Arreglo_Binaps[Fecha_Aprobacion],"",0,1),IF(_xlpm.resultado=0,"",_xlpm.resultado))</f>
        <v>45882</v>
      </c>
      <c r="Q99" s="177"/>
      <c r="R99" s="69"/>
      <c r="S99" s="85" t="s">
        <v>23</v>
      </c>
      <c r="T99" s="86"/>
    </row>
    <row r="100" spans="1:20" ht="33.75" customHeight="1" x14ac:dyDescent="0.3">
      <c r="A100" s="60" t="str">
        <f>IFERROR(VLOOKUP(Libromaestro[[#This Row],[MACROPROCESO]],Tabla1[],2,FALSE),"")</f>
        <v>Corporativa</v>
      </c>
      <c r="B100" s="70" t="s">
        <v>13</v>
      </c>
      <c r="C100" s="60" t="s">
        <v>82</v>
      </c>
      <c r="D100" s="60" t="s">
        <v>16</v>
      </c>
      <c r="E100"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100"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00" s="60">
        <v>3</v>
      </c>
      <c r="H100" s="60" t="str">
        <f>_xlfn.CONCAT(Libromaestro[[#This Row],[SIGLAS]],"-",Libromaestro[[#This Row],[T. DOC]],"-",Libromaestro[[#This Row],[CONSECUTIVO]])</f>
        <v>D-FT-3</v>
      </c>
      <c r="I100" s="63" t="s">
        <v>178</v>
      </c>
      <c r="J100" s="60">
        <v>2</v>
      </c>
      <c r="K100" s="64" t="str">
        <f>_xlfn.XLOOKUP(Libromaestro[[#This Row],[CODIGO DEL DOCUMENTO]],Arreglo_Binaps[Codigo Documento],Arreglo_Binaps[Estado],"No creado",0)</f>
        <v>Aprobado</v>
      </c>
      <c r="L100" s="66" t="str">
        <f>_xlfn.XLOOKUP(Libromaestro[[#This Row],[CODIGO DEL DOCUMENTO]],Arreglo_Binaps[Codigo Documento],Arreglo_Binaps[Fecha de creación],"",0,1)</f>
        <v>2019-11-25</v>
      </c>
      <c r="M100" s="66">
        <v>44617</v>
      </c>
      <c r="N10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45713</v>
      </c>
      <c r="O10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45713</v>
      </c>
      <c r="P100" s="67">
        <f>_xlfn.LET(_xlpm.resultado,_xlfn.XLOOKUP(Libromaestro[[#This Row],[CODIGO DEL DOCUMENTO]],Arreglo_Binaps[Codigo Documento],Arreglo_Binaps[Fecha_Aprobacion],"",0,1),IF(_xlpm.resultado=0,"",_xlpm.resultado))</f>
        <v>43794</v>
      </c>
      <c r="Q100" s="172" t="s">
        <v>138</v>
      </c>
      <c r="R100" s="68"/>
      <c r="S100" s="69" t="s">
        <v>28</v>
      </c>
      <c r="T100" s="70"/>
    </row>
    <row r="101" spans="1:20" ht="33.75" customHeight="1" x14ac:dyDescent="0.3">
      <c r="A101" s="60" t="str">
        <f>IFERROR(VLOOKUP(Libromaestro[[#This Row],[MACROPROCESO]],Tabla1[],2,FALSE),"")</f>
        <v>Corporativa</v>
      </c>
      <c r="B101" s="70" t="s">
        <v>13</v>
      </c>
      <c r="C101" s="60" t="s">
        <v>50</v>
      </c>
      <c r="D101" s="60" t="s">
        <v>22</v>
      </c>
      <c r="E101"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101"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101" s="60">
        <v>3</v>
      </c>
      <c r="H101" s="60" t="str">
        <f>_xlfn.CONCAT(Libromaestro[[#This Row],[SIGLAS]],"-",Libromaestro[[#This Row],[T. DOC]],"-",Libromaestro[[#This Row],[CONSECUTIVO]])</f>
        <v>D-GU-3</v>
      </c>
      <c r="I101" s="70" t="s">
        <v>179</v>
      </c>
      <c r="J101" s="60">
        <v>1</v>
      </c>
      <c r="K101" s="64" t="str">
        <f>_xlfn.XLOOKUP(Libromaestro[[#This Row],[CODIGO DEL DOCUMENTO]],Arreglo_Binaps[Codigo Documento],Arreglo_Binaps[Estado],"No creado",0)</f>
        <v>Aprobado</v>
      </c>
      <c r="L101" s="66" t="str">
        <f>_xlfn.XLOOKUP(Libromaestro[[#This Row],[CODIGO DEL DOCUMENTO]],Arreglo_Binaps[Codigo Documento],Arreglo_Binaps[Fecha de creación],"",0,1)</f>
        <v>2023-03-27</v>
      </c>
      <c r="M101" s="66"/>
      <c r="N10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46108</v>
      </c>
      <c r="O10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46108</v>
      </c>
      <c r="P101" s="67">
        <f>_xlfn.LET(_xlpm.resultado,_xlfn.XLOOKUP(Libromaestro[[#This Row],[CODIGO DEL DOCUMENTO]],Arreglo_Binaps[Codigo Documento],Arreglo_Binaps[Fecha_Aprobacion],"",0,1),IF(_xlpm.resultado=0,"",_xlpm.resultado))</f>
        <v>45321</v>
      </c>
      <c r="Q101" s="172"/>
      <c r="R101" s="68"/>
      <c r="S101" s="69" t="s">
        <v>28</v>
      </c>
      <c r="T101" s="70"/>
    </row>
    <row r="102" spans="1:20" ht="33.75" customHeight="1" x14ac:dyDescent="0.3">
      <c r="A102" s="60" t="str">
        <f>IFERROR(VLOOKUP(Libromaestro[[#This Row],[MACROPROCESO]],Tabla1[],2,FALSE),"")</f>
        <v>Corporativa</v>
      </c>
      <c r="B102" s="73" t="s">
        <v>13</v>
      </c>
      <c r="C102" s="60" t="s">
        <v>21</v>
      </c>
      <c r="D102" s="64" t="s">
        <v>27</v>
      </c>
      <c r="E10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10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02" s="64">
        <v>3</v>
      </c>
      <c r="H102" s="60" t="str">
        <f>_xlfn.CONCAT(Libromaestro[[#This Row],[SIGLAS]],"-",Libromaestro[[#This Row],[T. DOC]],"-",Libromaestro[[#This Row],[CONSECUTIVO]])</f>
        <v>D-IN-3</v>
      </c>
      <c r="I102" s="70" t="s">
        <v>180</v>
      </c>
      <c r="J102" s="60">
        <v>1</v>
      </c>
      <c r="K102" s="64" t="str">
        <f>_xlfn.XLOOKUP(Libromaestro[[#This Row],[CODIGO DEL DOCUMENTO]],Arreglo_Binaps[Codigo Documento],Arreglo_Binaps[Estado],"No creado",0)</f>
        <v>Aprobado</v>
      </c>
      <c r="L102" s="66" t="str">
        <f>_xlfn.XLOOKUP(Libromaestro[[#This Row],[CODIGO DEL DOCUMENTO]],Arreglo_Binaps[Codigo Documento],Arreglo_Binaps[Fecha de creación],"",0,1)</f>
        <v>2024-09-18</v>
      </c>
      <c r="M102" s="66"/>
      <c r="N10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46648</v>
      </c>
      <c r="O10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46648</v>
      </c>
      <c r="P102" s="67">
        <f>_xlfn.LET(_xlpm.resultado,_xlfn.XLOOKUP(Libromaestro[[#This Row],[CODIGO DEL DOCUMENTO]],Arreglo_Binaps[Codigo Documento],Arreglo_Binaps[Fecha_Aprobacion],"",0,1),IF(_xlpm.resultado=0,"",_xlpm.resultado))</f>
        <v>45987</v>
      </c>
      <c r="Q102" s="172"/>
      <c r="R102" s="68"/>
      <c r="S102" s="69"/>
      <c r="T102" s="70"/>
    </row>
    <row r="103" spans="1:20" ht="33.75" customHeight="1" x14ac:dyDescent="0.3">
      <c r="A103" s="60" t="str">
        <f>IFERROR(VLOOKUP(Libromaestro[[#This Row],[MACROPROCESO]],Tabla1[],2,FALSE),"")</f>
        <v>Corporativa</v>
      </c>
      <c r="B103" s="73" t="s">
        <v>13</v>
      </c>
      <c r="C103" s="60" t="s">
        <v>50</v>
      </c>
      <c r="D103" s="64" t="s">
        <v>31</v>
      </c>
      <c r="E10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10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103" s="64">
        <v>3</v>
      </c>
      <c r="H103" s="60" t="str">
        <f>_xlfn.CONCAT(Libromaestro[[#This Row],[SIGLAS]],"-",Libromaestro[[#This Row],[T. DOC]],"-",Libromaestro[[#This Row],[CONSECUTIVO]])</f>
        <v>D-MA-3</v>
      </c>
      <c r="I103" s="70" t="s">
        <v>181</v>
      </c>
      <c r="J103" s="64">
        <v>1</v>
      </c>
      <c r="K103" s="64" t="str">
        <f>_xlfn.XLOOKUP(Libromaestro[[#This Row],[CODIGO DEL DOCUMENTO]],Arreglo_Binaps[Codigo Documento],Arreglo_Binaps[Estado],"No creado",0)</f>
        <v>Aprobado</v>
      </c>
      <c r="L103" s="66" t="str">
        <f>_xlfn.XLOOKUP(Libromaestro[[#This Row],[CODIGO DEL DOCUMENTO]],Arreglo_Binaps[Codigo Documento],Arreglo_Binaps[Fecha de creación],"",0,1)</f>
        <v>2026-01-26</v>
      </c>
      <c r="M103" s="66"/>
      <c r="N10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47144</v>
      </c>
      <c r="O10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47144</v>
      </c>
      <c r="P103" s="67">
        <f>_xlfn.LET(_xlpm.resultado,_xlfn.XLOOKUP(Libromaestro[[#This Row],[CODIGO DEL DOCUMENTO]],Arreglo_Binaps[Codigo Documento],Arreglo_Binaps[Fecha_Aprobacion],"",0,1),IF(_xlpm.resultado=0,"",_xlpm.resultado))</f>
        <v>46183</v>
      </c>
      <c r="Q103" s="173"/>
      <c r="R103" s="75"/>
      <c r="S103" s="76"/>
      <c r="T103" s="73"/>
    </row>
    <row r="104" spans="1:20" ht="33.75" customHeight="1" x14ac:dyDescent="0.3">
      <c r="A104" s="60" t="str">
        <f>IFERROR(VLOOKUP(Libromaestro[[#This Row],[MACROPROCESO]],Tabla1[],2,FALSE),"")</f>
        <v>Alumbrado Público</v>
      </c>
      <c r="B104" s="73" t="s">
        <v>7</v>
      </c>
      <c r="C104" s="64" t="s">
        <v>52</v>
      </c>
      <c r="D104" s="64" t="s">
        <v>10</v>
      </c>
      <c r="E10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0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CA</v>
      </c>
      <c r="G104" s="64">
        <v>3</v>
      </c>
      <c r="H104" s="60" t="str">
        <f>_xlfn.CONCAT(Libromaestro[[#This Row],[SIGLAS]],"-",Libromaestro[[#This Row],[T. DOC]],"-",Libromaestro[[#This Row],[CONSECUTIVO]])</f>
        <v>A-CA-3</v>
      </c>
      <c r="I104" s="150" t="s">
        <v>645</v>
      </c>
      <c r="J104" s="64">
        <v>1</v>
      </c>
      <c r="K104" s="64" t="str">
        <f>_xlfn.XLOOKUP(Libromaestro[[#This Row],[CODIGO DEL DOCUMENTO]],Arreglo_Binaps[Codigo Documento],Arreglo_Binaps[Estado],"No creado",0)</f>
        <v>Aprobado</v>
      </c>
      <c r="L104" s="66" t="str">
        <f>_xlfn.XLOOKUP(Libromaestro[[#This Row],[CODIGO DEL DOCUMENTO]],Arreglo_Binaps[Codigo Documento],Arreglo_Binaps[Fecha de creación],"",0,1)</f>
        <v>2025-01-20</v>
      </c>
      <c r="M104" s="66"/>
      <c r="N10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46772</v>
      </c>
      <c r="O104"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46772</v>
      </c>
      <c r="P104" s="74">
        <f>_xlfn.LET(_xlpm.resultado,_xlfn.XLOOKUP(Libromaestro[[#This Row],[CODIGO DEL DOCUMENTO]],Arreglo_Binaps[Codigo Documento],Arreglo_Binaps[Fecha_Aprobacion],"",0,1),IF(_xlpm.resultado=0,"",_xlpm.resultado))</f>
        <v>45742</v>
      </c>
      <c r="Q104" s="173"/>
      <c r="R104" s="75"/>
      <c r="S104" s="76"/>
      <c r="T104" s="73"/>
    </row>
    <row r="105" spans="1:20" ht="33.75" customHeight="1" x14ac:dyDescent="0.3">
      <c r="A105" s="60" t="str">
        <f>IFERROR(VLOOKUP(Libromaestro[[#This Row],[MACROPROCESO]],Tabla1[],2,FALSE),"")</f>
        <v>Alumbrado Público</v>
      </c>
      <c r="B105" s="70" t="s">
        <v>7</v>
      </c>
      <c r="C105" s="60" t="s">
        <v>15</v>
      </c>
      <c r="D105" s="60" t="s">
        <v>16</v>
      </c>
      <c r="E105"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05"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05" s="60">
        <v>3</v>
      </c>
      <c r="H105" s="60" t="str">
        <f>_xlfn.CONCAT(Libromaestro[[#This Row],[SIGLAS]],"-",Libromaestro[[#This Row],[T. DOC]],"-",Libromaestro[[#This Row],[CONSECUTIVO]])</f>
        <v>A-FT-3</v>
      </c>
      <c r="I105" s="70" t="s">
        <v>182</v>
      </c>
      <c r="J105" s="60">
        <v>1</v>
      </c>
      <c r="K105" s="64" t="str">
        <f>_xlfn.XLOOKUP(Libromaestro[[#This Row],[CODIGO DEL DOCUMENTO]],Arreglo_Binaps[Codigo Documento],Arreglo_Binaps[Estado],"No creado",0)</f>
        <v>Aprobado</v>
      </c>
      <c r="L105" s="66" t="str">
        <f>_xlfn.XLOOKUP(Libromaestro[[#This Row],[CODIGO DEL DOCUMENTO]],Arreglo_Binaps[Codigo Documento],Arreglo_Binaps[Fecha de creación],"",0,1)</f>
        <v>2022-08-03</v>
      </c>
      <c r="M105" s="66"/>
      <c r="N10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45872</v>
      </c>
      <c r="O10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45872</v>
      </c>
      <c r="P105" s="67">
        <f>_xlfn.LET(_xlpm.resultado,_xlfn.XLOOKUP(Libromaestro[[#This Row],[CODIGO DEL DOCUMENTO]],Arreglo_Binaps[Codigo Documento],Arreglo_Binaps[Fecha_Aprobacion],"",0,1),IF(_xlpm.resultado=0,"",_xlpm.resultado))</f>
        <v>44776</v>
      </c>
      <c r="Q105" s="172" t="s">
        <v>183</v>
      </c>
      <c r="R105" s="68"/>
      <c r="S105" s="69" t="s">
        <v>11</v>
      </c>
      <c r="T105" s="70"/>
    </row>
    <row r="106" spans="1:20" ht="33.75" customHeight="1" x14ac:dyDescent="0.3">
      <c r="A106" s="60" t="str">
        <f>IFERROR(VLOOKUP(Libromaestro[[#This Row],[MACROPROCESO]],Tabla1[],2,FALSE),"")</f>
        <v>Alumbrado Público</v>
      </c>
      <c r="B106" s="70" t="s">
        <v>7</v>
      </c>
      <c r="C106" s="60" t="s">
        <v>52</v>
      </c>
      <c r="D106" s="60" t="s">
        <v>22</v>
      </c>
      <c r="E106"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06"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106" s="60">
        <v>3</v>
      </c>
      <c r="H106" s="60" t="str">
        <f>_xlfn.CONCAT(Libromaestro[[#This Row],[SIGLAS]],"-",Libromaestro[[#This Row],[T. DOC]],"-",Libromaestro[[#This Row],[CONSECUTIVO]])</f>
        <v>A-GU-3</v>
      </c>
      <c r="I106" s="70" t="s">
        <v>184</v>
      </c>
      <c r="J106" s="60">
        <v>1</v>
      </c>
      <c r="K106" s="64" t="str">
        <f>_xlfn.XLOOKUP(Libromaestro[[#This Row],[CODIGO DEL DOCUMENTO]],Arreglo_Binaps[Codigo Documento],Arreglo_Binaps[Estado],"No creado",0)</f>
        <v>Aprobado</v>
      </c>
      <c r="L106" s="66" t="str">
        <f>_xlfn.XLOOKUP(Libromaestro[[#This Row],[CODIGO DEL DOCUMENTO]],Arreglo_Binaps[Codigo Documento],Arreglo_Binaps[Fecha de creación],"",0,1)</f>
        <v>2024-09-06</v>
      </c>
      <c r="M106" s="66"/>
      <c r="N10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46636</v>
      </c>
      <c r="O10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46636</v>
      </c>
      <c r="P106" s="67">
        <f>_xlfn.LET(_xlpm.resultado,_xlfn.XLOOKUP(Libromaestro[[#This Row],[CODIGO DEL DOCUMENTO]],Arreglo_Binaps[Codigo Documento],Arreglo_Binaps[Fecha_Aprobacion],"",0,1),IF(_xlpm.resultado=0,"",_xlpm.resultado))</f>
        <v>45589</v>
      </c>
      <c r="Q106" s="172"/>
      <c r="R106" s="68"/>
      <c r="S106" s="69" t="s">
        <v>28</v>
      </c>
      <c r="T106" s="70"/>
    </row>
    <row r="107" spans="1:20" ht="33.75" customHeight="1" x14ac:dyDescent="0.3">
      <c r="A107" s="60" t="str">
        <f>IFERROR(VLOOKUP(Libromaestro[[#This Row],[MACROPROCESO]],Tabla1[],2,FALSE),"")</f>
        <v>Alumbrado Público</v>
      </c>
      <c r="B107" s="70" t="s">
        <v>7</v>
      </c>
      <c r="C107" s="60" t="s">
        <v>52</v>
      </c>
      <c r="D107" s="60" t="s">
        <v>27</v>
      </c>
      <c r="E107"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07"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07" s="60">
        <v>3</v>
      </c>
      <c r="H107" s="60" t="str">
        <f>_xlfn.CONCAT(Libromaestro[[#This Row],[SIGLAS]],"-",Libromaestro[[#This Row],[T. DOC]],"-",Libromaestro[[#This Row],[CONSECUTIVO]])</f>
        <v>A-IN-3</v>
      </c>
      <c r="I107" s="70" t="s">
        <v>185</v>
      </c>
      <c r="J107" s="60">
        <v>1</v>
      </c>
      <c r="K107" s="64" t="str">
        <f>_xlfn.XLOOKUP(Libromaestro[[#This Row],[CODIGO DEL DOCUMENTO]],Arreglo_Binaps[Codigo Documento],Arreglo_Binaps[Estado],"No creado",0)</f>
        <v>Aprobado</v>
      </c>
      <c r="L107" s="66" t="str">
        <f>_xlfn.XLOOKUP(Libromaestro[[#This Row],[CODIGO DEL DOCUMENTO]],Arreglo_Binaps[Codigo Documento],Arreglo_Binaps[Fecha de creación],"",0,1)</f>
        <v>2024-10-02</v>
      </c>
      <c r="M107" s="66"/>
      <c r="N10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46662</v>
      </c>
      <c r="O10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46662</v>
      </c>
      <c r="P107" s="67">
        <f>_xlfn.LET(_xlpm.resultado,_xlfn.XLOOKUP(Libromaestro[[#This Row],[CODIGO DEL DOCUMENTO]],Arreglo_Binaps[Codigo Documento],Arreglo_Binaps[Fecha_Aprobacion],"",0,1),IF(_xlpm.resultado=0,"",_xlpm.resultado))</f>
        <v>45589</v>
      </c>
      <c r="Q107" s="172"/>
      <c r="R107" s="68"/>
      <c r="S107" s="69"/>
      <c r="T107" s="70"/>
    </row>
    <row r="108" spans="1:20" ht="33.75" customHeight="1" x14ac:dyDescent="0.3">
      <c r="A108" s="60" t="str">
        <f>IFERROR(VLOOKUP(Libromaestro[[#This Row],[MACROPROCESO]],Tabla1[],2,FALSE),"")</f>
        <v>Alumbrado Público</v>
      </c>
      <c r="B108" s="73" t="s">
        <v>7</v>
      </c>
      <c r="C108" s="64" t="s">
        <v>61</v>
      </c>
      <c r="D108" s="64" t="s">
        <v>27</v>
      </c>
      <c r="E10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0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08" s="64">
        <v>11</v>
      </c>
      <c r="H108" s="60" t="str">
        <f>_xlfn.CONCAT(Libromaestro[[#This Row],[SIGLAS]],"-",Libromaestro[[#This Row],[T. DOC]],"-",Libromaestro[[#This Row],[CONSECUTIVO]])</f>
        <v>A-IN-11</v>
      </c>
      <c r="I108" s="73" t="s">
        <v>186</v>
      </c>
      <c r="J108" s="64">
        <v>1</v>
      </c>
      <c r="K108" s="64" t="str">
        <f>_xlfn.XLOOKUP(Libromaestro[[#This Row],[CODIGO DEL DOCUMENTO]],Arreglo_Binaps[Codigo Documento],Arreglo_Binaps[Estado],"No creado",0)</f>
        <v>No creado</v>
      </c>
      <c r="L108" s="66" t="str">
        <f>_xlfn.XLOOKUP(Libromaestro[[#This Row],[CODIGO DEL DOCUMENTO]],Arreglo_Binaps[Codigo Documento],Arreglo_Binaps[Fecha de creación],"",0,1)</f>
        <v/>
      </c>
      <c r="M108" s="66"/>
      <c r="N108"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08"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08" s="74" t="str">
        <f>_xlfn.LET(_xlpm.resultado,_xlfn.XLOOKUP(Libromaestro[[#This Row],[CODIGO DEL DOCUMENTO]],Arreglo_Binaps[Codigo Documento],Arreglo_Binaps[Fecha_Aprobacion],"",0,1),IF(_xlpm.resultado=0,"",_xlpm.resultado))</f>
        <v/>
      </c>
      <c r="Q108" s="173"/>
      <c r="R108" s="75"/>
      <c r="S108" s="76"/>
      <c r="T108" s="73"/>
    </row>
    <row r="109" spans="1:20" ht="33.75" customHeight="1" x14ac:dyDescent="0.3">
      <c r="A109" s="60" t="str">
        <f>IFERROR(VLOOKUP(Libromaestro[[#This Row],[MACROPROCESO]],Tabla1[],2,FALSE),"")</f>
        <v>Corporativa</v>
      </c>
      <c r="B109" s="73" t="s">
        <v>13</v>
      </c>
      <c r="C109" s="64" t="s">
        <v>21</v>
      </c>
      <c r="D109" s="64" t="s">
        <v>34</v>
      </c>
      <c r="E10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10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109" s="64">
        <v>6</v>
      </c>
      <c r="H109" s="60" t="str">
        <f>_xlfn.CONCAT(Libromaestro[[#This Row],[SIGLAS]],"-",Libromaestro[[#This Row],[T. DOC]],"-",Libromaestro[[#This Row],[CONSECUTIVO]])</f>
        <v>D-PR-6</v>
      </c>
      <c r="I109" s="73" t="s">
        <v>262</v>
      </c>
      <c r="J109" s="64">
        <v>1</v>
      </c>
      <c r="K109" s="64" t="str">
        <f>_xlfn.XLOOKUP(Libromaestro[[#This Row],[CODIGO DEL DOCUMENTO]],Arreglo_Binaps[Codigo Documento],Arreglo_Binaps[Estado],"No creado",0)</f>
        <v>Aprobado</v>
      </c>
      <c r="L109" s="66" t="str">
        <f>_xlfn.XLOOKUP(Libromaestro[[#This Row],[CODIGO DEL DOCUMENTO]],Arreglo_Binaps[Codigo Documento],Arreglo_Binaps[Fecha de creación],"",0,1)</f>
        <v>2024-09-19</v>
      </c>
      <c r="M109" s="66"/>
      <c r="N10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46649</v>
      </c>
      <c r="O109"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46649</v>
      </c>
      <c r="P109" s="74">
        <f>_xlfn.LET(_xlpm.resultado,_xlfn.XLOOKUP(Libromaestro[[#This Row],[CODIGO DEL DOCUMENTO]],Arreglo_Binaps[Codigo Documento],Arreglo_Binaps[Fecha_Aprobacion],"",0,1),IF(_xlpm.resultado=0,"",_xlpm.resultado))</f>
        <v>45987</v>
      </c>
      <c r="Q109" s="173"/>
      <c r="R109" s="75"/>
      <c r="S109" s="76"/>
      <c r="T109" s="73"/>
    </row>
    <row r="110" spans="1:20" ht="33.75" customHeight="1" x14ac:dyDescent="0.3">
      <c r="A110" s="60" t="str">
        <f>IFERROR(VLOOKUP(Libromaestro[[#This Row],[MACROPROCESO]],Tabla1[],2,FALSE),"")</f>
        <v>Corportativa</v>
      </c>
      <c r="B110" s="38" t="s">
        <v>49</v>
      </c>
      <c r="C110" s="64" t="s">
        <v>2254</v>
      </c>
      <c r="D110" s="39" t="s">
        <v>27</v>
      </c>
      <c r="E110"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110"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10" s="60">
        <v>11</v>
      </c>
      <c r="H110" s="60" t="str">
        <f>_xlfn.CONCAT(Libromaestro[[#This Row],[SIGLAS]],"-",Libromaestro[[#This Row],[T. DOC]],"-",Libromaestro[[#This Row],[CONSECUTIVO]])</f>
        <v>T-IN-11</v>
      </c>
      <c r="I110" s="49" t="s">
        <v>188</v>
      </c>
      <c r="J110" s="60"/>
      <c r="K110" s="64" t="str">
        <f>_xlfn.XLOOKUP(Libromaestro[[#This Row],[CODIGO DEL DOCUMENTO]],Arreglo_Binaps[Codigo Documento],Arreglo_Binaps[Estado],"No creado",0)</f>
        <v>No creado</v>
      </c>
      <c r="L110" s="66" t="str">
        <f>_xlfn.XLOOKUP(Libromaestro[[#This Row],[CODIGO DEL DOCUMENTO]],Arreglo_Binaps[Codigo Documento],Arreglo_Binaps[Fecha de creación],"",0,1)</f>
        <v/>
      </c>
      <c r="M110" s="66"/>
      <c r="N110" s="65"/>
      <c r="O110" s="67"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10" s="67" t="str">
        <f>_xlfn.LET(_xlpm.resultado,_xlfn.XLOOKUP(Libromaestro[[#This Row],[CODIGO DEL DOCUMENTO]],Arreglo_Binaps[Codigo Documento],Arreglo_Binaps[Fecha_Aprobacion],"",0,1),IF(_xlpm.resultado=0,"",_xlpm.resultado))</f>
        <v/>
      </c>
      <c r="Q110" s="172"/>
      <c r="R110" s="68"/>
      <c r="S110" s="69"/>
      <c r="T110" s="87"/>
    </row>
    <row r="111" spans="1:20" ht="33.75" customHeight="1" x14ac:dyDescent="0.3">
      <c r="A111" s="60" t="str">
        <f>IFERROR(VLOOKUP(Libromaestro[[#This Row],[MACROPROCESO]],Tabla1[],2,FALSE),"")</f>
        <v>Corportativa</v>
      </c>
      <c r="B111" s="40" t="s">
        <v>49</v>
      </c>
      <c r="C111" s="64" t="s">
        <v>2254</v>
      </c>
      <c r="D111" s="41" t="s">
        <v>27</v>
      </c>
      <c r="E11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11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11" s="64">
        <v>12</v>
      </c>
      <c r="H111" s="60" t="str">
        <f>_xlfn.CONCAT(Libromaestro[[#This Row],[SIGLAS]],"-",Libromaestro[[#This Row],[T. DOC]],"-",Libromaestro[[#This Row],[CONSECUTIVO]])</f>
        <v>T-IN-12</v>
      </c>
      <c r="I111" s="46" t="s">
        <v>189</v>
      </c>
      <c r="J111" s="64"/>
      <c r="K111" s="64" t="str">
        <f>_xlfn.XLOOKUP(Libromaestro[[#This Row],[CODIGO DEL DOCUMENTO]],Arreglo_Binaps[Codigo Documento],Arreglo_Binaps[Estado],"No creado",0)</f>
        <v>No creado</v>
      </c>
      <c r="L111" s="66" t="str">
        <f>_xlfn.XLOOKUP(Libromaestro[[#This Row],[CODIGO DEL DOCUMENTO]],Arreglo_Binaps[Codigo Documento],Arreglo_Binaps[Fecha de creación],"",0,1)</f>
        <v/>
      </c>
      <c r="M111" s="66"/>
      <c r="N111" s="65"/>
      <c r="O111"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11" s="74" t="str">
        <f>_xlfn.LET(_xlpm.resultado,_xlfn.XLOOKUP(Libromaestro[[#This Row],[CODIGO DEL DOCUMENTO]],Arreglo_Binaps[Codigo Documento],Arreglo_Binaps[Fecha_Aprobacion],"",0,1),IF(_xlpm.resultado=0,"",_xlpm.resultado))</f>
        <v/>
      </c>
      <c r="Q111" s="173"/>
      <c r="R111" s="75"/>
      <c r="S111" s="76"/>
      <c r="T111" s="80"/>
    </row>
    <row r="112" spans="1:20" ht="33.75" customHeight="1" x14ac:dyDescent="0.3">
      <c r="A112" s="60" t="str">
        <f>IFERROR(VLOOKUP(Libromaestro[[#This Row],[MACROPROCESO]],Tabla1[],2,FALSE),"")</f>
        <v>Electroingeniería</v>
      </c>
      <c r="B112" s="73" t="s">
        <v>29</v>
      </c>
      <c r="C112" s="64" t="s">
        <v>2255</v>
      </c>
      <c r="D112" s="64" t="s">
        <v>16</v>
      </c>
      <c r="E11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11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12" s="64">
        <v>3</v>
      </c>
      <c r="H112" s="60" t="str">
        <f>_xlfn.CONCAT(Libromaestro[[#This Row],[SIGLAS]],"-",Libromaestro[[#This Row],[T. DOC]],"-",Libromaestro[[#This Row],[CONSECUTIVO]])</f>
        <v>L-FT-3</v>
      </c>
      <c r="I112" s="73" t="s">
        <v>190</v>
      </c>
      <c r="J112" s="64">
        <v>1</v>
      </c>
      <c r="K112" s="64" t="str">
        <f>_xlfn.XLOOKUP(Libromaestro[[#This Row],[CODIGO DEL DOCUMENTO]],Arreglo_Binaps[Codigo Documento],Arreglo_Binaps[Estado],"No creado",0)</f>
        <v>Aprobado</v>
      </c>
      <c r="L112" s="66" t="str">
        <f>_xlfn.XLOOKUP(Libromaestro[[#This Row],[CODIGO DEL DOCUMENTO]],Arreglo_Binaps[Codigo Documento],Arreglo_Binaps[Fecha de creación],"",0,1)</f>
        <v>2024-06-13</v>
      </c>
      <c r="M112" s="66">
        <v>45974</v>
      </c>
      <c r="N11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47070</v>
      </c>
      <c r="O112"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47070</v>
      </c>
      <c r="P112" s="74">
        <f>_xlfn.LET(_xlpm.resultado,_xlfn.XLOOKUP(Libromaestro[[#This Row],[CODIGO DEL DOCUMENTO]],Arreglo_Binaps[Codigo Documento],Arreglo_Binaps[Fecha_Aprobacion],"",0,1),IF(_xlpm.resultado=0,"",_xlpm.resultado))</f>
        <v>45974</v>
      </c>
      <c r="Q112" s="173"/>
      <c r="R112" s="75"/>
      <c r="S112" s="76"/>
      <c r="T112" s="73"/>
    </row>
    <row r="113" spans="1:20" ht="33.75" customHeight="1" x14ac:dyDescent="0.3">
      <c r="A113" s="60" t="str">
        <f>IFERROR(VLOOKUP(Libromaestro[[#This Row],[MACROPROCESO]],Tabla1[],2,FALSE),"")</f>
        <v>Electroingeniería</v>
      </c>
      <c r="B113" s="73" t="s">
        <v>29</v>
      </c>
      <c r="C113" s="64" t="s">
        <v>2255</v>
      </c>
      <c r="D113" s="64" t="s">
        <v>22</v>
      </c>
      <c r="E11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11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113" s="64">
        <v>3</v>
      </c>
      <c r="H113" s="60" t="str">
        <f>_xlfn.CONCAT(Libromaestro[[#This Row],[SIGLAS]],"-",Libromaestro[[#This Row],[T. DOC]],"-",Libromaestro[[#This Row],[CONSECUTIVO]])</f>
        <v>L-GU-3</v>
      </c>
      <c r="I113" s="73" t="s">
        <v>191</v>
      </c>
      <c r="J113" s="64">
        <v>2</v>
      </c>
      <c r="K113" s="64" t="str">
        <f>_xlfn.XLOOKUP(Libromaestro[[#This Row],[CODIGO DEL DOCUMENTO]],Arreglo_Binaps[Codigo Documento],Arreglo_Binaps[Estado],"No creado",0)</f>
        <v>Aprobado</v>
      </c>
      <c r="L113" s="66" t="str">
        <f>_xlfn.XLOOKUP(Libromaestro[[#This Row],[CODIGO DEL DOCUMENTO]],Arreglo_Binaps[Codigo Documento],Arreglo_Binaps[Fecha de creación],"",0,1)</f>
        <v>2023-11-28</v>
      </c>
      <c r="M113" s="66">
        <v>45754</v>
      </c>
      <c r="N11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46850</v>
      </c>
      <c r="O113"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46850</v>
      </c>
      <c r="P113" s="74">
        <f>_xlfn.LET(_xlpm.resultado,_xlfn.XLOOKUP(Libromaestro[[#This Row],[CODIGO DEL DOCUMENTO]],Arreglo_Binaps[Codigo Documento],Arreglo_Binaps[Fecha_Aprobacion],"",0,1),IF(_xlpm.resultado=0,"",_xlpm.resultado))</f>
        <v>45754</v>
      </c>
      <c r="Q113" s="173"/>
      <c r="R113" s="75"/>
      <c r="S113" s="76" t="s">
        <v>28</v>
      </c>
      <c r="T113" s="73"/>
    </row>
    <row r="114" spans="1:20" ht="33.75" customHeight="1" x14ac:dyDescent="0.3">
      <c r="A114" s="60" t="str">
        <f>IFERROR(VLOOKUP(Libromaestro[[#This Row],[MACROPROCESO]],Tabla1[],2,FALSE),"")</f>
        <v>Electroingeniería</v>
      </c>
      <c r="B114" s="73" t="s">
        <v>29</v>
      </c>
      <c r="C114" s="64" t="s">
        <v>2255</v>
      </c>
      <c r="D114" s="64" t="s">
        <v>16</v>
      </c>
      <c r="E11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11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14" s="64">
        <v>16</v>
      </c>
      <c r="H114" s="60" t="str">
        <f>_xlfn.CONCAT(Libromaestro[[#This Row],[SIGLAS]],"-",Libromaestro[[#This Row],[T. DOC]],"-",Libromaestro[[#This Row],[CONSECUTIVO]])</f>
        <v>L-FT-16</v>
      </c>
      <c r="I114" s="73" t="s">
        <v>192</v>
      </c>
      <c r="J114" s="64">
        <v>1</v>
      </c>
      <c r="K114" s="64" t="str">
        <f>_xlfn.XLOOKUP(Libromaestro[[#This Row],[CODIGO DEL DOCUMENTO]],Arreglo_Binaps[Codigo Documento],Arreglo_Binaps[Estado],"No creado",0)</f>
        <v>No creado</v>
      </c>
      <c r="L114" s="66" t="str">
        <f>_xlfn.XLOOKUP(Libromaestro[[#This Row],[CODIGO DEL DOCUMENTO]],Arreglo_Binaps[Codigo Documento],Arreglo_Binaps[Fecha de creación],"",0,1)</f>
        <v/>
      </c>
      <c r="M114" s="66"/>
      <c r="N114"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14"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14" s="74" t="str">
        <f>_xlfn.LET(_xlpm.resultado,_xlfn.XLOOKUP(Libromaestro[[#This Row],[CODIGO DEL DOCUMENTO]],Arreglo_Binaps[Codigo Documento],Arreglo_Binaps[Fecha_Aprobacion],"",0,1),IF(_xlpm.resultado=0,"",_xlpm.resultado))</f>
        <v/>
      </c>
      <c r="Q114" s="173"/>
      <c r="R114" s="75"/>
      <c r="S114" s="76"/>
      <c r="T114" s="73"/>
    </row>
    <row r="115" spans="1:20" ht="33.75" customHeight="1" x14ac:dyDescent="0.3">
      <c r="A115" s="60" t="str">
        <f>IFERROR(VLOOKUP(Libromaestro[[#This Row],[MACROPROCESO]],Tabla1[],2,FALSE),"")</f>
        <v>Corportativa</v>
      </c>
      <c r="B115" s="73" t="s">
        <v>24</v>
      </c>
      <c r="C115" s="64" t="s">
        <v>2252</v>
      </c>
      <c r="D115" s="64" t="s">
        <v>16</v>
      </c>
      <c r="E11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11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15" s="64">
        <v>3</v>
      </c>
      <c r="H115" s="60" t="str">
        <f>_xlfn.CONCAT(Libromaestro[[#This Row],[SIGLAS]],"-",Libromaestro[[#This Row],[T. DOC]],"-",Libromaestro[[#This Row],[CONSECUTIVO]])</f>
        <v>F-FT-3</v>
      </c>
      <c r="I115" s="73" t="s">
        <v>193</v>
      </c>
      <c r="J115" s="64">
        <v>1</v>
      </c>
      <c r="K115" s="64" t="str">
        <f>_xlfn.XLOOKUP(Libromaestro[[#This Row],[CODIGO DEL DOCUMENTO]],Arreglo_Binaps[Codigo Documento],Arreglo_Binaps[Estado],"No creado",0)</f>
        <v>No creado</v>
      </c>
      <c r="L115" s="66" t="str">
        <f>_xlfn.XLOOKUP(Libromaestro[[#This Row],[CODIGO DEL DOCUMENTO]],Arreglo_Binaps[Codigo Documento],Arreglo_Binaps[Fecha de creación],"",0,1)</f>
        <v/>
      </c>
      <c r="M115" s="66"/>
      <c r="N115"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15"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15" s="74" t="str">
        <f>_xlfn.LET(_xlpm.resultado,_xlfn.XLOOKUP(Libromaestro[[#This Row],[CODIGO DEL DOCUMENTO]],Arreglo_Binaps[Codigo Documento],Arreglo_Binaps[Fecha_Aprobacion],"",0,1),IF(_xlpm.resultado=0,"",_xlpm.resultado))</f>
        <v/>
      </c>
      <c r="Q115" s="173"/>
      <c r="R115" s="75"/>
      <c r="S115" s="76"/>
      <c r="T115" s="73"/>
    </row>
    <row r="116" spans="1:20" ht="33.75" customHeight="1" x14ac:dyDescent="0.3">
      <c r="A116" s="60" t="str">
        <f>IFERROR(VLOOKUP(Libromaestro[[#This Row],[MACROPROCESO]],Tabla1[],2,FALSE),"")</f>
        <v>Corportativa</v>
      </c>
      <c r="B116" s="73" t="s">
        <v>24</v>
      </c>
      <c r="C116" s="64" t="s">
        <v>2252</v>
      </c>
      <c r="D116" s="64" t="s">
        <v>34</v>
      </c>
      <c r="E11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11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116" s="64">
        <v>3</v>
      </c>
      <c r="H116" s="60" t="str">
        <f>_xlfn.CONCAT(Libromaestro[[#This Row],[SIGLAS]],"-",Libromaestro[[#This Row],[T. DOC]],"-",Libromaestro[[#This Row],[CONSECUTIVO]])</f>
        <v>F-PR-3</v>
      </c>
      <c r="I116" s="73" t="s">
        <v>194</v>
      </c>
      <c r="J116" s="64">
        <v>1</v>
      </c>
      <c r="K116" s="64" t="str">
        <f>_xlfn.XLOOKUP(Libromaestro[[#This Row],[CODIGO DEL DOCUMENTO]],Arreglo_Binaps[Codigo Documento],Arreglo_Binaps[Estado],"No creado",0)</f>
        <v>No creado</v>
      </c>
      <c r="L116" s="66" t="str">
        <f>_xlfn.XLOOKUP(Libromaestro[[#This Row],[CODIGO DEL DOCUMENTO]],Arreglo_Binaps[Codigo Documento],Arreglo_Binaps[Fecha de creación],"",0,1)</f>
        <v/>
      </c>
      <c r="M116" s="66"/>
      <c r="N116"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16"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16" s="74" t="str">
        <f>_xlfn.LET(_xlpm.resultado,_xlfn.XLOOKUP(Libromaestro[[#This Row],[CODIGO DEL DOCUMENTO]],Arreglo_Binaps[Codigo Documento],Arreglo_Binaps[Fecha_Aprobacion],"",0,1),IF(_xlpm.resultado=0,"",_xlpm.resultado))</f>
        <v/>
      </c>
      <c r="Q116" s="173"/>
      <c r="R116" s="75"/>
      <c r="S116" s="76"/>
      <c r="T116" s="73"/>
    </row>
    <row r="117" spans="1:20" ht="33.75" customHeight="1" x14ac:dyDescent="0.3">
      <c r="A117" s="60" t="str">
        <f>IFERROR(VLOOKUP(Libromaestro[[#This Row],[MACROPROCESO]],Tabla1[],2,FALSE),"")</f>
        <v>Corportativa</v>
      </c>
      <c r="B117" s="73" t="s">
        <v>32</v>
      </c>
      <c r="C117" s="64" t="s">
        <v>57</v>
      </c>
      <c r="D117" s="64" t="s">
        <v>10</v>
      </c>
      <c r="E11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11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CA</v>
      </c>
      <c r="G117" s="64">
        <v>3</v>
      </c>
      <c r="H117" s="60" t="str">
        <f>_xlfn.CONCAT(Libromaestro[[#This Row],[SIGLAS]],"-",Libromaestro[[#This Row],[T. DOC]],"-",Libromaestro[[#This Row],[CONSECUTIVO]])</f>
        <v>H-CA-3</v>
      </c>
      <c r="I117" s="150" t="s">
        <v>645</v>
      </c>
      <c r="J117" s="64">
        <v>1</v>
      </c>
      <c r="K117" s="64" t="str">
        <f>_xlfn.XLOOKUP(Libromaestro[[#This Row],[CODIGO DEL DOCUMENTO]],Arreglo_Binaps[Codigo Documento],Arreglo_Binaps[Estado],"No creado",0)</f>
        <v>Aprobado</v>
      </c>
      <c r="L117" s="66" t="str">
        <f>_xlfn.XLOOKUP(Libromaestro[[#This Row],[CODIGO DEL DOCUMENTO]],Arreglo_Binaps[Codigo Documento],Arreglo_Binaps[Fecha de creación],"",0,1)</f>
        <v>2024-04-30</v>
      </c>
      <c r="M117" s="66"/>
      <c r="N11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46507</v>
      </c>
      <c r="O11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46507</v>
      </c>
      <c r="P117" s="67">
        <f>_xlfn.LET(_xlpm.resultado,_xlfn.XLOOKUP(Libromaestro[[#This Row],[CODIGO DEL DOCUMENTO]],Arreglo_Binaps[Codigo Documento],Arreglo_Binaps[Fecha_Aprobacion],"",0,1),IF(_xlpm.resultado=0,"",_xlpm.resultado))</f>
        <v>45693</v>
      </c>
      <c r="Q117" s="172"/>
      <c r="R117" s="68"/>
      <c r="S117" s="69" t="s">
        <v>28</v>
      </c>
      <c r="T117" s="70"/>
    </row>
    <row r="118" spans="1:20" ht="33.75" customHeight="1" x14ac:dyDescent="0.3">
      <c r="A118" s="60" t="str">
        <f>IFERROR(VLOOKUP(Libromaestro[[#This Row],[MACROPROCESO]],Tabla1[],2,FALSE),"")</f>
        <v>Corportativa</v>
      </c>
      <c r="B118" s="73" t="s">
        <v>32</v>
      </c>
      <c r="C118" s="64" t="s">
        <v>51</v>
      </c>
      <c r="D118" s="64" t="s">
        <v>16</v>
      </c>
      <c r="E11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11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18" s="64">
        <v>3</v>
      </c>
      <c r="H118" s="60" t="str">
        <f>_xlfn.CONCAT(Libromaestro[[#This Row],[SIGLAS]],"-",Libromaestro[[#This Row],[T. DOC]],"-",Libromaestro[[#This Row],[CONSECUTIVO]])</f>
        <v>H-FT-3</v>
      </c>
      <c r="I118" s="73" t="s">
        <v>195</v>
      </c>
      <c r="J118" s="64">
        <v>2</v>
      </c>
      <c r="K118" s="64" t="str">
        <f>_xlfn.XLOOKUP(Libromaestro[[#This Row],[CODIGO DEL DOCUMENTO]],Arreglo_Binaps[Codigo Documento],Arreglo_Binaps[Estado],"No creado",0)</f>
        <v>Aprobado</v>
      </c>
      <c r="L118" s="66" t="str">
        <f>_xlfn.XLOOKUP(Libromaestro[[#This Row],[CODIGO DEL DOCUMENTO]],Arreglo_Binaps[Codigo Documento],Arreglo_Binaps[Fecha de creación],"",0,1)</f>
        <v>2019-08-26</v>
      </c>
      <c r="M118" s="66">
        <v>44687</v>
      </c>
      <c r="N11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45783</v>
      </c>
      <c r="O118"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45783</v>
      </c>
      <c r="P118" s="74">
        <f>_xlfn.LET(_xlpm.resultado,_xlfn.XLOOKUP(Libromaestro[[#This Row],[CODIGO DEL DOCUMENTO]],Arreglo_Binaps[Codigo Documento],Arreglo_Binaps[Fecha_Aprobacion],"",0,1),IF(_xlpm.resultado=0,"",_xlpm.resultado))</f>
        <v>43703</v>
      </c>
      <c r="Q118" s="174" t="s">
        <v>113</v>
      </c>
      <c r="R118" s="75"/>
      <c r="S118" s="76" t="s">
        <v>11</v>
      </c>
      <c r="T118" s="73"/>
    </row>
    <row r="119" spans="1:20" ht="33.75" customHeight="1" x14ac:dyDescent="0.3">
      <c r="A119" s="60" t="str">
        <f>IFERROR(VLOOKUP(Libromaestro[[#This Row],[MACROPROCESO]],Tabla1[],2,FALSE),"")</f>
        <v>Corportativa</v>
      </c>
      <c r="B119" s="73" t="s">
        <v>32</v>
      </c>
      <c r="C119" s="64" t="s">
        <v>59</v>
      </c>
      <c r="D119" s="64" t="s">
        <v>22</v>
      </c>
      <c r="E11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11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119" s="64">
        <v>3</v>
      </c>
      <c r="H119" s="60" t="str">
        <f>_xlfn.CONCAT(Libromaestro[[#This Row],[SIGLAS]],"-",Libromaestro[[#This Row],[T. DOC]],"-",Libromaestro[[#This Row],[CONSECUTIVO]])</f>
        <v>H-GU-3</v>
      </c>
      <c r="I119" s="73" t="s">
        <v>196</v>
      </c>
      <c r="J119" s="64">
        <v>1</v>
      </c>
      <c r="K119" s="64" t="str">
        <f>_xlfn.XLOOKUP(Libromaestro[[#This Row],[CODIGO DEL DOCUMENTO]],Arreglo_Binaps[Codigo Documento],Arreglo_Binaps[Estado],"No creado",0)</f>
        <v>Aprobado</v>
      </c>
      <c r="L119" s="66" t="str">
        <f>_xlfn.XLOOKUP(Libromaestro[[#This Row],[CODIGO DEL DOCUMENTO]],Arreglo_Binaps[Codigo Documento],Arreglo_Binaps[Fecha de creación],"",0,1)</f>
        <v>2024-05-24</v>
      </c>
      <c r="M119" s="66"/>
      <c r="N11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46531</v>
      </c>
      <c r="O119"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46531</v>
      </c>
      <c r="P119" s="74">
        <f>_xlfn.LET(_xlpm.resultado,_xlfn.XLOOKUP(Libromaestro[[#This Row],[CODIGO DEL DOCUMENTO]],Arreglo_Binaps[Codigo Documento],Arreglo_Binaps[Fecha_Aprobacion],"",0,1),IF(_xlpm.resultado=0,"",_xlpm.resultado))</f>
        <v>45455</v>
      </c>
      <c r="Q119" s="173"/>
      <c r="R119" s="75"/>
      <c r="S119" s="76"/>
      <c r="T119" s="73"/>
    </row>
    <row r="120" spans="1:20" ht="33.75" customHeight="1" x14ac:dyDescent="0.3">
      <c r="A120" s="60" t="str">
        <f>IFERROR(VLOOKUP(Libromaestro[[#This Row],[MACROPROCESO]],Tabla1[],2,FALSE),"")</f>
        <v>Corportativa</v>
      </c>
      <c r="B120" s="61" t="s">
        <v>32</v>
      </c>
      <c r="C120" s="64" t="s">
        <v>57</v>
      </c>
      <c r="D120" s="64" t="s">
        <v>27</v>
      </c>
      <c r="E12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12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20" s="64">
        <v>10</v>
      </c>
      <c r="H120" s="60" t="str">
        <f>_xlfn.CONCAT(Libromaestro[[#This Row],[SIGLAS]],"-",Libromaestro[[#This Row],[T. DOC]],"-",Libromaestro[[#This Row],[CONSECUTIVO]])</f>
        <v>H-IN-10</v>
      </c>
      <c r="I120" s="73" t="s">
        <v>197</v>
      </c>
      <c r="J120" s="64">
        <v>1</v>
      </c>
      <c r="K120" s="64" t="str">
        <f>_xlfn.XLOOKUP(Libromaestro[[#This Row],[CODIGO DEL DOCUMENTO]],Arreglo_Binaps[Codigo Documento],Arreglo_Binaps[Estado],"No creado",0)</f>
        <v>No creado</v>
      </c>
      <c r="L120" s="66" t="str">
        <f>_xlfn.XLOOKUP(Libromaestro[[#This Row],[CODIGO DEL DOCUMENTO]],Arreglo_Binaps[Codigo Documento],Arreglo_Binaps[Fecha de creación],"",0,1)</f>
        <v/>
      </c>
      <c r="M120" s="66"/>
      <c r="N120"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20"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20" s="74" t="str">
        <f>_xlfn.LET(_xlpm.resultado,_xlfn.XLOOKUP(Libromaestro[[#This Row],[CODIGO DEL DOCUMENTO]],Arreglo_Binaps[Codigo Documento],Arreglo_Binaps[Fecha_Aprobacion],"",0,1),IF(_xlpm.resultado=0,"",_xlpm.resultado))</f>
        <v/>
      </c>
      <c r="Q120" s="173"/>
      <c r="R120" s="75"/>
      <c r="S120" s="76"/>
      <c r="T120" s="80"/>
    </row>
    <row r="121" spans="1:20" ht="33.75" customHeight="1" x14ac:dyDescent="0.3">
      <c r="A121" s="60" t="str">
        <f>IFERROR(VLOOKUP(Libromaestro[[#This Row],[MACROPROCESO]],Tabla1[],2,FALSE),"")</f>
        <v>Corportativa</v>
      </c>
      <c r="B121" s="73" t="s">
        <v>32</v>
      </c>
      <c r="C121" s="64" t="s">
        <v>59</v>
      </c>
      <c r="D121" s="64" t="s">
        <v>31</v>
      </c>
      <c r="E12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12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121" s="64">
        <v>3</v>
      </c>
      <c r="H121" s="60" t="str">
        <f>_xlfn.CONCAT(Libromaestro[[#This Row],[SIGLAS]],"-",Libromaestro[[#This Row],[T. DOC]],"-",Libromaestro[[#This Row],[CONSECUTIVO]])</f>
        <v>H-MA-3</v>
      </c>
      <c r="I121" s="73" t="s">
        <v>198</v>
      </c>
      <c r="J121" s="64">
        <v>1</v>
      </c>
      <c r="K121" s="64" t="str">
        <f>_xlfn.XLOOKUP(Libromaestro[[#This Row],[CODIGO DEL DOCUMENTO]],Arreglo_Binaps[Codigo Documento],Arreglo_Binaps[Estado],"No creado",0)</f>
        <v>Aprobado</v>
      </c>
      <c r="L121" s="66" t="str">
        <f>_xlfn.XLOOKUP(Libromaestro[[#This Row],[CODIGO DEL DOCUMENTO]],Arreglo_Binaps[Codigo Documento],Arreglo_Binaps[Fecha de creación],"",0,1)</f>
        <v>2025-05-29</v>
      </c>
      <c r="M121" s="66"/>
      <c r="N12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O121"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P121" s="74">
        <f>_xlfn.LET(_xlpm.resultado,_xlfn.XLOOKUP(Libromaestro[[#This Row],[CODIGO DEL DOCUMENTO]],Arreglo_Binaps[Codigo Documento],Arreglo_Binaps[Fecha_Aprobacion],"",0,1),IF(_xlpm.resultado=0,"",_xlpm.resultado))</f>
        <v>45877</v>
      </c>
      <c r="Q121" s="173"/>
      <c r="R121" s="75"/>
      <c r="S121" s="76" t="s">
        <v>28</v>
      </c>
      <c r="T121" s="73"/>
    </row>
    <row r="122" spans="1:20" ht="33.75" customHeight="1" x14ac:dyDescent="0.3">
      <c r="A122" s="60" t="str">
        <f>IFERROR(VLOOKUP(Libromaestro[[#This Row],[MACROPROCESO]],Tabla1[],2,FALSE),"")</f>
        <v>Corportativa</v>
      </c>
      <c r="B122" s="73" t="s">
        <v>32</v>
      </c>
      <c r="C122" s="64" t="s">
        <v>59</v>
      </c>
      <c r="D122" s="64" t="s">
        <v>16</v>
      </c>
      <c r="E12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12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22" s="64">
        <v>30</v>
      </c>
      <c r="H122" s="60" t="str">
        <f>_xlfn.CONCAT(Libromaestro[[#This Row],[SIGLAS]],"-",Libromaestro[[#This Row],[T. DOC]],"-",Libromaestro[[#This Row],[CONSECUTIVO]])</f>
        <v>H-FT-30</v>
      </c>
      <c r="I122" s="73" t="s">
        <v>199</v>
      </c>
      <c r="J122" s="64">
        <v>2</v>
      </c>
      <c r="K122" s="64" t="str">
        <f>_xlfn.XLOOKUP(Libromaestro[[#This Row],[CODIGO DEL DOCUMENTO]],Arreglo_Binaps[Codigo Documento],Arreglo_Binaps[Estado],"No creado",0)</f>
        <v>Aprobado</v>
      </c>
      <c r="L122" s="66" t="str">
        <f>_xlfn.XLOOKUP(Libromaestro[[#This Row],[CODIGO DEL DOCUMENTO]],Arreglo_Binaps[Codigo Documento],Arreglo_Binaps[Fecha de creación],"",0,1)</f>
        <v>2020-01-09</v>
      </c>
      <c r="M122" s="66">
        <v>45307</v>
      </c>
      <c r="N12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46403</v>
      </c>
      <c r="O122"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46403</v>
      </c>
      <c r="P122" s="74">
        <f>_xlfn.LET(_xlpm.resultado,_xlfn.XLOOKUP(Libromaestro[[#This Row],[CODIGO DEL DOCUMENTO]],Arreglo_Binaps[Codigo Documento],Arreglo_Binaps[Fecha_Aprobacion],"",0,1),IF(_xlpm.resultado=0,"",_xlpm.resultado))</f>
        <v>45427</v>
      </c>
      <c r="Q122" s="173"/>
      <c r="R122" s="75"/>
      <c r="S122" s="76" t="s">
        <v>23</v>
      </c>
      <c r="T122" s="73"/>
    </row>
    <row r="123" spans="1:20" ht="33.75" customHeight="1" x14ac:dyDescent="0.3">
      <c r="A123" s="60" t="str">
        <f>IFERROR(VLOOKUP(Libromaestro[[#This Row],[MACROPROCESO]],Tabla1[],2,FALSE),"")</f>
        <v>Corportativa</v>
      </c>
      <c r="B123" s="73" t="s">
        <v>32</v>
      </c>
      <c r="C123" s="64" t="s">
        <v>51</v>
      </c>
      <c r="D123" s="64" t="s">
        <v>34</v>
      </c>
      <c r="E12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12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123" s="64">
        <v>3</v>
      </c>
      <c r="H123" s="60" t="str">
        <f>_xlfn.CONCAT(Libromaestro[[#This Row],[SIGLAS]],"-",Libromaestro[[#This Row],[T. DOC]],"-",Libromaestro[[#This Row],[CONSECUTIVO]])</f>
        <v>H-PR-3</v>
      </c>
      <c r="I123" s="73" t="s">
        <v>200</v>
      </c>
      <c r="J123" s="64">
        <v>1</v>
      </c>
      <c r="K123" s="64" t="str">
        <f>_xlfn.XLOOKUP(Libromaestro[[#This Row],[CODIGO DEL DOCUMENTO]],Arreglo_Binaps[Codigo Documento],Arreglo_Binaps[Estado],"No creado",0)</f>
        <v>No creado</v>
      </c>
      <c r="L123" s="66" t="str">
        <f>_xlfn.XLOOKUP(Libromaestro[[#This Row],[CODIGO DEL DOCUMENTO]],Arreglo_Binaps[Codigo Documento],Arreglo_Binaps[Fecha de creación],"",0,1)</f>
        <v/>
      </c>
      <c r="M123" s="66"/>
      <c r="N123"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23"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23" s="74" t="str">
        <f>_xlfn.LET(_xlpm.resultado,_xlfn.XLOOKUP(Libromaestro[[#This Row],[CODIGO DEL DOCUMENTO]],Arreglo_Binaps[Codigo Documento],Arreglo_Binaps[Fecha_Aprobacion],"",0,1),IF(_xlpm.resultado=0,"",_xlpm.resultado))</f>
        <v/>
      </c>
      <c r="Q123" s="173"/>
      <c r="R123" s="75"/>
      <c r="S123" s="76"/>
      <c r="T123" s="73"/>
    </row>
    <row r="124" spans="1:20" ht="33.75" customHeight="1" x14ac:dyDescent="0.3">
      <c r="A124" s="60" t="str">
        <f>IFERROR(VLOOKUP(Libromaestro[[#This Row],[MACROPROCESO]],Tabla1[],2,FALSE),"")</f>
        <v>Corportativa</v>
      </c>
      <c r="B124" s="73" t="s">
        <v>38</v>
      </c>
      <c r="C124" s="64" t="s">
        <v>26</v>
      </c>
      <c r="D124" s="64" t="s">
        <v>16</v>
      </c>
      <c r="E12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12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24" s="64">
        <v>3</v>
      </c>
      <c r="H124" s="60" t="str">
        <f>_xlfn.CONCAT(Libromaestro[[#This Row],[SIGLAS]],"-",Libromaestro[[#This Row],[T. DOC]],"-",Libromaestro[[#This Row],[CONSECUTIVO]])</f>
        <v>M-FT-3</v>
      </c>
      <c r="I124" s="73" t="s">
        <v>201</v>
      </c>
      <c r="J124" s="64">
        <v>3</v>
      </c>
      <c r="K124" s="64" t="str">
        <f>_xlfn.XLOOKUP(Libromaestro[[#This Row],[CODIGO DEL DOCUMENTO]],Arreglo_Binaps[Codigo Documento],Arreglo_Binaps[Estado],"No creado",0)</f>
        <v>Aprobado</v>
      </c>
      <c r="L124" s="66" t="str">
        <f>_xlfn.XLOOKUP(Libromaestro[[#This Row],[CODIGO DEL DOCUMENTO]],Arreglo_Binaps[Codigo Documento],Arreglo_Binaps[Fecha de creación],"",0,1)</f>
        <v>2019-12-06</v>
      </c>
      <c r="M124" s="66">
        <v>45762</v>
      </c>
      <c r="N12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46858</v>
      </c>
      <c r="O124"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46858</v>
      </c>
      <c r="P124" s="74">
        <f>_xlfn.LET(_xlpm.resultado,_xlfn.XLOOKUP(Libromaestro[[#This Row],[CODIGO DEL DOCUMENTO]],Arreglo_Binaps[Codigo Documento],Arreglo_Binaps[Fecha_Aprobacion],"",0,1),IF(_xlpm.resultado=0,"",_xlpm.resultado))</f>
        <v>45877</v>
      </c>
      <c r="Q124" s="173"/>
      <c r="R124" s="75"/>
      <c r="S124" s="76" t="s">
        <v>11</v>
      </c>
      <c r="T124" s="73"/>
    </row>
    <row r="125" spans="1:20" ht="33.75" customHeight="1" x14ac:dyDescent="0.3">
      <c r="A125" s="60" t="str">
        <f>IFERROR(VLOOKUP(Libromaestro[[#This Row],[MACROPROCESO]],Tabla1[],2,FALSE),"")</f>
        <v>Corportativa</v>
      </c>
      <c r="B125" s="73" t="s">
        <v>38</v>
      </c>
      <c r="C125" s="64" t="s">
        <v>26</v>
      </c>
      <c r="D125" s="64" t="s">
        <v>22</v>
      </c>
      <c r="E12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12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125" s="64">
        <v>3</v>
      </c>
      <c r="H125" s="60" t="str">
        <f>_xlfn.CONCAT(Libromaestro[[#This Row],[SIGLAS]],"-",Libromaestro[[#This Row],[T. DOC]],"-",Libromaestro[[#This Row],[CONSECUTIVO]])</f>
        <v>M-GU-3</v>
      </c>
      <c r="I125" s="73" t="s">
        <v>202</v>
      </c>
      <c r="J125" s="64">
        <v>1</v>
      </c>
      <c r="K125" s="64" t="str">
        <f>_xlfn.XLOOKUP(Libromaestro[[#This Row],[CODIGO DEL DOCUMENTO]],Arreglo_Binaps[Codigo Documento],Arreglo_Binaps[Estado],"No creado",0)</f>
        <v>Aprobado</v>
      </c>
      <c r="L125" s="66" t="str">
        <f>_xlfn.XLOOKUP(Libromaestro[[#This Row],[CODIGO DEL DOCUMENTO]],Arreglo_Binaps[Codigo Documento],Arreglo_Binaps[Fecha de creación],"",0,1)</f>
        <v>2025-09-25</v>
      </c>
      <c r="M125" s="66"/>
      <c r="N12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47021</v>
      </c>
      <c r="O125"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47021</v>
      </c>
      <c r="P125" s="74">
        <f>_xlfn.LET(_xlpm.resultado,_xlfn.XLOOKUP(Libromaestro[[#This Row],[CODIGO DEL DOCUMENTO]],Arreglo_Binaps[Codigo Documento],Arreglo_Binaps[Fecha_Aprobacion],"",0,1),IF(_xlpm.resultado=0,"",_xlpm.resultado))</f>
        <v>46083</v>
      </c>
      <c r="Q125" s="173"/>
      <c r="R125" s="75"/>
      <c r="S125" s="76"/>
      <c r="T125" s="73"/>
    </row>
    <row r="126" spans="1:20" ht="33.75" customHeight="1" x14ac:dyDescent="0.3">
      <c r="A126" s="60" t="str">
        <f>IFERROR(VLOOKUP(Libromaestro[[#This Row],[MACROPROCESO]],Tabla1[],2,FALSE),"")</f>
        <v>Corportativa</v>
      </c>
      <c r="B126" s="73" t="s">
        <v>38</v>
      </c>
      <c r="C126" s="64" t="s">
        <v>26</v>
      </c>
      <c r="D126" s="64" t="s">
        <v>27</v>
      </c>
      <c r="E12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12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26" s="64">
        <v>3</v>
      </c>
      <c r="H126" s="60" t="str">
        <f>_xlfn.CONCAT(Libromaestro[[#This Row],[SIGLAS]],"-",Libromaestro[[#This Row],[T. DOC]],"-",Libromaestro[[#This Row],[CONSECUTIVO]])</f>
        <v>M-IN-3</v>
      </c>
      <c r="I126" s="97" t="s">
        <v>203</v>
      </c>
      <c r="J126" s="64">
        <v>1</v>
      </c>
      <c r="K126" s="64" t="str">
        <f>_xlfn.XLOOKUP(Libromaestro[[#This Row],[CODIGO DEL DOCUMENTO]],Arreglo_Binaps[Codigo Documento],Arreglo_Binaps[Estado],"No creado",0)</f>
        <v>Aprobado</v>
      </c>
      <c r="L126" s="66" t="str">
        <f>_xlfn.XLOOKUP(Libromaestro[[#This Row],[CODIGO DEL DOCUMENTO]],Arreglo_Binaps[Codigo Documento],Arreglo_Binaps[Fecha de creación],"",0,1)</f>
        <v>2025-11-21</v>
      </c>
      <c r="M126" s="66"/>
      <c r="N12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47078</v>
      </c>
      <c r="O126"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47078</v>
      </c>
      <c r="P126" s="74">
        <f>_xlfn.LET(_xlpm.resultado,_xlfn.XLOOKUP(Libromaestro[[#This Row],[CODIGO DEL DOCUMENTO]],Arreglo_Binaps[Codigo Documento],Arreglo_Binaps[Fecha_Aprobacion],"",0,1),IF(_xlpm.resultado=0,"",_xlpm.resultado))</f>
        <v>46083</v>
      </c>
      <c r="Q126" s="173"/>
      <c r="R126" s="75"/>
      <c r="S126" s="76"/>
      <c r="T126" s="73"/>
    </row>
    <row r="127" spans="1:20" ht="33.75" customHeight="1" x14ac:dyDescent="0.3">
      <c r="A127" s="60" t="str">
        <f>IFERROR(VLOOKUP(Libromaestro[[#This Row],[MACROPROCESO]],Tabla1[],2,FALSE),"")</f>
        <v>Corportativa</v>
      </c>
      <c r="B127" s="73" t="s">
        <v>38</v>
      </c>
      <c r="C127" s="64" t="s">
        <v>26</v>
      </c>
      <c r="D127" s="64" t="s">
        <v>31</v>
      </c>
      <c r="E12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127" s="7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127" s="64">
        <v>3</v>
      </c>
      <c r="H127" s="60" t="str">
        <f>_xlfn.CONCAT(Libromaestro[[#This Row],[SIGLAS]],"-",Libromaestro[[#This Row],[T. DOC]],"-",Libromaestro[[#This Row],[CONSECUTIVO]])</f>
        <v>M-MA-3</v>
      </c>
      <c r="I127" s="73" t="s">
        <v>204</v>
      </c>
      <c r="J127" s="64">
        <v>1</v>
      </c>
      <c r="K127" s="64" t="str">
        <f>_xlfn.XLOOKUP(Libromaestro[[#This Row],[CODIGO DEL DOCUMENTO]],Arreglo_Binaps[Codigo Documento],Arreglo_Binaps[Estado],"No creado",0)</f>
        <v>No creado</v>
      </c>
      <c r="L127" s="66" t="str">
        <f>_xlfn.XLOOKUP(Libromaestro[[#This Row],[CODIGO DEL DOCUMENTO]],Arreglo_Binaps[Codigo Documento],Arreglo_Binaps[Fecha de creación],"",0,1)</f>
        <v/>
      </c>
      <c r="M127" s="66"/>
      <c r="N127"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27"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27" s="74" t="str">
        <f>_xlfn.LET(_xlpm.resultado,_xlfn.XLOOKUP(Libromaestro[[#This Row],[CODIGO DEL DOCUMENTO]],Arreglo_Binaps[Codigo Documento],Arreglo_Binaps[Fecha_Aprobacion],"",0,1),IF(_xlpm.resultado=0,"",_xlpm.resultado))</f>
        <v/>
      </c>
      <c r="Q127" s="173"/>
      <c r="R127" s="75"/>
      <c r="S127" s="76"/>
      <c r="T127" s="73"/>
    </row>
    <row r="128" spans="1:20" ht="33.75" customHeight="1" x14ac:dyDescent="0.3">
      <c r="A128" s="60" t="str">
        <f>IFERROR(VLOOKUP(Libromaestro[[#This Row],[MACROPROCESO]],Tabla1[],2,FALSE),"")</f>
        <v>Corportativa</v>
      </c>
      <c r="B128" s="73" t="s">
        <v>38</v>
      </c>
      <c r="C128" s="64" t="s">
        <v>39</v>
      </c>
      <c r="D128" s="64" t="s">
        <v>37</v>
      </c>
      <c r="E12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128" s="7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128" s="64">
        <v>3</v>
      </c>
      <c r="H128" s="60" t="str">
        <f>_xlfn.CONCAT(Libromaestro[[#This Row],[SIGLAS]],"-",Libromaestro[[#This Row],[T. DOC]],"-",Libromaestro[[#This Row],[CONSECUTIVO]])</f>
        <v>M-PO-3</v>
      </c>
      <c r="I128" s="98" t="s">
        <v>205</v>
      </c>
      <c r="J128" s="64">
        <v>2</v>
      </c>
      <c r="K128" s="64" t="str">
        <f>_xlfn.XLOOKUP(Libromaestro[[#This Row],[CODIGO DEL DOCUMENTO]],Arreglo_Binaps[Codigo Documento],Arreglo_Binaps[Estado],"No creado",0)</f>
        <v>Aprobado</v>
      </c>
      <c r="L128" s="66" t="str">
        <f>_xlfn.XLOOKUP(Libromaestro[[#This Row],[CODIGO DEL DOCUMENTO]],Arreglo_Binaps[Codigo Documento],Arreglo_Binaps[Fecha de creación],"",0,1)</f>
        <v>2025-07-25</v>
      </c>
      <c r="M128" s="66">
        <v>45966</v>
      </c>
      <c r="N12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47062</v>
      </c>
      <c r="O128"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47062</v>
      </c>
      <c r="P128" s="74">
        <f>_xlfn.LET(_xlpm.resultado,_xlfn.XLOOKUP(Libromaestro[[#This Row],[CODIGO DEL DOCUMENTO]],Arreglo_Binaps[Codigo Documento],Arreglo_Binaps[Fecha_Aprobacion],"",0,1),IF(_xlpm.resultado=0,"",_xlpm.resultado))</f>
        <v>46083</v>
      </c>
      <c r="Q128" s="173"/>
      <c r="R128" s="75"/>
      <c r="S128" s="76"/>
      <c r="T128" s="73"/>
    </row>
    <row r="129" spans="1:20" ht="33.75" customHeight="1" x14ac:dyDescent="0.3">
      <c r="A129" s="60" t="str">
        <f>IFERROR(VLOOKUP(Libromaestro[[#This Row],[MACROPROCESO]],Tabla1[],2,FALSE),"")</f>
        <v>Suministros</v>
      </c>
      <c r="B129" s="70" t="s">
        <v>45</v>
      </c>
      <c r="C129" s="64" t="s">
        <v>30</v>
      </c>
      <c r="D129" s="64" t="s">
        <v>16</v>
      </c>
      <c r="E12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12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29" s="76">
        <v>10</v>
      </c>
      <c r="H129" s="60" t="str">
        <f>_xlfn.CONCAT(Libromaestro[[#This Row],[SIGLAS]],"-",Libromaestro[[#This Row],[T. DOC]],"-",Libromaestro[[#This Row],[CONSECUTIVO]])</f>
        <v>S-FT-10</v>
      </c>
      <c r="I129" s="73" t="s">
        <v>350</v>
      </c>
      <c r="J129" s="64">
        <v>4</v>
      </c>
      <c r="K129" s="64" t="str">
        <f>_xlfn.XLOOKUP(Libromaestro[[#This Row],[CODIGO DEL DOCUMENTO]],Arreglo_Binaps[Codigo Documento],Arreglo_Binaps[Estado],"No creado",0)</f>
        <v>Aprobado</v>
      </c>
      <c r="L129" s="66" t="str">
        <f>_xlfn.XLOOKUP(Libromaestro[[#This Row],[CODIGO DEL DOCUMENTO]],Arreglo_Binaps[Codigo Documento],Arreglo_Binaps[Fecha de creación],"",0,1)</f>
        <v>2019-12-28</v>
      </c>
      <c r="M129" s="66">
        <v>45973</v>
      </c>
      <c r="N12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47069</v>
      </c>
      <c r="O129"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47069</v>
      </c>
      <c r="P129" s="74">
        <f>_xlfn.LET(_xlpm.resultado,_xlfn.XLOOKUP(Libromaestro[[#This Row],[CODIGO DEL DOCUMENTO]],Arreglo_Binaps[Codigo Documento],Arreglo_Binaps[Fecha_Aprobacion],"",0,1),IF(_xlpm.resultado=0,"",_xlpm.resultado))</f>
        <v>46098</v>
      </c>
      <c r="Q129" s="176"/>
      <c r="R129" s="76"/>
      <c r="S129" s="78" t="s">
        <v>23</v>
      </c>
      <c r="T129" s="79"/>
    </row>
    <row r="130" spans="1:20" ht="33.75" customHeight="1" x14ac:dyDescent="0.3">
      <c r="A130" s="60" t="str">
        <f>IFERROR(VLOOKUP(Libromaestro[[#This Row],[MACROPROCESO]],Tabla1[],2,FALSE),"")</f>
        <v>Suministros</v>
      </c>
      <c r="B130" s="70" t="s">
        <v>45</v>
      </c>
      <c r="C130" s="64" t="s">
        <v>30</v>
      </c>
      <c r="D130" s="64" t="s">
        <v>16</v>
      </c>
      <c r="E13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13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30" s="76">
        <v>11</v>
      </c>
      <c r="H130" s="60" t="str">
        <f>_xlfn.CONCAT(Libromaestro[[#This Row],[SIGLAS]],"-",Libromaestro[[#This Row],[T. DOC]],"-",Libromaestro[[#This Row],[CONSECUTIVO]])</f>
        <v>S-FT-11</v>
      </c>
      <c r="I130" s="73" t="s">
        <v>362</v>
      </c>
      <c r="J130" s="64">
        <v>2</v>
      </c>
      <c r="K130" s="64" t="str">
        <f>_xlfn.XLOOKUP(Libromaestro[[#This Row],[CODIGO DEL DOCUMENTO]],Arreglo_Binaps[Codigo Documento],Arreglo_Binaps[Estado],"No creado",0)</f>
        <v>Aprobado</v>
      </c>
      <c r="L130" s="66" t="str">
        <f>_xlfn.XLOOKUP(Libromaestro[[#This Row],[CODIGO DEL DOCUMENTO]],Arreglo_Binaps[Codigo Documento],Arreglo_Binaps[Fecha de creación],"",0,1)</f>
        <v>2021-03-04</v>
      </c>
      <c r="M130" s="66">
        <v>45478</v>
      </c>
      <c r="N13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46573</v>
      </c>
      <c r="O130"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46573</v>
      </c>
      <c r="P130" s="74">
        <f>_xlfn.LET(_xlpm.resultado,_xlfn.XLOOKUP(Libromaestro[[#This Row],[CODIGO DEL DOCUMENTO]],Arreglo_Binaps[Codigo Documento],Arreglo_Binaps[Fecha_Aprobacion],"",0,1),IF(_xlpm.resultado=0,"",_xlpm.resultado))</f>
        <v>45581</v>
      </c>
      <c r="Q130" s="176"/>
      <c r="R130" s="76"/>
      <c r="S130" s="78" t="s">
        <v>23</v>
      </c>
      <c r="T130" s="79"/>
    </row>
    <row r="131" spans="1:20" ht="33.75" customHeight="1" x14ac:dyDescent="0.3">
      <c r="A131" s="60" t="str">
        <f>IFERROR(VLOOKUP(Libromaestro[[#This Row],[MACROPROCESO]],Tabla1[],2,FALSE),"")</f>
        <v>Suministros</v>
      </c>
      <c r="B131" s="70" t="s">
        <v>45</v>
      </c>
      <c r="C131" s="64" t="s">
        <v>36</v>
      </c>
      <c r="D131" s="64" t="s">
        <v>16</v>
      </c>
      <c r="E13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13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31" s="76">
        <v>12</v>
      </c>
      <c r="H131" s="60" t="str">
        <f>_xlfn.CONCAT(Libromaestro[[#This Row],[SIGLAS]],"-",Libromaestro[[#This Row],[T. DOC]],"-",Libromaestro[[#This Row],[CONSECUTIVO]])</f>
        <v>S-FT-12</v>
      </c>
      <c r="I131" s="73" t="s">
        <v>375</v>
      </c>
      <c r="J131" s="64">
        <v>2</v>
      </c>
      <c r="K131" s="64" t="str">
        <f>_xlfn.XLOOKUP(Libromaestro[[#This Row],[CODIGO DEL DOCUMENTO]],Arreglo_Binaps[Codigo Documento],Arreglo_Binaps[Estado],"No creado",0)</f>
        <v>En Revision</v>
      </c>
      <c r="L131" s="66" t="str">
        <f>_xlfn.XLOOKUP(Libromaestro[[#This Row],[CODIGO DEL DOCUMENTO]],Arreglo_Binaps[Codigo Documento],Arreglo_Binaps[Fecha de creación],"",0,1)</f>
        <v>2021-04-12</v>
      </c>
      <c r="M131" s="66">
        <v>45702</v>
      </c>
      <c r="N13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46797</v>
      </c>
      <c r="O131"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46797</v>
      </c>
      <c r="P131" s="74" t="str">
        <f>_xlfn.LET(_xlpm.resultado,_xlfn.XLOOKUP(Libromaestro[[#This Row],[CODIGO DEL DOCUMENTO]],Arreglo_Binaps[Codigo Documento],Arreglo_Binaps[Fecha_Aprobacion],"",0,1),IF(_xlpm.resultado=0,"",_xlpm.resultado))</f>
        <v/>
      </c>
      <c r="Q131" s="176"/>
      <c r="R131" s="76"/>
      <c r="S131" s="78"/>
      <c r="T131" s="79"/>
    </row>
    <row r="132" spans="1:20" ht="33.75" customHeight="1" x14ac:dyDescent="0.3">
      <c r="A132" s="60" t="str">
        <f>IFERROR(VLOOKUP(Libromaestro[[#This Row],[MACROPROCESO]],Tabla1[],2,FALSE),"")</f>
        <v>Suministros</v>
      </c>
      <c r="B132" s="70" t="s">
        <v>45</v>
      </c>
      <c r="C132" s="64" t="s">
        <v>30</v>
      </c>
      <c r="D132" s="64" t="s">
        <v>16</v>
      </c>
      <c r="E13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13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32" s="76">
        <v>13</v>
      </c>
      <c r="H132" s="60" t="str">
        <f>_xlfn.CONCAT(Libromaestro[[#This Row],[SIGLAS]],"-",Libromaestro[[#This Row],[T. DOC]],"-",Libromaestro[[#This Row],[CONSECUTIVO]])</f>
        <v>S-FT-13</v>
      </c>
      <c r="I132" s="73" t="s">
        <v>385</v>
      </c>
      <c r="J132" s="64">
        <v>2</v>
      </c>
      <c r="K132" s="64" t="str">
        <f>_xlfn.XLOOKUP(Libromaestro[[#This Row],[CODIGO DEL DOCUMENTO]],Arreglo_Binaps[Codigo Documento],Arreglo_Binaps[Estado],"No creado",0)</f>
        <v>Aprobado</v>
      </c>
      <c r="L132" s="66" t="str">
        <f>_xlfn.XLOOKUP(Libromaestro[[#This Row],[CODIGO DEL DOCUMENTO]],Arreglo_Binaps[Codigo Documento],Arreglo_Binaps[Fecha de creación],"",0,1)</f>
        <v>2025-03-07</v>
      </c>
      <c r="M132" s="66">
        <v>45723</v>
      </c>
      <c r="N13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46819</v>
      </c>
      <c r="O132"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46819</v>
      </c>
      <c r="P132" s="74">
        <f>_xlfn.LET(_xlpm.resultado,_xlfn.XLOOKUP(Libromaestro[[#This Row],[CODIGO DEL DOCUMENTO]],Arreglo_Binaps[Codigo Documento],Arreglo_Binaps[Fecha_Aprobacion],"",0,1),IF(_xlpm.resultado=0,"",_xlpm.resultado))</f>
        <v>45882</v>
      </c>
      <c r="Q132" s="176"/>
      <c r="R132" s="76"/>
      <c r="S132" s="78"/>
      <c r="T132" s="79"/>
    </row>
    <row r="133" spans="1:20" ht="33.75" customHeight="1" x14ac:dyDescent="0.3">
      <c r="A133" s="60" t="str">
        <f>IFERROR(VLOOKUP(Libromaestro[[#This Row],[MACROPROCESO]],Tabla1[],2,FALSE),"")</f>
        <v>Suministros</v>
      </c>
      <c r="B133" s="70" t="s">
        <v>45</v>
      </c>
      <c r="C133" s="64" t="s">
        <v>30</v>
      </c>
      <c r="D133" s="64" t="s">
        <v>16</v>
      </c>
      <c r="E13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13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33" s="76">
        <v>14</v>
      </c>
      <c r="H133" s="60" t="str">
        <f>_xlfn.CONCAT(Libromaestro[[#This Row],[SIGLAS]],"-",Libromaestro[[#This Row],[T. DOC]],"-",Libromaestro[[#This Row],[CONSECUTIVO]])</f>
        <v>S-FT-14</v>
      </c>
      <c r="I133" s="73" t="s">
        <v>392</v>
      </c>
      <c r="J133" s="64">
        <v>3</v>
      </c>
      <c r="K133" s="64" t="str">
        <f>_xlfn.XLOOKUP(Libromaestro[[#This Row],[CODIGO DEL DOCUMENTO]],Arreglo_Binaps[Codigo Documento],Arreglo_Binaps[Estado],"No creado",0)</f>
        <v>Aprobado</v>
      </c>
      <c r="L133" s="66" t="str">
        <f>_xlfn.XLOOKUP(Libromaestro[[#This Row],[CODIGO DEL DOCUMENTO]],Arreglo_Binaps[Codigo Documento],Arreglo_Binaps[Fecha de creación],"",0,1)</f>
        <v>2019-12-30</v>
      </c>
      <c r="M133" s="66">
        <v>45716</v>
      </c>
      <c r="N13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46811</v>
      </c>
      <c r="O133"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46811</v>
      </c>
      <c r="P133" s="74">
        <f>_xlfn.LET(_xlpm.resultado,_xlfn.XLOOKUP(Libromaestro[[#This Row],[CODIGO DEL DOCUMENTO]],Arreglo_Binaps[Codigo Documento],Arreglo_Binaps[Fecha_Aprobacion],"",0,1),IF(_xlpm.resultado=0,"",_xlpm.resultado))</f>
        <v>45783</v>
      </c>
      <c r="Q133" s="176"/>
      <c r="R133" s="76"/>
      <c r="S133" s="78" t="s">
        <v>23</v>
      </c>
      <c r="T133" s="79"/>
    </row>
    <row r="134" spans="1:20" ht="33.75" customHeight="1" x14ac:dyDescent="0.3">
      <c r="A134" s="60" t="str">
        <f>IFERROR(VLOOKUP(Libromaestro[[#This Row],[MACROPROCESO]],Tabla1[],2,FALSE),"")</f>
        <v>Suministros</v>
      </c>
      <c r="B134" s="70" t="s">
        <v>45</v>
      </c>
      <c r="C134" s="64" t="s">
        <v>30</v>
      </c>
      <c r="D134" s="64" t="s">
        <v>16</v>
      </c>
      <c r="E13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13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34" s="76">
        <v>15</v>
      </c>
      <c r="H134" s="60" t="str">
        <f>_xlfn.CONCAT(Libromaestro[[#This Row],[SIGLAS]],"-",Libromaestro[[#This Row],[T. DOC]],"-",Libromaestro[[#This Row],[CONSECUTIVO]])</f>
        <v>S-FT-15</v>
      </c>
      <c r="I134" s="73" t="s">
        <v>403</v>
      </c>
      <c r="J134" s="64">
        <v>2</v>
      </c>
      <c r="K134" s="64" t="str">
        <f>_xlfn.XLOOKUP(Libromaestro[[#This Row],[CODIGO DEL DOCUMENTO]],Arreglo_Binaps[Codigo Documento],Arreglo_Binaps[Estado],"No creado",0)</f>
        <v>Aprobado</v>
      </c>
      <c r="L134" s="66" t="str">
        <f>_xlfn.XLOOKUP(Libromaestro[[#This Row],[CODIGO DEL DOCUMENTO]],Arreglo_Binaps[Codigo Documento],Arreglo_Binaps[Fecha de creación],"",0,1)</f>
        <v>2021-03-04</v>
      </c>
      <c r="M134" s="66">
        <v>45716</v>
      </c>
      <c r="N13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46811</v>
      </c>
      <c r="O134"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46811</v>
      </c>
      <c r="P134" s="74">
        <f>_xlfn.LET(_xlpm.resultado,_xlfn.XLOOKUP(Libromaestro[[#This Row],[CODIGO DEL DOCUMENTO]],Arreglo_Binaps[Codigo Documento],Arreglo_Binaps[Fecha_Aprobacion],"",0,1),IF(_xlpm.resultado=0,"",_xlpm.resultado))</f>
        <v>45783</v>
      </c>
      <c r="Q134" s="176"/>
      <c r="R134" s="76"/>
      <c r="S134" s="78" t="s">
        <v>23</v>
      </c>
      <c r="T134" s="79"/>
    </row>
    <row r="135" spans="1:20" ht="33.75" customHeight="1" x14ac:dyDescent="0.3">
      <c r="A135" s="60" t="str">
        <f>IFERROR(VLOOKUP(Libromaestro[[#This Row],[MACROPROCESO]],Tabla1[],2,FALSE),"")</f>
        <v>Corporativa</v>
      </c>
      <c r="B135" s="70" t="s">
        <v>13</v>
      </c>
      <c r="C135" s="64" t="s">
        <v>82</v>
      </c>
      <c r="D135" s="64" t="s">
        <v>16</v>
      </c>
      <c r="E13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13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35" s="64">
        <v>4</v>
      </c>
      <c r="H135" s="60" t="str">
        <f>_xlfn.CONCAT(Libromaestro[[#This Row],[SIGLAS]],"-",Libromaestro[[#This Row],[T. DOC]],"-",Libromaestro[[#This Row],[CONSECUTIVO]])</f>
        <v>D-FT-4</v>
      </c>
      <c r="I135" s="84" t="s">
        <v>210</v>
      </c>
      <c r="J135" s="64">
        <v>3</v>
      </c>
      <c r="K135" s="64" t="str">
        <f>_xlfn.XLOOKUP(Libromaestro[[#This Row],[CODIGO DEL DOCUMENTO]],Arreglo_Binaps[Codigo Documento],Arreglo_Binaps[Estado],"No creado",0)</f>
        <v>Aprobado</v>
      </c>
      <c r="L135" s="66" t="str">
        <f>_xlfn.XLOOKUP(Libromaestro[[#This Row],[CODIGO DEL DOCUMENTO]],Arreglo_Binaps[Codigo Documento],Arreglo_Binaps[Fecha de creación],"",0,1)</f>
        <v>2020-01-07</v>
      </c>
      <c r="M135" s="66">
        <v>45414</v>
      </c>
      <c r="N13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46509</v>
      </c>
      <c r="O135"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46509</v>
      </c>
      <c r="P135" s="74">
        <f>_xlfn.LET(_xlpm.resultado,_xlfn.XLOOKUP(Libromaestro[[#This Row],[CODIGO DEL DOCUMENTO]],Arreglo_Binaps[Codigo Documento],Arreglo_Binaps[Fecha_Aprobacion],"",0,1),IF(_xlpm.resultado=0,"",_xlpm.resultado))</f>
        <v>45463</v>
      </c>
      <c r="Q135" s="173" t="s">
        <v>138</v>
      </c>
      <c r="R135" s="75"/>
      <c r="S135" s="76" t="s">
        <v>28</v>
      </c>
      <c r="T135" s="73" t="s">
        <v>211</v>
      </c>
    </row>
    <row r="136" spans="1:20" ht="33.75" customHeight="1" x14ac:dyDescent="0.3">
      <c r="A136" s="60" t="str">
        <f>IFERROR(VLOOKUP(Libromaestro[[#This Row],[MACROPROCESO]],Tabla1[],2,FALSE),"")</f>
        <v>Corporativa</v>
      </c>
      <c r="B136" s="70" t="s">
        <v>13</v>
      </c>
      <c r="C136" s="60" t="s">
        <v>55</v>
      </c>
      <c r="D136" s="64" t="s">
        <v>34</v>
      </c>
      <c r="E13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13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136" s="60">
        <v>5</v>
      </c>
      <c r="H136" s="60" t="str">
        <f>_xlfn.CONCAT(Libromaestro[[#This Row],[SIGLAS]],"-",Libromaestro[[#This Row],[T. DOC]],"-",Libromaestro[[#This Row],[CONSECUTIVO]])</f>
        <v>D-PR-5</v>
      </c>
      <c r="I136" s="70" t="s">
        <v>570</v>
      </c>
      <c r="J136" s="60">
        <v>1</v>
      </c>
      <c r="K136" s="64" t="str">
        <f>_xlfn.XLOOKUP(Libromaestro[[#This Row],[CODIGO DEL DOCUMENTO]],Arreglo_Binaps[Codigo Documento],Arreglo_Binaps[Estado],"No creado",0)</f>
        <v>Aprobado</v>
      </c>
      <c r="L136" s="66" t="str">
        <f>_xlfn.XLOOKUP(Libromaestro[[#This Row],[CODIGO DEL DOCUMENTO]],Arreglo_Binaps[Codigo Documento],Arreglo_Binaps[Fecha de creación],"",0,1)</f>
        <v>2024-04-08</v>
      </c>
      <c r="M136" s="66"/>
      <c r="N13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46485</v>
      </c>
      <c r="O13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46485</v>
      </c>
      <c r="P136" s="67">
        <f>_xlfn.LET(_xlpm.resultado,_xlfn.XLOOKUP(Libromaestro[[#This Row],[CODIGO DEL DOCUMENTO]],Arreglo_Binaps[Codigo Documento],Arreglo_Binaps[Fecha_Aprobacion],"",0,1),IF(_xlpm.resultado=0,"",_xlpm.resultado))</f>
        <v>45463</v>
      </c>
      <c r="Q136" s="172"/>
      <c r="R136" s="68"/>
      <c r="S136" s="69" t="s">
        <v>28</v>
      </c>
      <c r="T136" s="70"/>
    </row>
    <row r="137" spans="1:20" ht="33.75" customHeight="1" x14ac:dyDescent="0.3">
      <c r="A137" s="60" t="str">
        <f>IFERROR(VLOOKUP(Libromaestro[[#This Row],[MACROPROCESO]],Tabla1[],2,FALSE),"")</f>
        <v>Alumbrado Público</v>
      </c>
      <c r="B137" s="70" t="s">
        <v>7</v>
      </c>
      <c r="C137" s="64" t="s">
        <v>56</v>
      </c>
      <c r="D137" s="64" t="s">
        <v>10</v>
      </c>
      <c r="E13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3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CA</v>
      </c>
      <c r="G137" s="60">
        <v>4</v>
      </c>
      <c r="H137" s="60" t="str">
        <f>_xlfn.CONCAT(Libromaestro[[#This Row],[SIGLAS]],"-",Libromaestro[[#This Row],[T. DOC]],"-",Libromaestro[[#This Row],[CONSECUTIVO]])</f>
        <v>A-CA-4</v>
      </c>
      <c r="I137" s="150" t="s">
        <v>645</v>
      </c>
      <c r="J137" s="64">
        <v>1</v>
      </c>
      <c r="K137" s="64" t="str">
        <f>_xlfn.XLOOKUP(Libromaestro[[#This Row],[CODIGO DEL DOCUMENTO]],Arreglo_Binaps[Codigo Documento],Arreglo_Binaps[Estado],"No creado",0)</f>
        <v>Aprobado</v>
      </c>
      <c r="L137" s="66" t="str">
        <f>_xlfn.XLOOKUP(Libromaestro[[#This Row],[CODIGO DEL DOCUMENTO]],Arreglo_Binaps[Codigo Documento],Arreglo_Binaps[Fecha de creación],"",0,1)</f>
        <v>2024-04-22</v>
      </c>
      <c r="M137" s="66"/>
      <c r="N13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46499</v>
      </c>
      <c r="O137"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46499</v>
      </c>
      <c r="P137" s="74">
        <f>_xlfn.LET(_xlpm.resultado,_xlfn.XLOOKUP(Libromaestro[[#This Row],[CODIGO DEL DOCUMENTO]],Arreglo_Binaps[Codigo Documento],Arreglo_Binaps[Fecha_Aprobacion],"",0,1),IF(_xlpm.resultado=0,"",_xlpm.resultado))</f>
        <v>45509</v>
      </c>
      <c r="Q137" s="173"/>
      <c r="R137" s="75"/>
      <c r="S137" s="76" t="s">
        <v>28</v>
      </c>
      <c r="T137" s="73"/>
    </row>
    <row r="138" spans="1:20" ht="33.75" customHeight="1" x14ac:dyDescent="0.3">
      <c r="A138" s="60" t="str">
        <f>IFERROR(VLOOKUP(Libromaestro[[#This Row],[MACROPROCESO]],Tabla1[],2,FALSE),"")</f>
        <v>Alumbrado Público</v>
      </c>
      <c r="B138" s="70" t="s">
        <v>7</v>
      </c>
      <c r="C138" s="64" t="s">
        <v>15</v>
      </c>
      <c r="D138" s="64" t="s">
        <v>16</v>
      </c>
      <c r="E13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3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38" s="60">
        <v>4</v>
      </c>
      <c r="H138" s="60" t="str">
        <f>_xlfn.CONCAT(Libromaestro[[#This Row],[SIGLAS]],"-",Libromaestro[[#This Row],[T. DOC]],"-",Libromaestro[[#This Row],[CONSECUTIVO]])</f>
        <v>A-FT-4</v>
      </c>
      <c r="I138" s="73" t="s">
        <v>213</v>
      </c>
      <c r="J138" s="64">
        <v>1</v>
      </c>
      <c r="K138" s="64" t="str">
        <f>_xlfn.XLOOKUP(Libromaestro[[#This Row],[CODIGO DEL DOCUMENTO]],Arreglo_Binaps[Codigo Documento],Arreglo_Binaps[Estado],"No creado",0)</f>
        <v>Aprobado</v>
      </c>
      <c r="L138" s="66" t="str">
        <f>_xlfn.XLOOKUP(Libromaestro[[#This Row],[CODIGO DEL DOCUMENTO]],Arreglo_Binaps[Codigo Documento],Arreglo_Binaps[Fecha de creación],"",0,1)</f>
        <v>2024-01-10</v>
      </c>
      <c r="M138" s="66"/>
      <c r="N13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46397</v>
      </c>
      <c r="O138"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46397</v>
      </c>
      <c r="P138" s="74">
        <f>_xlfn.LET(_xlpm.resultado,_xlfn.XLOOKUP(Libromaestro[[#This Row],[CODIGO DEL DOCUMENTO]],Arreglo_Binaps[Codigo Documento],Arreglo_Binaps[Fecha_Aprobacion],"",0,1),IF(_xlpm.resultado=0,"",_xlpm.resultado))</f>
        <v>45414</v>
      </c>
      <c r="Q138" s="173"/>
      <c r="R138" s="75"/>
      <c r="S138" s="76" t="s">
        <v>28</v>
      </c>
      <c r="T138" s="73" t="s">
        <v>90</v>
      </c>
    </row>
    <row r="139" spans="1:20" ht="33.75" customHeight="1" x14ac:dyDescent="0.3">
      <c r="A139" s="60" t="str">
        <f>IFERROR(VLOOKUP(Libromaestro[[#This Row],[MACROPROCESO]],Tabla1[],2,FALSE),"")</f>
        <v>Alumbrado Público</v>
      </c>
      <c r="B139" s="70" t="s">
        <v>7</v>
      </c>
      <c r="C139" s="64" t="s">
        <v>52</v>
      </c>
      <c r="D139" s="64" t="s">
        <v>22</v>
      </c>
      <c r="E13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3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139" s="60">
        <v>4</v>
      </c>
      <c r="H139" s="60" t="str">
        <f>_xlfn.CONCAT(Libromaestro[[#This Row],[SIGLAS]],"-",Libromaestro[[#This Row],[T. DOC]],"-",Libromaestro[[#This Row],[CONSECUTIVO]])</f>
        <v>A-GU-4</v>
      </c>
      <c r="I139" s="73" t="s">
        <v>214</v>
      </c>
      <c r="J139" s="64">
        <v>1</v>
      </c>
      <c r="K139" s="64" t="str">
        <f>_xlfn.XLOOKUP(Libromaestro[[#This Row],[CODIGO DEL DOCUMENTO]],Arreglo_Binaps[Codigo Documento],Arreglo_Binaps[Estado],"No creado",0)</f>
        <v>Aprobado</v>
      </c>
      <c r="L139" s="66" t="str">
        <f>_xlfn.XLOOKUP(Libromaestro[[#This Row],[CODIGO DEL DOCUMENTO]],Arreglo_Binaps[Codigo Documento],Arreglo_Binaps[Fecha de creación],"",0,1)</f>
        <v>2024-09-06</v>
      </c>
      <c r="M139" s="66"/>
      <c r="N13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46636</v>
      </c>
      <c r="O139"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46636</v>
      </c>
      <c r="P139" s="74">
        <f>_xlfn.LET(_xlpm.resultado,_xlfn.XLOOKUP(Libromaestro[[#This Row],[CODIGO DEL DOCUMENTO]],Arreglo_Binaps[Codigo Documento],Arreglo_Binaps[Fecha_Aprobacion],"",0,1),IF(_xlpm.resultado=0,"",_xlpm.resultado))</f>
        <v>45589</v>
      </c>
      <c r="Q139" s="173"/>
      <c r="R139" s="75"/>
      <c r="S139" s="76"/>
      <c r="T139" s="73"/>
    </row>
    <row r="140" spans="1:20" ht="33.75" customHeight="1" x14ac:dyDescent="0.3">
      <c r="A140" s="60" t="str">
        <f>IFERROR(VLOOKUP(Libromaestro[[#This Row],[MACROPROCESO]],Tabla1[],2,FALSE),"")</f>
        <v>Alumbrado Público</v>
      </c>
      <c r="B140" s="70" t="s">
        <v>7</v>
      </c>
      <c r="C140" s="64" t="s">
        <v>52</v>
      </c>
      <c r="D140" s="64" t="s">
        <v>27</v>
      </c>
      <c r="E14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4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40" s="60">
        <v>4</v>
      </c>
      <c r="H140" s="60" t="str">
        <f>_xlfn.CONCAT(Libromaestro[[#This Row],[SIGLAS]],"-",Libromaestro[[#This Row],[T. DOC]],"-",Libromaestro[[#This Row],[CONSECUTIVO]])</f>
        <v>A-IN-4</v>
      </c>
      <c r="I140" s="73" t="s">
        <v>215</v>
      </c>
      <c r="J140" s="64">
        <v>1</v>
      </c>
      <c r="K140" s="64" t="str">
        <f>_xlfn.XLOOKUP(Libromaestro[[#This Row],[CODIGO DEL DOCUMENTO]],Arreglo_Binaps[Codigo Documento],Arreglo_Binaps[Estado],"No creado",0)</f>
        <v>Aprobado</v>
      </c>
      <c r="L140" s="66" t="str">
        <f>_xlfn.XLOOKUP(Libromaestro[[#This Row],[CODIGO DEL DOCUMENTO]],Arreglo_Binaps[Codigo Documento],Arreglo_Binaps[Fecha de creación],"",0,1)</f>
        <v>2024-10-02</v>
      </c>
      <c r="M140" s="66"/>
      <c r="N14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46662</v>
      </c>
      <c r="O140"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46662</v>
      </c>
      <c r="P140" s="74">
        <f>_xlfn.LET(_xlpm.resultado,_xlfn.XLOOKUP(Libromaestro[[#This Row],[CODIGO DEL DOCUMENTO]],Arreglo_Binaps[Codigo Documento],Arreglo_Binaps[Fecha_Aprobacion],"",0,1),IF(_xlpm.resultado=0,"",_xlpm.resultado))</f>
        <v>45589</v>
      </c>
      <c r="Q140" s="173"/>
      <c r="R140" s="75"/>
      <c r="S140" s="76"/>
      <c r="T140" s="73"/>
    </row>
    <row r="141" spans="1:20" ht="33.75" customHeight="1" x14ac:dyDescent="0.3">
      <c r="A141" s="60" t="str">
        <f>IFERROR(VLOOKUP(Libromaestro[[#This Row],[MACROPROCESO]],Tabla1[],2,FALSE),"")</f>
        <v>Alumbrado Público</v>
      </c>
      <c r="B141" s="70" t="s">
        <v>7</v>
      </c>
      <c r="C141" s="64" t="s">
        <v>15</v>
      </c>
      <c r="D141" s="64" t="s">
        <v>31</v>
      </c>
      <c r="E14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4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141" s="64">
        <v>4</v>
      </c>
      <c r="H141" s="60" t="str">
        <f>_xlfn.CONCAT(Libromaestro[[#This Row],[SIGLAS]],"-",Libromaestro[[#This Row],[T. DOC]],"-",Libromaestro[[#This Row],[CONSECUTIVO]])</f>
        <v>A-MA-4</v>
      </c>
      <c r="I141" s="73" t="s">
        <v>216</v>
      </c>
      <c r="J141" s="64">
        <v>1</v>
      </c>
      <c r="K141" s="64" t="str">
        <f>_xlfn.XLOOKUP(Libromaestro[[#This Row],[CODIGO DEL DOCUMENTO]],Arreglo_Binaps[Codigo Documento],Arreglo_Binaps[Estado],"No creado",0)</f>
        <v>Aprobado</v>
      </c>
      <c r="L141" s="66" t="str">
        <f>_xlfn.XLOOKUP(Libromaestro[[#This Row],[CODIGO DEL DOCUMENTO]],Arreglo_Binaps[Codigo Documento],Arreglo_Binaps[Fecha de creación],"",0,1)</f>
        <v>2024-01-31</v>
      </c>
      <c r="M141" s="66"/>
      <c r="N14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46418</v>
      </c>
      <c r="O141"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46418</v>
      </c>
      <c r="P141" s="74">
        <f>_xlfn.LET(_xlpm.resultado,_xlfn.XLOOKUP(Libromaestro[[#This Row],[CODIGO DEL DOCUMENTO]],Arreglo_Binaps[Codigo Documento],Arreglo_Binaps[Fecha_Aprobacion],"",0,1),IF(_xlpm.resultado=0,"",_xlpm.resultado))</f>
        <v>45390</v>
      </c>
      <c r="Q141" s="173"/>
      <c r="R141" s="75"/>
      <c r="S141" s="76" t="s">
        <v>28</v>
      </c>
      <c r="T141" s="73"/>
    </row>
    <row r="142" spans="1:20" ht="33.75" customHeight="1" x14ac:dyDescent="0.3">
      <c r="A142" s="60" t="str">
        <f>IFERROR(VLOOKUP(Libromaestro[[#This Row],[MACROPROCESO]],Tabla1[],2,FALSE),"")</f>
        <v>Alumbrado Público</v>
      </c>
      <c r="B142" s="70" t="s">
        <v>7</v>
      </c>
      <c r="C142" s="64" t="s">
        <v>61</v>
      </c>
      <c r="D142" s="64" t="s">
        <v>27</v>
      </c>
      <c r="E14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4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42" s="64">
        <v>8</v>
      </c>
      <c r="H142" s="60" t="str">
        <f>_xlfn.CONCAT(Libromaestro[[#This Row],[SIGLAS]],"-",Libromaestro[[#This Row],[T. DOC]],"-",Libromaestro[[#This Row],[CONSECUTIVO]])</f>
        <v>A-IN-8</v>
      </c>
      <c r="I142" s="73" t="s">
        <v>217</v>
      </c>
      <c r="J142" s="64">
        <v>1</v>
      </c>
      <c r="K142" s="64" t="str">
        <f>_xlfn.XLOOKUP(Libromaestro[[#This Row],[CODIGO DEL DOCUMENTO]],Arreglo_Binaps[Codigo Documento],Arreglo_Binaps[Estado],"No creado",0)</f>
        <v>Aprobado</v>
      </c>
      <c r="L142" s="66" t="str">
        <f>_xlfn.XLOOKUP(Libromaestro[[#This Row],[CODIGO DEL DOCUMENTO]],Arreglo_Binaps[Codigo Documento],Arreglo_Binaps[Fecha de creación],"",0,1)</f>
        <v>2024-06-24</v>
      </c>
      <c r="M142" s="66">
        <v>45812</v>
      </c>
      <c r="N14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46908</v>
      </c>
      <c r="O142"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46908</v>
      </c>
      <c r="P142" s="74">
        <f>_xlfn.LET(_xlpm.resultado,_xlfn.XLOOKUP(Libromaestro[[#This Row],[CODIGO DEL DOCUMENTO]],Arreglo_Binaps[Codigo Documento],Arreglo_Binaps[Fecha_Aprobacion],"",0,1),IF(_xlpm.resultado=0,"",_xlpm.resultado))</f>
        <v>46140</v>
      </c>
      <c r="Q142" s="173"/>
      <c r="R142" s="75"/>
      <c r="S142" s="76" t="s">
        <v>28</v>
      </c>
      <c r="T142" s="73"/>
    </row>
    <row r="143" spans="1:20" ht="33.75" customHeight="1" x14ac:dyDescent="0.3">
      <c r="A143" s="60" t="str">
        <f>IFERROR(VLOOKUP(Libromaestro[[#This Row],[MACROPROCESO]],Tabla1[],2,FALSE),"")</f>
        <v>Corportativa</v>
      </c>
      <c r="B143" s="70" t="s">
        <v>49</v>
      </c>
      <c r="C143" s="64" t="s">
        <v>2254</v>
      </c>
      <c r="D143" s="64" t="s">
        <v>22</v>
      </c>
      <c r="E14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14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143" s="60">
        <v>4</v>
      </c>
      <c r="H143" s="60" t="str">
        <f>_xlfn.CONCAT(Libromaestro[[#This Row],[SIGLAS]],"-",Libromaestro[[#This Row],[T. DOC]],"-",Libromaestro[[#This Row],[CONSECUTIVO]])</f>
        <v>T-GU-4</v>
      </c>
      <c r="I143" s="70" t="s">
        <v>218</v>
      </c>
      <c r="J143" s="60">
        <v>1</v>
      </c>
      <c r="K143" s="64" t="str">
        <f>_xlfn.XLOOKUP(Libromaestro[[#This Row],[CODIGO DEL DOCUMENTO]],Arreglo_Binaps[Codigo Documento],Arreglo_Binaps[Estado],"No creado",0)</f>
        <v>Aprobado</v>
      </c>
      <c r="L143" s="66" t="str">
        <f>_xlfn.XLOOKUP(Libromaestro[[#This Row],[CODIGO DEL DOCUMENTO]],Arreglo_Binaps[Codigo Documento],Arreglo_Binaps[Fecha de creación],"",0,1)</f>
        <v>2025-06-26</v>
      </c>
      <c r="M143" s="66"/>
      <c r="N14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46930</v>
      </c>
      <c r="O14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46930</v>
      </c>
      <c r="P143" s="67">
        <f>_xlfn.LET(_xlpm.resultado,_xlfn.XLOOKUP(Libromaestro[[#This Row],[CODIGO DEL DOCUMENTO]],Arreglo_Binaps[Codigo Documento],Arreglo_Binaps[Fecha_Aprobacion],"",0,1),IF(_xlpm.resultado=0,"",_xlpm.resultado))</f>
        <v>46090</v>
      </c>
      <c r="Q143" s="172"/>
      <c r="R143" s="68"/>
      <c r="S143" s="69"/>
      <c r="T143" s="70"/>
    </row>
    <row r="144" spans="1:20" ht="33.75" customHeight="1" x14ac:dyDescent="0.3">
      <c r="A144" s="60" t="str">
        <f>IFERROR(VLOOKUP(Libromaestro[[#This Row],[MACROPROCESO]],Tabla1[],2,FALSE),"")</f>
        <v>Corportativa</v>
      </c>
      <c r="B144" s="70" t="s">
        <v>49</v>
      </c>
      <c r="C144" s="64" t="s">
        <v>2254</v>
      </c>
      <c r="D144" s="64" t="s">
        <v>27</v>
      </c>
      <c r="E14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14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44" s="60">
        <v>4</v>
      </c>
      <c r="H144" s="60" t="str">
        <f>_xlfn.CONCAT(Libromaestro[[#This Row],[SIGLAS]],"-",Libromaestro[[#This Row],[T. DOC]],"-",Libromaestro[[#This Row],[CONSECUTIVO]])</f>
        <v>T-IN-4</v>
      </c>
      <c r="I144" s="70" t="s">
        <v>219</v>
      </c>
      <c r="J144" s="60">
        <v>1</v>
      </c>
      <c r="K144" s="64" t="str">
        <f>_xlfn.XLOOKUP(Libromaestro[[#This Row],[CODIGO DEL DOCUMENTO]],Arreglo_Binaps[Codigo Documento],Arreglo_Binaps[Estado],"No creado",0)</f>
        <v>En aprobacion</v>
      </c>
      <c r="L144" s="66" t="str">
        <f>_xlfn.XLOOKUP(Libromaestro[[#This Row],[CODIGO DEL DOCUMENTO]],Arreglo_Binaps[Codigo Documento],Arreglo_Binaps[Fecha de creación],"",0,1)</f>
        <v>2024-12-04</v>
      </c>
      <c r="M144" s="66"/>
      <c r="N14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46725</v>
      </c>
      <c r="O14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46725</v>
      </c>
      <c r="P144" s="67" t="str">
        <f>_xlfn.LET(_xlpm.resultado,_xlfn.XLOOKUP(Libromaestro[[#This Row],[CODIGO DEL DOCUMENTO]],Arreglo_Binaps[Codigo Documento],Arreglo_Binaps[Fecha_Aprobacion],"",0,1),IF(_xlpm.resultado=0,"",_xlpm.resultado))</f>
        <v/>
      </c>
      <c r="Q144" s="172"/>
      <c r="R144" s="68"/>
      <c r="S144" s="69"/>
      <c r="T144" s="70"/>
    </row>
    <row r="145" spans="1:20" ht="33.75" customHeight="1" x14ac:dyDescent="0.3">
      <c r="A145" s="60" t="str">
        <f>IFERROR(VLOOKUP(Libromaestro[[#This Row],[MACROPROCESO]],Tabla1[],2,FALSE),"")</f>
        <v>Corportativa</v>
      </c>
      <c r="B145" s="38" t="s">
        <v>49</v>
      </c>
      <c r="C145" s="64" t="s">
        <v>2254</v>
      </c>
      <c r="D145" s="41" t="s">
        <v>27</v>
      </c>
      <c r="E14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14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45" s="64">
        <v>13</v>
      </c>
      <c r="H145" s="60" t="str">
        <f>_xlfn.CONCAT(Libromaestro[[#This Row],[SIGLAS]],"-",Libromaestro[[#This Row],[T. DOC]],"-",Libromaestro[[#This Row],[CONSECUTIVO]])</f>
        <v>T-IN-13</v>
      </c>
      <c r="I145" s="46" t="s">
        <v>220</v>
      </c>
      <c r="J145" s="64"/>
      <c r="K145" s="64" t="str">
        <f>_xlfn.XLOOKUP(Libromaestro[[#This Row],[CODIGO DEL DOCUMENTO]],Arreglo_Binaps[Codigo Documento],Arreglo_Binaps[Estado],"No creado",0)</f>
        <v>No creado</v>
      </c>
      <c r="L145" s="66" t="str">
        <f>_xlfn.XLOOKUP(Libromaestro[[#This Row],[CODIGO DEL DOCUMENTO]],Arreglo_Binaps[Codigo Documento],Arreglo_Binaps[Fecha de creación],"",0,1)</f>
        <v/>
      </c>
      <c r="M145" s="66"/>
      <c r="N145" s="65"/>
      <c r="O145"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45" s="74" t="str">
        <f>_xlfn.LET(_xlpm.resultado,_xlfn.XLOOKUP(Libromaestro[[#This Row],[CODIGO DEL DOCUMENTO]],Arreglo_Binaps[Codigo Documento],Arreglo_Binaps[Fecha_Aprobacion],"",0,1),IF(_xlpm.resultado=0,"",_xlpm.resultado))</f>
        <v/>
      </c>
      <c r="Q145" s="173"/>
      <c r="R145" s="75"/>
      <c r="S145" s="76"/>
      <c r="T145" s="80"/>
    </row>
    <row r="146" spans="1:20" ht="33.75" customHeight="1" x14ac:dyDescent="0.3">
      <c r="A146" s="60" t="str">
        <f>IFERROR(VLOOKUP(Libromaestro[[#This Row],[MACROPROCESO]],Tabla1[],2,FALSE),"")</f>
        <v>Electroingeniería</v>
      </c>
      <c r="B146" s="70" t="s">
        <v>29</v>
      </c>
      <c r="C146" s="64" t="s">
        <v>2255</v>
      </c>
      <c r="D146" s="60" t="s">
        <v>16</v>
      </c>
      <c r="E146"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146"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46" s="60">
        <v>4</v>
      </c>
      <c r="H146" s="60" t="str">
        <f>_xlfn.CONCAT(Libromaestro[[#This Row],[SIGLAS]],"-",Libromaestro[[#This Row],[T. DOC]],"-",Libromaestro[[#This Row],[CONSECUTIVO]])</f>
        <v>L-FT-4</v>
      </c>
      <c r="I146" s="70" t="s">
        <v>221</v>
      </c>
      <c r="J146" s="60">
        <v>1</v>
      </c>
      <c r="K146" s="64" t="str">
        <f>_xlfn.XLOOKUP(Libromaestro[[#This Row],[CODIGO DEL DOCUMENTO]],Arreglo_Binaps[Codigo Documento],Arreglo_Binaps[Estado],"No creado",0)</f>
        <v>Aprobado</v>
      </c>
      <c r="L146" s="66" t="str">
        <f>_xlfn.XLOOKUP(Libromaestro[[#This Row],[CODIGO DEL DOCUMENTO]],Arreglo_Binaps[Codigo Documento],Arreglo_Binaps[Fecha de creación],"",0,1)</f>
        <v>2023-12-20</v>
      </c>
      <c r="M146" s="66"/>
      <c r="N14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46376</v>
      </c>
      <c r="O14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46376</v>
      </c>
      <c r="P146" s="67">
        <f>_xlfn.LET(_xlpm.resultado,_xlfn.XLOOKUP(Libromaestro[[#This Row],[CODIGO DEL DOCUMENTO]],Arreglo_Binaps[Codigo Documento],Arreglo_Binaps[Fecha_Aprobacion],"",0,1),IF(_xlpm.resultado=0,"",_xlpm.resultado))</f>
        <v>45518</v>
      </c>
      <c r="Q146" s="172"/>
      <c r="R146" s="68"/>
      <c r="S146" s="69" t="s">
        <v>11</v>
      </c>
      <c r="T146" s="70"/>
    </row>
    <row r="147" spans="1:20" ht="33.75" customHeight="1" x14ac:dyDescent="0.3">
      <c r="A147" s="60" t="str">
        <f>IFERROR(VLOOKUP(Libromaestro[[#This Row],[MACROPROCESO]],Tabla1[],2,FALSE),"")</f>
        <v>Electroingeniería</v>
      </c>
      <c r="B147" s="70" t="s">
        <v>29</v>
      </c>
      <c r="C147" s="64" t="s">
        <v>2255</v>
      </c>
      <c r="D147" s="64" t="s">
        <v>22</v>
      </c>
      <c r="E14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14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147" s="64">
        <v>4</v>
      </c>
      <c r="H147" s="60" t="str">
        <f>_xlfn.CONCAT(Libromaestro[[#This Row],[SIGLAS]],"-",Libromaestro[[#This Row],[T. DOC]],"-",Libromaestro[[#This Row],[CONSECUTIVO]])</f>
        <v>L-GU-4</v>
      </c>
      <c r="I147" s="73" t="s">
        <v>222</v>
      </c>
      <c r="J147" s="64">
        <v>1</v>
      </c>
      <c r="K147" s="64" t="str">
        <f>_xlfn.XLOOKUP(Libromaestro[[#This Row],[CODIGO DEL DOCUMENTO]],Arreglo_Binaps[Codigo Documento],Arreglo_Binaps[Estado],"No creado",0)</f>
        <v>Aprobado</v>
      </c>
      <c r="L147" s="66" t="str">
        <f>_xlfn.XLOOKUP(Libromaestro[[#This Row],[CODIGO DEL DOCUMENTO]],Arreglo_Binaps[Codigo Documento],Arreglo_Binaps[Fecha de creación],"",0,1)</f>
        <v>2024-06-17</v>
      </c>
      <c r="M147" s="66">
        <v>45754</v>
      </c>
      <c r="N14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46850</v>
      </c>
      <c r="O147"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46850</v>
      </c>
      <c r="P147" s="74">
        <f>_xlfn.LET(_xlpm.resultado,_xlfn.XLOOKUP(Libromaestro[[#This Row],[CODIGO DEL DOCUMENTO]],Arreglo_Binaps[Codigo Documento],Arreglo_Binaps[Fecha_Aprobacion],"",0,1),IF(_xlpm.resultado=0,"",_xlpm.resultado))</f>
        <v>45754</v>
      </c>
      <c r="Q147" s="173"/>
      <c r="R147" s="75"/>
      <c r="S147" s="76" t="s">
        <v>28</v>
      </c>
      <c r="T147" s="70"/>
    </row>
    <row r="148" spans="1:20" ht="33.75" customHeight="1" x14ac:dyDescent="0.3">
      <c r="A148" s="60" t="str">
        <f>IFERROR(VLOOKUP(Libromaestro[[#This Row],[MACROPROCESO]],Tabla1[],2,FALSE),"")</f>
        <v>Electroingeniería</v>
      </c>
      <c r="B148" s="70" t="s">
        <v>29</v>
      </c>
      <c r="C148" s="64" t="s">
        <v>2255</v>
      </c>
      <c r="D148" s="64" t="s">
        <v>16</v>
      </c>
      <c r="E14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14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48" s="60">
        <v>17</v>
      </c>
      <c r="H148" s="60" t="str">
        <f>_xlfn.CONCAT(Libromaestro[[#This Row],[SIGLAS]],"-",Libromaestro[[#This Row],[T. DOC]],"-",Libromaestro[[#This Row],[CONSECUTIVO]])</f>
        <v>L-FT-17</v>
      </c>
      <c r="I148" s="70" t="s">
        <v>223</v>
      </c>
      <c r="J148" s="60">
        <v>1</v>
      </c>
      <c r="K148" s="64" t="str">
        <f>_xlfn.XLOOKUP(Libromaestro[[#This Row],[CODIGO DEL DOCUMENTO]],Arreglo_Binaps[Codigo Documento],Arreglo_Binaps[Estado],"No creado",0)</f>
        <v>No creado</v>
      </c>
      <c r="L148" s="66" t="str">
        <f>_xlfn.XLOOKUP(Libromaestro[[#This Row],[CODIGO DEL DOCUMENTO]],Arreglo_Binaps[Codigo Documento],Arreglo_Binaps[Fecha de creación],"",0,1)</f>
        <v/>
      </c>
      <c r="M148" s="66"/>
      <c r="N148"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48"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48" s="67" t="str">
        <f>_xlfn.LET(_xlpm.resultado,_xlfn.XLOOKUP(Libromaestro[[#This Row],[CODIGO DEL DOCUMENTO]],Arreglo_Binaps[Codigo Documento],Arreglo_Binaps[Fecha_Aprobacion],"",0,1),IF(_xlpm.resultado=0,"",_xlpm.resultado))</f>
        <v/>
      </c>
      <c r="Q148" s="172"/>
      <c r="R148" s="68"/>
      <c r="S148" s="69"/>
      <c r="T148" s="70"/>
    </row>
    <row r="149" spans="1:20" ht="33.75" customHeight="1" x14ac:dyDescent="0.3">
      <c r="A149" s="60" t="str">
        <f>IFERROR(VLOOKUP(Libromaestro[[#This Row],[MACROPROCESO]],Tabla1[],2,FALSE),"")</f>
        <v>Corportativa</v>
      </c>
      <c r="B149" s="70" t="s">
        <v>24</v>
      </c>
      <c r="C149" s="64" t="s">
        <v>2252</v>
      </c>
      <c r="D149" s="64" t="s">
        <v>16</v>
      </c>
      <c r="E14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14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49" s="64">
        <v>4</v>
      </c>
      <c r="H149" s="60" t="str">
        <f>_xlfn.CONCAT(Libromaestro[[#This Row],[SIGLAS]],"-",Libromaestro[[#This Row],[T. DOC]],"-",Libromaestro[[#This Row],[CONSECUTIVO]])</f>
        <v>F-FT-4</v>
      </c>
      <c r="I149" s="73" t="s">
        <v>224</v>
      </c>
      <c r="J149" s="64">
        <v>1</v>
      </c>
      <c r="K149" s="64" t="str">
        <f>_xlfn.XLOOKUP(Libromaestro[[#This Row],[CODIGO DEL DOCUMENTO]],Arreglo_Binaps[Codigo Documento],Arreglo_Binaps[Estado],"No creado",0)</f>
        <v>No creado</v>
      </c>
      <c r="L149" s="66" t="str">
        <f>_xlfn.XLOOKUP(Libromaestro[[#This Row],[CODIGO DEL DOCUMENTO]],Arreglo_Binaps[Codigo Documento],Arreglo_Binaps[Fecha de creación],"",0,1)</f>
        <v/>
      </c>
      <c r="M149" s="66"/>
      <c r="N149"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49"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49" s="74" t="str">
        <f>_xlfn.LET(_xlpm.resultado,_xlfn.XLOOKUP(Libromaestro[[#This Row],[CODIGO DEL DOCUMENTO]],Arreglo_Binaps[Codigo Documento],Arreglo_Binaps[Fecha_Aprobacion],"",0,1),IF(_xlpm.resultado=0,"",_xlpm.resultado))</f>
        <v/>
      </c>
      <c r="Q149" s="173"/>
      <c r="R149" s="75"/>
      <c r="S149" s="76"/>
      <c r="T149" s="73"/>
    </row>
    <row r="150" spans="1:20" ht="33.75" customHeight="1" x14ac:dyDescent="0.3">
      <c r="A150" s="60" t="str">
        <f>IFERROR(VLOOKUP(Libromaestro[[#This Row],[MACROPROCESO]],Tabla1[],2,FALSE),"")</f>
        <v>Corportativa</v>
      </c>
      <c r="B150" s="70" t="s">
        <v>24</v>
      </c>
      <c r="C150" s="64" t="s">
        <v>2252</v>
      </c>
      <c r="D150" s="64" t="s">
        <v>34</v>
      </c>
      <c r="E15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15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150" s="64">
        <v>4</v>
      </c>
      <c r="H150" s="60" t="str">
        <f>_xlfn.CONCAT(Libromaestro[[#This Row],[SIGLAS]],"-",Libromaestro[[#This Row],[T. DOC]],"-",Libromaestro[[#This Row],[CONSECUTIVO]])</f>
        <v>F-PR-4</v>
      </c>
      <c r="I150" s="98" t="s">
        <v>225</v>
      </c>
      <c r="J150" s="64">
        <v>1</v>
      </c>
      <c r="K150" s="64" t="str">
        <f>_xlfn.XLOOKUP(Libromaestro[[#This Row],[CODIGO DEL DOCUMENTO]],Arreglo_Binaps[Codigo Documento],Arreglo_Binaps[Estado],"No creado",0)</f>
        <v>No creado</v>
      </c>
      <c r="L150" s="66" t="str">
        <f>_xlfn.XLOOKUP(Libromaestro[[#This Row],[CODIGO DEL DOCUMENTO]],Arreglo_Binaps[Codigo Documento],Arreglo_Binaps[Fecha de creación],"",0,1)</f>
        <v/>
      </c>
      <c r="M150" s="66"/>
      <c r="N150"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50"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50" s="74" t="str">
        <f>_xlfn.LET(_xlpm.resultado,_xlfn.XLOOKUP(Libromaestro[[#This Row],[CODIGO DEL DOCUMENTO]],Arreglo_Binaps[Codigo Documento],Arreglo_Binaps[Fecha_Aprobacion],"",0,1),IF(_xlpm.resultado=0,"",_xlpm.resultado))</f>
        <v/>
      </c>
      <c r="Q150" s="173"/>
      <c r="R150" s="75"/>
      <c r="S150" s="76"/>
      <c r="T150" s="73"/>
    </row>
    <row r="151" spans="1:20" ht="33.75" customHeight="1" x14ac:dyDescent="0.3">
      <c r="A151" s="60" t="str">
        <f>IFERROR(VLOOKUP(Libromaestro[[#This Row],[MACROPROCESO]],Tabla1[],2,FALSE),"")</f>
        <v>Corportativa</v>
      </c>
      <c r="B151" s="70" t="s">
        <v>32</v>
      </c>
      <c r="C151" s="64" t="s">
        <v>51</v>
      </c>
      <c r="D151" s="64" t="s">
        <v>16</v>
      </c>
      <c r="E15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15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51" s="64">
        <v>4</v>
      </c>
      <c r="H151" s="60" t="str">
        <f>_xlfn.CONCAT(Libromaestro[[#This Row],[SIGLAS]],"-",Libromaestro[[#This Row],[T. DOC]],"-",Libromaestro[[#This Row],[CONSECUTIVO]])</f>
        <v>H-FT-4</v>
      </c>
      <c r="I151" s="73" t="s">
        <v>226</v>
      </c>
      <c r="J151" s="64">
        <v>2</v>
      </c>
      <c r="K151" s="64" t="str">
        <f>_xlfn.XLOOKUP(Libromaestro[[#This Row],[CODIGO DEL DOCUMENTO]],Arreglo_Binaps[Codigo Documento],Arreglo_Binaps[Estado],"No creado",0)</f>
        <v>Aprobado</v>
      </c>
      <c r="L151" s="66" t="str">
        <f>_xlfn.XLOOKUP(Libromaestro[[#This Row],[CODIGO DEL DOCUMENTO]],Arreglo_Binaps[Codigo Documento],Arreglo_Binaps[Fecha de creación],"",0,1)</f>
        <v>2023-03-08</v>
      </c>
      <c r="M151" s="66">
        <v>44993</v>
      </c>
      <c r="N15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46089</v>
      </c>
      <c r="O151"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46089</v>
      </c>
      <c r="P151" s="74">
        <f>_xlfn.LET(_xlpm.resultado,_xlfn.XLOOKUP(Libromaestro[[#This Row],[CODIGO DEL DOCUMENTO]],Arreglo_Binaps[Codigo Documento],Arreglo_Binaps[Fecha_Aprobacion],"",0,1),IF(_xlpm.resultado=0,"",_xlpm.resultado))</f>
        <v>45512</v>
      </c>
      <c r="Q151" s="173"/>
      <c r="R151" s="75"/>
      <c r="S151" s="76" t="s">
        <v>28</v>
      </c>
      <c r="T151" s="73"/>
    </row>
    <row r="152" spans="1:20" ht="33.75" customHeight="1" x14ac:dyDescent="0.3">
      <c r="A152" s="60" t="str">
        <f>IFERROR(VLOOKUP(Libromaestro[[#This Row],[MACROPROCESO]],Tabla1[],2,FALSE),"")</f>
        <v>Corportativa</v>
      </c>
      <c r="B152" s="70" t="s">
        <v>32</v>
      </c>
      <c r="C152" s="64" t="s">
        <v>57</v>
      </c>
      <c r="D152" s="64" t="s">
        <v>27</v>
      </c>
      <c r="E15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15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52" s="64">
        <v>11</v>
      </c>
      <c r="H152" s="60" t="str">
        <f>_xlfn.CONCAT(Libromaestro[[#This Row],[SIGLAS]],"-",Libromaestro[[#This Row],[T. DOC]],"-",Libromaestro[[#This Row],[CONSECUTIVO]])</f>
        <v>H-IN-11</v>
      </c>
      <c r="I152" s="73" t="s">
        <v>227</v>
      </c>
      <c r="J152" s="64">
        <v>1</v>
      </c>
      <c r="K152" s="64" t="str">
        <f>_xlfn.XLOOKUP(Libromaestro[[#This Row],[CODIGO DEL DOCUMENTO]],Arreglo_Binaps[Codigo Documento],Arreglo_Binaps[Estado],"No creado",0)</f>
        <v>No creado</v>
      </c>
      <c r="L152" s="66" t="str">
        <f>_xlfn.XLOOKUP(Libromaestro[[#This Row],[CODIGO DEL DOCUMENTO]],Arreglo_Binaps[Codigo Documento],Arreglo_Binaps[Fecha de creación],"",0,1)</f>
        <v/>
      </c>
      <c r="M152" s="66"/>
      <c r="N152"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52"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52" s="74" t="str">
        <f>_xlfn.LET(_xlpm.resultado,_xlfn.XLOOKUP(Libromaestro[[#This Row],[CODIGO DEL DOCUMENTO]],Arreglo_Binaps[Codigo Documento],Arreglo_Binaps[Fecha_Aprobacion],"",0,1),IF(_xlpm.resultado=0,"",_xlpm.resultado))</f>
        <v/>
      </c>
      <c r="Q152" s="173"/>
      <c r="R152" s="75"/>
      <c r="S152" s="76"/>
      <c r="T152" s="80"/>
    </row>
    <row r="153" spans="1:20" ht="33.75" customHeight="1" x14ac:dyDescent="0.3">
      <c r="A153" s="60" t="str">
        <f>IFERROR(VLOOKUP(Libromaestro[[#This Row],[MACROPROCESO]],Tabla1[],2,FALSE),"")</f>
        <v>Corportativa</v>
      </c>
      <c r="B153" s="61" t="s">
        <v>32</v>
      </c>
      <c r="C153" s="64" t="s">
        <v>51</v>
      </c>
      <c r="D153" s="64" t="s">
        <v>31</v>
      </c>
      <c r="E15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15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153" s="64">
        <v>4</v>
      </c>
      <c r="H153" s="60" t="str">
        <f>_xlfn.CONCAT(Libromaestro[[#This Row],[SIGLAS]],"-",Libromaestro[[#This Row],[T. DOC]],"-",Libromaestro[[#This Row],[CONSECUTIVO]])</f>
        <v>H-MA-4</v>
      </c>
      <c r="I153" s="73" t="s">
        <v>228</v>
      </c>
      <c r="J153" s="64">
        <v>1</v>
      </c>
      <c r="K153" s="64" t="str">
        <f>_xlfn.XLOOKUP(Libromaestro[[#This Row],[CODIGO DEL DOCUMENTO]],Arreglo_Binaps[Codigo Documento],Arreglo_Binaps[Estado],"No creado",0)</f>
        <v>No creado</v>
      </c>
      <c r="L153" s="66" t="str">
        <f>_xlfn.XLOOKUP(Libromaestro[[#This Row],[CODIGO DEL DOCUMENTO]],Arreglo_Binaps[Codigo Documento],Arreglo_Binaps[Fecha de creación],"",0,1)</f>
        <v/>
      </c>
      <c r="M153" s="66"/>
      <c r="N153"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53"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53" s="74" t="str">
        <f>_xlfn.LET(_xlpm.resultado,_xlfn.XLOOKUP(Libromaestro[[#This Row],[CODIGO DEL DOCUMENTO]],Arreglo_Binaps[Codigo Documento],Arreglo_Binaps[Fecha_Aprobacion],"",0,1),IF(_xlpm.resultado=0,"",_xlpm.resultado))</f>
        <v/>
      </c>
      <c r="Q153" s="173"/>
      <c r="R153" s="75"/>
      <c r="S153" s="76" t="s">
        <v>28</v>
      </c>
      <c r="T153" s="73"/>
    </row>
    <row r="154" spans="1:20" ht="33.75" customHeight="1" x14ac:dyDescent="0.3">
      <c r="A154" s="60" t="str">
        <f>IFERROR(VLOOKUP(Libromaestro[[#This Row],[MACROPROCESO]],Tabla1[],2,FALSE),"")</f>
        <v>Corportativa</v>
      </c>
      <c r="B154" s="70" t="s">
        <v>35</v>
      </c>
      <c r="C154" s="64" t="s">
        <v>2253</v>
      </c>
      <c r="D154" s="64" t="s">
        <v>37</v>
      </c>
      <c r="E15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J</v>
      </c>
      <c r="F15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154" s="64">
        <v>1</v>
      </c>
      <c r="H154" s="60" t="str">
        <f>_xlfn.CONCAT(Libromaestro[[#This Row],[SIGLAS]],"-",Libromaestro[[#This Row],[T. DOC]],"-",Libromaestro[[#This Row],[CONSECUTIVO]])</f>
        <v>J-PO-1</v>
      </c>
      <c r="I154" s="73" t="s">
        <v>229</v>
      </c>
      <c r="J154" s="64">
        <v>1</v>
      </c>
      <c r="K154" s="64" t="str">
        <f>_xlfn.XLOOKUP(Libromaestro[[#This Row],[CODIGO DEL DOCUMENTO]],Arreglo_Binaps[Codigo Documento],Arreglo_Binaps[Estado],"No creado",0)</f>
        <v>Aprobado</v>
      </c>
      <c r="L154" s="66" t="str">
        <f>_xlfn.XLOOKUP(Libromaestro[[#This Row],[CODIGO DEL DOCUMENTO]],Arreglo_Binaps[Codigo Documento],Arreglo_Binaps[Fecha de creación],"",0,1)</f>
        <v>2026-03-10</v>
      </c>
      <c r="M154" s="66"/>
      <c r="N15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47187</v>
      </c>
      <c r="O154"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47187</v>
      </c>
      <c r="P154" s="74">
        <f>_xlfn.LET(_xlpm.resultado,_xlfn.XLOOKUP(Libromaestro[[#This Row],[CODIGO DEL DOCUMENTO]],Arreglo_Binaps[Codigo Documento],Arreglo_Binaps[Fecha_Aprobacion],"",0,1),IF(_xlpm.resultado=0,"",_xlpm.resultado))</f>
        <v>46112</v>
      </c>
      <c r="Q154" s="173"/>
      <c r="R154" s="75"/>
      <c r="S154" s="76"/>
      <c r="T154" s="73"/>
    </row>
    <row r="155" spans="1:20" ht="33.75" customHeight="1" x14ac:dyDescent="0.3">
      <c r="A155" s="60" t="str">
        <f>IFERROR(VLOOKUP(Libromaestro[[#This Row],[MACROPROCESO]],Tabla1[],2,FALSE),"")</f>
        <v>Corportativa</v>
      </c>
      <c r="B155" s="61" t="s">
        <v>32</v>
      </c>
      <c r="C155" s="64" t="s">
        <v>51</v>
      </c>
      <c r="D155" s="64" t="s">
        <v>34</v>
      </c>
      <c r="E15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15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155" s="64">
        <v>4</v>
      </c>
      <c r="H155" s="60" t="str">
        <f>_xlfn.CONCAT(Libromaestro[[#This Row],[SIGLAS]],"-",Libromaestro[[#This Row],[T. DOC]],"-",Libromaestro[[#This Row],[CONSECUTIVO]])</f>
        <v>H-PR-4</v>
      </c>
      <c r="I155" s="73" t="s">
        <v>230</v>
      </c>
      <c r="J155" s="64">
        <v>1</v>
      </c>
      <c r="K155" s="64" t="str">
        <f>_xlfn.XLOOKUP(Libromaestro[[#This Row],[CODIGO DEL DOCUMENTO]],Arreglo_Binaps[Codigo Documento],Arreglo_Binaps[Estado],"No creado",0)</f>
        <v>No creado</v>
      </c>
      <c r="L155" s="66" t="str">
        <f>_xlfn.XLOOKUP(Libromaestro[[#This Row],[CODIGO DEL DOCUMENTO]],Arreglo_Binaps[Codigo Documento],Arreglo_Binaps[Fecha de creación],"",0,1)</f>
        <v/>
      </c>
      <c r="M155" s="66"/>
      <c r="N155"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55"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55" s="67" t="str">
        <f>_xlfn.LET(_xlpm.resultado,_xlfn.XLOOKUP(Libromaestro[[#This Row],[CODIGO DEL DOCUMENTO]],Arreglo_Binaps[Codigo Documento],Arreglo_Binaps[Fecha_Aprobacion],"",0,1),IF(_xlpm.resultado=0,"",_xlpm.resultado))</f>
        <v/>
      </c>
      <c r="Q155" s="172"/>
      <c r="R155" s="68"/>
      <c r="S155" s="76"/>
      <c r="T155" s="73"/>
    </row>
    <row r="156" spans="1:20" ht="33.75" customHeight="1" x14ac:dyDescent="0.3">
      <c r="A156" s="60" t="str">
        <f>IFERROR(VLOOKUP(Libromaestro[[#This Row],[MACROPROCESO]],Tabla1[],2,FALSE),"")</f>
        <v>Corportativa</v>
      </c>
      <c r="B156" s="61" t="s">
        <v>38</v>
      </c>
      <c r="C156" s="60" t="s">
        <v>26</v>
      </c>
      <c r="D156" s="60" t="s">
        <v>27</v>
      </c>
      <c r="E156"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156"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56" s="60">
        <v>4</v>
      </c>
      <c r="H156" s="60" t="str">
        <f>_xlfn.CONCAT(Libromaestro[[#This Row],[SIGLAS]],"-",Libromaestro[[#This Row],[T. DOC]],"-",Libromaestro[[#This Row],[CONSECUTIVO]])</f>
        <v>M-IN-4</v>
      </c>
      <c r="I156" s="70" t="s">
        <v>231</v>
      </c>
      <c r="J156" s="60">
        <v>1</v>
      </c>
      <c r="K156" s="64" t="str">
        <f>_xlfn.XLOOKUP(Libromaestro[[#This Row],[CODIGO DEL DOCUMENTO]],Arreglo_Binaps[Codigo Documento],Arreglo_Binaps[Estado],"No creado",0)</f>
        <v>Aprobado</v>
      </c>
      <c r="L156" s="66" t="str">
        <f>_xlfn.XLOOKUP(Libromaestro[[#This Row],[CODIGO DEL DOCUMENTO]],Arreglo_Binaps[Codigo Documento],Arreglo_Binaps[Fecha de creación],"",0,1)</f>
        <v>2024-12-27</v>
      </c>
      <c r="M156" s="66"/>
      <c r="N15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46748</v>
      </c>
      <c r="O15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46748</v>
      </c>
      <c r="P156" s="67">
        <f>_xlfn.LET(_xlpm.resultado,_xlfn.XLOOKUP(Libromaestro[[#This Row],[CODIGO DEL DOCUMENTO]],Arreglo_Binaps[Codigo Documento],Arreglo_Binaps[Fecha_Aprobacion],"",0,1),IF(_xlpm.resultado=0,"",_xlpm.resultado))</f>
        <v>45762</v>
      </c>
      <c r="Q156" s="172"/>
      <c r="R156" s="68"/>
      <c r="S156" s="69"/>
      <c r="T156" s="70"/>
    </row>
    <row r="157" spans="1:20" ht="33.75" customHeight="1" x14ac:dyDescent="0.3">
      <c r="A157" s="60" t="str">
        <f>IFERROR(VLOOKUP(Libromaestro[[#This Row],[MACROPROCESO]],Tabla1[],2,FALSE),"")</f>
        <v>Corportativa</v>
      </c>
      <c r="B157" s="73" t="s">
        <v>38</v>
      </c>
      <c r="C157" s="64" t="s">
        <v>26</v>
      </c>
      <c r="D157" s="60" t="s">
        <v>34</v>
      </c>
      <c r="E157"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157"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157" s="60">
        <v>4</v>
      </c>
      <c r="H157" s="60" t="str">
        <f>_xlfn.CONCAT(Libromaestro[[#This Row],[SIGLAS]],"-",Libromaestro[[#This Row],[T. DOC]],"-",Libromaestro[[#This Row],[CONSECUTIVO]])</f>
        <v>M-PR-4</v>
      </c>
      <c r="I157" s="70" t="s">
        <v>232</v>
      </c>
      <c r="J157" s="60">
        <v>1</v>
      </c>
      <c r="K157" s="64" t="str">
        <f>_xlfn.XLOOKUP(Libromaestro[[#This Row],[CODIGO DEL DOCUMENTO]],Arreglo_Binaps[Codigo Documento],Arreglo_Binaps[Estado],"No creado",0)</f>
        <v>No creado</v>
      </c>
      <c r="L157" s="66" t="str">
        <f>_xlfn.XLOOKUP(Libromaestro[[#This Row],[CODIGO DEL DOCUMENTO]],Arreglo_Binaps[Codigo Documento],Arreglo_Binaps[Fecha de creación],"",0,1)</f>
        <v/>
      </c>
      <c r="M157" s="66"/>
      <c r="N157"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57"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57" s="67" t="str">
        <f>_xlfn.LET(_xlpm.resultado,_xlfn.XLOOKUP(Libromaestro[[#This Row],[CODIGO DEL DOCUMENTO]],Arreglo_Binaps[Codigo Documento],Arreglo_Binaps[Fecha_Aprobacion],"",0,1),IF(_xlpm.resultado=0,"",_xlpm.resultado))</f>
        <v/>
      </c>
      <c r="Q157" s="172"/>
      <c r="R157" s="68"/>
      <c r="S157" s="69"/>
      <c r="T157" s="70"/>
    </row>
    <row r="158" spans="1:20" ht="33.75" customHeight="1" x14ac:dyDescent="0.3">
      <c r="A158" s="60" t="str">
        <f>IFERROR(VLOOKUP(Libromaestro[[#This Row],[MACROPROCESO]],Tabla1[],2,FALSE),"")</f>
        <v>Proyectos</v>
      </c>
      <c r="B158" s="61" t="s">
        <v>41</v>
      </c>
      <c r="C158" s="64" t="s">
        <v>58</v>
      </c>
      <c r="D158" s="64" t="s">
        <v>16</v>
      </c>
      <c r="E15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15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58" s="76">
        <v>4</v>
      </c>
      <c r="H158" s="60" t="str">
        <f>_xlfn.CONCAT(Libromaestro[[#This Row],[SIGLAS]],"-",Libromaestro[[#This Row],[T. DOC]],"-",Libromaestro[[#This Row],[CONSECUTIVO]])</f>
        <v>P-FT-4</v>
      </c>
      <c r="I158" s="73" t="s">
        <v>233</v>
      </c>
      <c r="J158" s="64">
        <v>1</v>
      </c>
      <c r="K158" s="64" t="str">
        <f>_xlfn.XLOOKUP(Libromaestro[[#This Row],[CODIGO DEL DOCUMENTO]],Arreglo_Binaps[Codigo Documento],Arreglo_Binaps[Estado],"No creado",0)</f>
        <v>No creado</v>
      </c>
      <c r="L158" s="66" t="str">
        <f>_xlfn.XLOOKUP(Libromaestro[[#This Row],[CODIGO DEL DOCUMENTO]],Arreglo_Binaps[Codigo Documento],Arreglo_Binaps[Fecha de creación],"",0,1)</f>
        <v/>
      </c>
      <c r="M158" s="66"/>
      <c r="N158"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58"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58" s="67" t="str">
        <f>_xlfn.LET(_xlpm.resultado,_xlfn.XLOOKUP(Libromaestro[[#This Row],[CODIGO DEL DOCUMENTO]],Arreglo_Binaps[Codigo Documento],Arreglo_Binaps[Fecha_Aprobacion],"",0,1),IF(_xlpm.resultado=0,"",_xlpm.resultado))</f>
        <v/>
      </c>
      <c r="Q158" s="177"/>
      <c r="R158" s="69"/>
      <c r="S158" s="85"/>
      <c r="T158" s="79"/>
    </row>
    <row r="159" spans="1:20" ht="33.75" customHeight="1" x14ac:dyDescent="0.3">
      <c r="A159" s="60" t="str">
        <f>IFERROR(VLOOKUP(Libromaestro[[#This Row],[MACROPROCESO]],Tabla1[],2,FALSE),"")</f>
        <v>Suministros</v>
      </c>
      <c r="B159" s="73" t="s">
        <v>45</v>
      </c>
      <c r="C159" s="64" t="s">
        <v>36</v>
      </c>
      <c r="D159" s="64" t="s">
        <v>16</v>
      </c>
      <c r="E15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15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59" s="76">
        <v>16</v>
      </c>
      <c r="H159" s="60" t="str">
        <f>_xlfn.CONCAT(Libromaestro[[#This Row],[SIGLAS]],"-",Libromaestro[[#This Row],[T. DOC]],"-",Libromaestro[[#This Row],[CONSECUTIVO]])</f>
        <v>S-FT-16</v>
      </c>
      <c r="I159" s="73" t="s">
        <v>414</v>
      </c>
      <c r="J159" s="64">
        <v>1</v>
      </c>
      <c r="K159" s="64" t="str">
        <f>_xlfn.XLOOKUP(Libromaestro[[#This Row],[CODIGO DEL DOCUMENTO]],Arreglo_Binaps[Codigo Documento],Arreglo_Binaps[Estado],"No creado",0)</f>
        <v>Aprobado</v>
      </c>
      <c r="L159" s="66" t="str">
        <f>_xlfn.XLOOKUP(Libromaestro[[#This Row],[CODIGO DEL DOCUMENTO]],Arreglo_Binaps[Codigo Documento],Arreglo_Binaps[Fecha de creación],"",0,1)</f>
        <v>2025-07-15</v>
      </c>
      <c r="M159" s="66"/>
      <c r="N15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O15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P159" s="67">
        <f>_xlfn.LET(_xlpm.resultado,_xlfn.XLOOKUP(Libromaestro[[#This Row],[CODIGO DEL DOCUMENTO]],Arreglo_Binaps[Codigo Documento],Arreglo_Binaps[Fecha_Aprobacion],"",0,1),IF(_xlpm.resultado=0,"",_xlpm.resultado))</f>
        <v>45853</v>
      </c>
      <c r="Q159" s="177"/>
      <c r="R159" s="69"/>
      <c r="S159" s="85"/>
      <c r="T159" s="79"/>
    </row>
    <row r="160" spans="1:20" ht="33.75" customHeight="1" x14ac:dyDescent="0.3">
      <c r="A160" s="60" t="str">
        <f>IFERROR(VLOOKUP(Libromaestro[[#This Row],[MACROPROCESO]],Tabla1[],2,FALSE),"")</f>
        <v>Suministros</v>
      </c>
      <c r="B160" s="73" t="s">
        <v>45</v>
      </c>
      <c r="C160" s="64" t="s">
        <v>30</v>
      </c>
      <c r="D160" s="64" t="s">
        <v>16</v>
      </c>
      <c r="E16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16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60" s="76">
        <v>17</v>
      </c>
      <c r="H160" s="60" t="str">
        <f>_xlfn.CONCAT(Libromaestro[[#This Row],[SIGLAS]],"-",Libromaestro[[#This Row],[T. DOC]],"-",Libromaestro[[#This Row],[CONSECUTIVO]])</f>
        <v>S-FT-17</v>
      </c>
      <c r="I160" s="73" t="s">
        <v>419</v>
      </c>
      <c r="J160" s="64">
        <v>2</v>
      </c>
      <c r="K160" s="64" t="str">
        <f>_xlfn.XLOOKUP(Libromaestro[[#This Row],[CODIGO DEL DOCUMENTO]],Arreglo_Binaps[Codigo Documento],Arreglo_Binaps[Estado],"No creado",0)</f>
        <v>Aprobado</v>
      </c>
      <c r="L160" s="66" t="str">
        <f>_xlfn.XLOOKUP(Libromaestro[[#This Row],[CODIGO DEL DOCUMENTO]],Arreglo_Binaps[Codigo Documento],Arreglo_Binaps[Fecha de creación],"",0,1)</f>
        <v>2021-03-04</v>
      </c>
      <c r="M160" s="66">
        <v>45478</v>
      </c>
      <c r="N16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46573</v>
      </c>
      <c r="O16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46573</v>
      </c>
      <c r="P160" s="67">
        <f>_xlfn.LET(_xlpm.resultado,_xlfn.XLOOKUP(Libromaestro[[#This Row],[CODIGO DEL DOCUMENTO]],Arreglo_Binaps[Codigo Documento],Arreglo_Binaps[Fecha_Aprobacion],"",0,1),IF(_xlpm.resultado=0,"",_xlpm.resultado))</f>
        <v>45882</v>
      </c>
      <c r="Q160" s="177"/>
      <c r="R160" s="69"/>
      <c r="S160" s="85" t="s">
        <v>23</v>
      </c>
      <c r="T160" s="79"/>
    </row>
    <row r="161" spans="1:20" ht="33.75" customHeight="1" x14ac:dyDescent="0.3">
      <c r="A161" s="60" t="str">
        <f>IFERROR(VLOOKUP(Libromaestro[[#This Row],[MACROPROCESO]],Tabla1[],2,FALSE),"")</f>
        <v>Suministros</v>
      </c>
      <c r="B161" s="73" t="s">
        <v>45</v>
      </c>
      <c r="C161" s="64" t="s">
        <v>36</v>
      </c>
      <c r="D161" s="64" t="s">
        <v>16</v>
      </c>
      <c r="E16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16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61" s="76">
        <v>18</v>
      </c>
      <c r="H161" s="60" t="str">
        <f>_xlfn.CONCAT(Libromaestro[[#This Row],[SIGLAS]],"-",Libromaestro[[#This Row],[T. DOC]],"-",Libromaestro[[#This Row],[CONSECUTIVO]])</f>
        <v>S-FT-18</v>
      </c>
      <c r="I161" s="73" t="s">
        <v>427</v>
      </c>
      <c r="J161" s="64">
        <v>1</v>
      </c>
      <c r="K161" s="64" t="str">
        <f>_xlfn.XLOOKUP(Libromaestro[[#This Row],[CODIGO DEL DOCUMENTO]],Arreglo_Binaps[Codigo Documento],Arreglo_Binaps[Estado],"No creado",0)</f>
        <v>Aprobado</v>
      </c>
      <c r="L161" s="66" t="str">
        <f>_xlfn.XLOOKUP(Libromaestro[[#This Row],[CODIGO DEL DOCUMENTO]],Arreglo_Binaps[Codigo Documento],Arreglo_Binaps[Fecha de creación],"",0,1)</f>
        <v>2025-07-15</v>
      </c>
      <c r="M161" s="66"/>
      <c r="N16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O16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P161" s="67">
        <f>_xlfn.LET(_xlpm.resultado,_xlfn.XLOOKUP(Libromaestro[[#This Row],[CODIGO DEL DOCUMENTO]],Arreglo_Binaps[Codigo Documento],Arreglo_Binaps[Fecha_Aprobacion],"",0,1),IF(_xlpm.resultado=0,"",_xlpm.resultado))</f>
        <v>45853</v>
      </c>
      <c r="Q161" s="177"/>
      <c r="R161" s="69"/>
      <c r="S161" s="85"/>
      <c r="T161" s="79"/>
    </row>
    <row r="162" spans="1:20" ht="33.75" customHeight="1" x14ac:dyDescent="0.3">
      <c r="A162" s="60" t="str">
        <f>IFERROR(VLOOKUP(Libromaestro[[#This Row],[MACROPROCESO]],Tabla1[],2,FALSE),"")</f>
        <v>Suministros</v>
      </c>
      <c r="B162" s="73" t="s">
        <v>45</v>
      </c>
      <c r="C162" s="64" t="s">
        <v>54</v>
      </c>
      <c r="D162" s="64" t="s">
        <v>16</v>
      </c>
      <c r="E16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16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62" s="76">
        <v>19</v>
      </c>
      <c r="H162" s="60" t="str">
        <f>_xlfn.CONCAT(Libromaestro[[#This Row],[SIGLAS]],"-",Libromaestro[[#This Row],[T. DOC]],"-",Libromaestro[[#This Row],[CONSECUTIVO]])</f>
        <v>S-FT-19</v>
      </c>
      <c r="I162" s="73" t="s">
        <v>434</v>
      </c>
      <c r="J162" s="64">
        <v>2</v>
      </c>
      <c r="K162" s="64" t="str">
        <f>_xlfn.XLOOKUP(Libromaestro[[#This Row],[CODIGO DEL DOCUMENTO]],Arreglo_Binaps[Codigo Documento],Arreglo_Binaps[Estado],"No creado",0)</f>
        <v>Aprobado</v>
      </c>
      <c r="L162" s="66" t="str">
        <f>_xlfn.XLOOKUP(Libromaestro[[#This Row],[CODIGO DEL DOCUMENTO]],Arreglo_Binaps[Codigo Documento],Arreglo_Binaps[Fecha de creación],"",0,1)</f>
        <v>2023-08-30</v>
      </c>
      <c r="M162" s="66">
        <v>45853</v>
      </c>
      <c r="N16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O16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P162" s="67">
        <f>_xlfn.LET(_xlpm.resultado,_xlfn.XLOOKUP(Libromaestro[[#This Row],[CODIGO DEL DOCUMENTO]],Arreglo_Binaps[Codigo Documento],Arreglo_Binaps[Fecha_Aprobacion],"",0,1),IF(_xlpm.resultado=0,"",_xlpm.resultado))</f>
        <v>45853</v>
      </c>
      <c r="Q162" s="177"/>
      <c r="R162" s="69"/>
      <c r="S162" s="85" t="s">
        <v>28</v>
      </c>
      <c r="T162" s="78" t="s">
        <v>435</v>
      </c>
    </row>
    <row r="163" spans="1:20" ht="33.75" customHeight="1" x14ac:dyDescent="0.3">
      <c r="A163" s="60" t="str">
        <f>IFERROR(VLOOKUP(Libromaestro[[#This Row],[MACROPROCESO]],Tabla1[],2,FALSE),"")</f>
        <v>Suministros</v>
      </c>
      <c r="B163" s="73" t="s">
        <v>45</v>
      </c>
      <c r="C163" s="64" t="s">
        <v>54</v>
      </c>
      <c r="D163" s="64" t="s">
        <v>16</v>
      </c>
      <c r="E16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16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63" s="76">
        <v>20</v>
      </c>
      <c r="H163" s="60" t="str">
        <f>_xlfn.CONCAT(Libromaestro[[#This Row],[SIGLAS]],"-",Libromaestro[[#This Row],[T. DOC]],"-",Libromaestro[[#This Row],[CONSECUTIVO]])</f>
        <v>S-FT-20</v>
      </c>
      <c r="I163" s="73" t="s">
        <v>441</v>
      </c>
      <c r="J163" s="64">
        <v>2</v>
      </c>
      <c r="K163" s="64" t="str">
        <f>_xlfn.XLOOKUP(Libromaestro[[#This Row],[CODIGO DEL DOCUMENTO]],Arreglo_Binaps[Codigo Documento],Arreglo_Binaps[Estado],"No creado",0)</f>
        <v>Aprobado</v>
      </c>
      <c r="L163" s="66" t="str">
        <f>_xlfn.XLOOKUP(Libromaestro[[#This Row],[CODIGO DEL DOCUMENTO]],Arreglo_Binaps[Codigo Documento],Arreglo_Binaps[Fecha de creación],"",0,1)</f>
        <v>2023-08-30</v>
      </c>
      <c r="M163" s="66">
        <v>45853</v>
      </c>
      <c r="N16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O16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P163" s="67">
        <f>_xlfn.LET(_xlpm.resultado,_xlfn.XLOOKUP(Libromaestro[[#This Row],[CODIGO DEL DOCUMENTO]],Arreglo_Binaps[Codigo Documento],Arreglo_Binaps[Fecha_Aprobacion],"",0,1),IF(_xlpm.resultado=0,"",_xlpm.resultado))</f>
        <v>45853</v>
      </c>
      <c r="Q163" s="177"/>
      <c r="R163" s="69"/>
      <c r="S163" s="85" t="s">
        <v>23</v>
      </c>
      <c r="T163" s="64" t="s">
        <v>435</v>
      </c>
    </row>
    <row r="164" spans="1:20" ht="33.75" customHeight="1" x14ac:dyDescent="0.3">
      <c r="A164" s="60" t="str">
        <f>IFERROR(VLOOKUP(Libromaestro[[#This Row],[MACROPROCESO]],Tabla1[],2,FALSE),"")</f>
        <v>Corporativa</v>
      </c>
      <c r="B164" s="40" t="s">
        <v>13</v>
      </c>
      <c r="C164" s="41" t="s">
        <v>82</v>
      </c>
      <c r="D164" s="64" t="s">
        <v>16</v>
      </c>
      <c r="E16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16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64" s="64">
        <v>17</v>
      </c>
      <c r="H164" s="60" t="str">
        <f>_xlfn.CONCAT(Libromaestro[[#This Row],[SIGLAS]],"-",Libromaestro[[#This Row],[T. DOC]],"-",Libromaestro[[#This Row],[CONSECUTIVO]])</f>
        <v>D-FT-17</v>
      </c>
      <c r="I164" s="46" t="s">
        <v>238</v>
      </c>
      <c r="J164" s="64"/>
      <c r="K164" s="64" t="str">
        <f>_xlfn.XLOOKUP(Libromaestro[[#This Row],[CODIGO DEL DOCUMENTO]],Arreglo_Binaps[Codigo Documento],Arreglo_Binaps[Estado],"No creado",0)</f>
        <v>No creado</v>
      </c>
      <c r="L164" s="66" t="str">
        <f>_xlfn.XLOOKUP(Libromaestro[[#This Row],[CODIGO DEL DOCUMENTO]],Arreglo_Binaps[Codigo Documento],Arreglo_Binaps[Fecha de creación],"",0,1)</f>
        <v/>
      </c>
      <c r="M164" s="66"/>
      <c r="N164" s="65"/>
      <c r="O164" s="67"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64" s="67" t="str">
        <f>_xlfn.LET(_xlpm.resultado,_xlfn.XLOOKUP(Libromaestro[[#This Row],[CODIGO DEL DOCUMENTO]],Arreglo_Binaps[Codigo Documento],Arreglo_Binaps[Fecha_Aprobacion],"",0,1),IF(_xlpm.resultado=0,"",_xlpm.resultado))</f>
        <v/>
      </c>
      <c r="Q164" s="172"/>
      <c r="R164" s="68"/>
      <c r="S164" s="69"/>
      <c r="T164" s="80"/>
    </row>
    <row r="165" spans="1:20" ht="33.75" customHeight="1" x14ac:dyDescent="0.3">
      <c r="A165" s="60" t="str">
        <f>IFERROR(VLOOKUP(Libromaestro[[#This Row],[MACROPROCESO]],Tabla1[],2,FALSE),"")</f>
        <v>Corporativa</v>
      </c>
      <c r="B165" s="40" t="s">
        <v>13</v>
      </c>
      <c r="C165" s="41" t="s">
        <v>55</v>
      </c>
      <c r="D165" s="64" t="s">
        <v>16</v>
      </c>
      <c r="E16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16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65" s="64">
        <v>24</v>
      </c>
      <c r="H165" s="60" t="str">
        <f>_xlfn.CONCAT(Libromaestro[[#This Row],[SIGLAS]],"-",Libromaestro[[#This Row],[T. DOC]],"-",Libromaestro[[#This Row],[CONSECUTIVO]])</f>
        <v>D-FT-24</v>
      </c>
      <c r="I165" s="47" t="s">
        <v>239</v>
      </c>
      <c r="J165" s="64"/>
      <c r="K165" s="64" t="str">
        <f>_xlfn.XLOOKUP(Libromaestro[[#This Row],[CODIGO DEL DOCUMENTO]],Arreglo_Binaps[Codigo Documento],Arreglo_Binaps[Estado],"No creado",0)</f>
        <v>No creado</v>
      </c>
      <c r="L165" s="66" t="str">
        <f>_xlfn.XLOOKUP(Libromaestro[[#This Row],[CODIGO DEL DOCUMENTO]],Arreglo_Binaps[Codigo Documento],Arreglo_Binaps[Fecha de creación],"",0,1)</f>
        <v/>
      </c>
      <c r="M165" s="66"/>
      <c r="N165" s="65"/>
      <c r="O165" s="67"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65" s="67" t="str">
        <f>_xlfn.LET(_xlpm.resultado,_xlfn.XLOOKUP(Libromaestro[[#This Row],[CODIGO DEL DOCUMENTO]],Arreglo_Binaps[Codigo Documento],Arreglo_Binaps[Fecha_Aprobacion],"",0,1),IF(_xlpm.resultado=0,"",_xlpm.resultado))</f>
        <v/>
      </c>
      <c r="Q165" s="172"/>
      <c r="R165" s="68"/>
      <c r="S165" s="69"/>
      <c r="T165" s="80"/>
    </row>
    <row r="166" spans="1:20" ht="33.75" customHeight="1" x14ac:dyDescent="0.3">
      <c r="A166" s="60" t="str">
        <f>IFERROR(VLOOKUP(Libromaestro[[#This Row],[MACROPROCESO]],Tabla1[],2,FALSE),"")</f>
        <v>Alumbrado Público</v>
      </c>
      <c r="B166" s="73" t="s">
        <v>7</v>
      </c>
      <c r="C166" s="64" t="s">
        <v>61</v>
      </c>
      <c r="D166" s="64" t="s">
        <v>16</v>
      </c>
      <c r="E16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6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66" s="64">
        <v>5</v>
      </c>
      <c r="H166" s="60" t="str">
        <f>_xlfn.CONCAT(Libromaestro[[#This Row],[SIGLAS]],"-",Libromaestro[[#This Row],[T. DOC]],"-",Libromaestro[[#This Row],[CONSECUTIVO]])</f>
        <v>A-FT-5</v>
      </c>
      <c r="I166" s="73" t="s">
        <v>240</v>
      </c>
      <c r="J166" s="64">
        <v>1</v>
      </c>
      <c r="K166" s="64" t="str">
        <f>_xlfn.XLOOKUP(Libromaestro[[#This Row],[CODIGO DEL DOCUMENTO]],Arreglo_Binaps[Codigo Documento],Arreglo_Binaps[Estado],"No creado",0)</f>
        <v>Aprobado</v>
      </c>
      <c r="L166" s="66" t="str">
        <f>_xlfn.XLOOKUP(Libromaestro[[#This Row],[CODIGO DEL DOCUMENTO]],Arreglo_Binaps[Codigo Documento],Arreglo_Binaps[Fecha de creación],"",0,1)</f>
        <v>2025-07-21</v>
      </c>
      <c r="M166" s="66"/>
      <c r="N16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46955</v>
      </c>
      <c r="O16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46955</v>
      </c>
      <c r="P166" s="67">
        <f>_xlfn.LET(_xlpm.resultado,_xlfn.XLOOKUP(Libromaestro[[#This Row],[CODIGO DEL DOCUMENTO]],Arreglo_Binaps[Codigo Documento],Arreglo_Binaps[Fecha_Aprobacion],"",0,1),IF(_xlpm.resultado=0,"",_xlpm.resultado))</f>
        <v>46154</v>
      </c>
      <c r="Q166" s="172"/>
      <c r="R166" s="68"/>
      <c r="S166" s="69"/>
      <c r="T166" s="73"/>
    </row>
    <row r="167" spans="1:20" ht="33.75" customHeight="1" x14ac:dyDescent="0.3">
      <c r="A167" s="60" t="str">
        <f>IFERROR(VLOOKUP(Libromaestro[[#This Row],[MACROPROCESO]],Tabla1[],2,FALSE),"")</f>
        <v>Alumbrado Público</v>
      </c>
      <c r="B167" s="73" t="s">
        <v>7</v>
      </c>
      <c r="C167" s="64" t="s">
        <v>9</v>
      </c>
      <c r="D167" s="64" t="s">
        <v>22</v>
      </c>
      <c r="E16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6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167" s="64">
        <v>5</v>
      </c>
      <c r="H167" s="60" t="str">
        <f>_xlfn.CONCAT(Libromaestro[[#This Row],[SIGLAS]],"-",Libromaestro[[#This Row],[T. DOC]],"-",Libromaestro[[#This Row],[CONSECUTIVO]])</f>
        <v>A-GU-5</v>
      </c>
      <c r="I167" s="73" t="s">
        <v>241</v>
      </c>
      <c r="J167" s="64">
        <v>1</v>
      </c>
      <c r="K167" s="64" t="str">
        <f>_xlfn.XLOOKUP(Libromaestro[[#This Row],[CODIGO DEL DOCUMENTO]],Arreglo_Binaps[Codigo Documento],Arreglo_Binaps[Estado],"No creado",0)</f>
        <v>Aprobado</v>
      </c>
      <c r="L167" s="66" t="str">
        <f>_xlfn.XLOOKUP(Libromaestro[[#This Row],[CODIGO DEL DOCUMENTO]],Arreglo_Binaps[Codigo Documento],Arreglo_Binaps[Fecha de creación],"",0,1)</f>
        <v>2023-10-23</v>
      </c>
      <c r="M167" s="66"/>
      <c r="N16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46318</v>
      </c>
      <c r="O16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46318</v>
      </c>
      <c r="P167" s="67">
        <f>_xlfn.LET(_xlpm.resultado,_xlfn.XLOOKUP(Libromaestro[[#This Row],[CODIGO DEL DOCUMENTO]],Arreglo_Binaps[Codigo Documento],Arreglo_Binaps[Fecha_Aprobacion],"",0,1),IF(_xlpm.resultado=0,"",_xlpm.resultado))</f>
        <v>45259</v>
      </c>
      <c r="Q167" s="172"/>
      <c r="R167" s="68"/>
      <c r="S167" s="69"/>
      <c r="T167" s="73"/>
    </row>
    <row r="168" spans="1:20" ht="33.75" customHeight="1" x14ac:dyDescent="0.3">
      <c r="A168" s="60" t="str">
        <f>IFERROR(VLOOKUP(Libromaestro[[#This Row],[MACROPROCESO]],Tabla1[],2,FALSE),"")</f>
        <v>Alumbrado Público</v>
      </c>
      <c r="B168" s="73" t="s">
        <v>7</v>
      </c>
      <c r="C168" s="64" t="s">
        <v>52</v>
      </c>
      <c r="D168" s="64" t="s">
        <v>27</v>
      </c>
      <c r="E16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6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68" s="64">
        <v>5</v>
      </c>
      <c r="H168" s="60" t="str">
        <f>_xlfn.CONCAT(Libromaestro[[#This Row],[SIGLAS]],"-",Libromaestro[[#This Row],[T. DOC]],"-",Libromaestro[[#This Row],[CONSECUTIVO]])</f>
        <v>A-IN-5</v>
      </c>
      <c r="I168" s="73" t="s">
        <v>242</v>
      </c>
      <c r="J168" s="64">
        <v>1</v>
      </c>
      <c r="K168" s="64" t="str">
        <f>_xlfn.XLOOKUP(Libromaestro[[#This Row],[CODIGO DEL DOCUMENTO]],Arreglo_Binaps[Codigo Documento],Arreglo_Binaps[Estado],"No creado",0)</f>
        <v>Aprobado</v>
      </c>
      <c r="L168" s="66" t="str">
        <f>_xlfn.XLOOKUP(Libromaestro[[#This Row],[CODIGO DEL DOCUMENTO]],Arreglo_Binaps[Codigo Documento],Arreglo_Binaps[Fecha de creación],"",0,1)</f>
        <v>2024-09-25</v>
      </c>
      <c r="M168" s="66"/>
      <c r="N16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46655</v>
      </c>
      <c r="O16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46655</v>
      </c>
      <c r="P168" s="67">
        <f>_xlfn.LET(_xlpm.resultado,_xlfn.XLOOKUP(Libromaestro[[#This Row],[CODIGO DEL DOCUMENTO]],Arreglo_Binaps[Codigo Documento],Arreglo_Binaps[Fecha_Aprobacion],"",0,1),IF(_xlpm.resultado=0,"",_xlpm.resultado))</f>
        <v>45589</v>
      </c>
      <c r="Q168" s="172"/>
      <c r="R168" s="68"/>
      <c r="S168" s="69"/>
      <c r="T168" s="73"/>
    </row>
    <row r="169" spans="1:20" ht="33.75" customHeight="1" x14ac:dyDescent="0.3">
      <c r="A169" s="60" t="str">
        <f>IFERROR(VLOOKUP(Libromaestro[[#This Row],[MACROPROCESO]],Tabla1[],2,FALSE),"")</f>
        <v>Alumbrado Público</v>
      </c>
      <c r="B169" s="73" t="s">
        <v>7</v>
      </c>
      <c r="C169" s="64" t="s">
        <v>61</v>
      </c>
      <c r="D169" s="64" t="s">
        <v>31</v>
      </c>
      <c r="E16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6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169" s="64">
        <v>2</v>
      </c>
      <c r="H169" s="60" t="str">
        <f>_xlfn.CONCAT(Libromaestro[[#This Row],[SIGLAS]],"-",Libromaestro[[#This Row],[T. DOC]],"-",Libromaestro[[#This Row],[CONSECUTIVO]])</f>
        <v>A-MA-2</v>
      </c>
      <c r="I169" s="73" t="s">
        <v>243</v>
      </c>
      <c r="J169" s="64">
        <v>1</v>
      </c>
      <c r="K169" s="64" t="str">
        <f>_xlfn.XLOOKUP(Libromaestro[[#This Row],[CODIGO DEL DOCUMENTO]],Arreglo_Binaps[Codigo Documento],Arreglo_Binaps[Estado],"No creado",0)</f>
        <v>No creado</v>
      </c>
      <c r="L169" s="66" t="str">
        <f>_xlfn.XLOOKUP(Libromaestro[[#This Row],[CODIGO DEL DOCUMENTO]],Arreglo_Binaps[Codigo Documento],Arreglo_Binaps[Fecha de creación],"",0,1)</f>
        <v/>
      </c>
      <c r="M169" s="66"/>
      <c r="N169"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69"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69" s="67" t="str">
        <f>_xlfn.LET(_xlpm.resultado,_xlfn.XLOOKUP(Libromaestro[[#This Row],[CODIGO DEL DOCUMENTO]],Arreglo_Binaps[Codigo Documento],Arreglo_Binaps[Fecha_Aprobacion],"",0,1),IF(_xlpm.resultado=0,"",_xlpm.resultado))</f>
        <v/>
      </c>
      <c r="Q169" s="172"/>
      <c r="R169" s="68"/>
      <c r="S169" s="69"/>
      <c r="T169" s="73"/>
    </row>
    <row r="170" spans="1:20" ht="33.75" customHeight="1" x14ac:dyDescent="0.3">
      <c r="A170" s="60" t="str">
        <f>IFERROR(VLOOKUP(Libromaestro[[#This Row],[MACROPROCESO]],Tabla1[],2,FALSE),"")</f>
        <v>Corportativa</v>
      </c>
      <c r="B170" s="73" t="s">
        <v>49</v>
      </c>
      <c r="C170" s="64" t="s">
        <v>2254</v>
      </c>
      <c r="D170" s="64" t="s">
        <v>16</v>
      </c>
      <c r="E17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17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70" s="76">
        <v>5</v>
      </c>
      <c r="H170" s="60" t="str">
        <f>_xlfn.CONCAT(Libromaestro[[#This Row],[SIGLAS]],"-",Libromaestro[[#This Row],[T. DOC]],"-",Libromaestro[[#This Row],[CONSECUTIVO]])</f>
        <v>T-FT-5</v>
      </c>
      <c r="I170" s="73" t="s">
        <v>244</v>
      </c>
      <c r="J170" s="64">
        <v>2</v>
      </c>
      <c r="K170" s="64" t="str">
        <f>_xlfn.XLOOKUP(Libromaestro[[#This Row],[CODIGO DEL DOCUMENTO]],Arreglo_Binaps[Codigo Documento],Arreglo_Binaps[Estado],"No creado",0)</f>
        <v>Aprobado</v>
      </c>
      <c r="L170" s="66" t="str">
        <f>_xlfn.XLOOKUP(Libromaestro[[#This Row],[CODIGO DEL DOCUMENTO]],Arreglo_Binaps[Codigo Documento],Arreglo_Binaps[Fecha de creación],"",0,1)</f>
        <v>2024-11-29</v>
      </c>
      <c r="M170" s="66">
        <v>45625</v>
      </c>
      <c r="N17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46720</v>
      </c>
      <c r="O17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46720</v>
      </c>
      <c r="P170" s="67">
        <f>_xlfn.LET(_xlpm.resultado,_xlfn.XLOOKUP(Libromaestro[[#This Row],[CODIGO DEL DOCUMENTO]],Arreglo_Binaps[Codigo Documento],Arreglo_Binaps[Fecha_Aprobacion],"",0,1),IF(_xlpm.resultado=0,"",_xlpm.resultado))</f>
        <v>45793</v>
      </c>
      <c r="Q170" s="177"/>
      <c r="R170" s="69"/>
      <c r="S170" s="85"/>
      <c r="T170" s="79"/>
    </row>
    <row r="171" spans="1:20" ht="33.75" customHeight="1" x14ac:dyDescent="0.3">
      <c r="A171" s="60" t="str">
        <f>IFERROR(VLOOKUP(Libromaestro[[#This Row],[MACROPROCESO]],Tabla1[],2,FALSE),"")</f>
        <v>Corportativa</v>
      </c>
      <c r="B171" s="73" t="s">
        <v>49</v>
      </c>
      <c r="C171" s="64" t="s">
        <v>2254</v>
      </c>
      <c r="D171" s="64" t="s">
        <v>27</v>
      </c>
      <c r="E17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17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71" s="64">
        <v>5</v>
      </c>
      <c r="H171" s="60" t="str">
        <f>_xlfn.CONCAT(Libromaestro[[#This Row],[SIGLAS]],"-",Libromaestro[[#This Row],[T. DOC]],"-",Libromaestro[[#This Row],[CONSECUTIVO]])</f>
        <v>T-IN-5</v>
      </c>
      <c r="I171" s="73" t="s">
        <v>245</v>
      </c>
      <c r="J171" s="64">
        <v>1</v>
      </c>
      <c r="K171" s="64" t="str">
        <f>_xlfn.XLOOKUP(Libromaestro[[#This Row],[CODIGO DEL DOCUMENTO]],Arreglo_Binaps[Codigo Documento],Arreglo_Binaps[Estado],"No creado",0)</f>
        <v>En aprobacion</v>
      </c>
      <c r="L171" s="66" t="str">
        <f>_xlfn.XLOOKUP(Libromaestro[[#This Row],[CODIGO DEL DOCUMENTO]],Arreglo_Binaps[Codigo Documento],Arreglo_Binaps[Fecha de creación],"",0,1)</f>
        <v>2024-09-10</v>
      </c>
      <c r="M171" s="66"/>
      <c r="N17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46640</v>
      </c>
      <c r="O17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46640</v>
      </c>
      <c r="P171" s="67" t="str">
        <f>_xlfn.LET(_xlpm.resultado,_xlfn.XLOOKUP(Libromaestro[[#This Row],[CODIGO DEL DOCUMENTO]],Arreglo_Binaps[Codigo Documento],Arreglo_Binaps[Fecha_Aprobacion],"",0,1),IF(_xlpm.resultado=0,"",_xlpm.resultado))</f>
        <v/>
      </c>
      <c r="Q171" s="172"/>
      <c r="R171" s="68"/>
      <c r="S171" s="69"/>
      <c r="T171" s="73"/>
    </row>
    <row r="172" spans="1:20" ht="33.75" customHeight="1" x14ac:dyDescent="0.3">
      <c r="A172" s="60" t="str">
        <f>IFERROR(VLOOKUP(Libromaestro[[#This Row],[MACROPROCESO]],Tabla1[],2,FALSE),"")</f>
        <v>Corportativa</v>
      </c>
      <c r="B172" s="40" t="s">
        <v>49</v>
      </c>
      <c r="C172" s="64" t="s">
        <v>2254</v>
      </c>
      <c r="D172" s="41" t="s">
        <v>27</v>
      </c>
      <c r="E17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17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72" s="64">
        <v>14</v>
      </c>
      <c r="H172" s="60" t="str">
        <f>_xlfn.CONCAT(Libromaestro[[#This Row],[SIGLAS]],"-",Libromaestro[[#This Row],[T. DOC]],"-",Libromaestro[[#This Row],[CONSECUTIVO]])</f>
        <v>T-IN-14</v>
      </c>
      <c r="I172" s="46" t="s">
        <v>246</v>
      </c>
      <c r="J172" s="64"/>
      <c r="K172" s="64" t="str">
        <f>_xlfn.XLOOKUP(Libromaestro[[#This Row],[CODIGO DEL DOCUMENTO]],Arreglo_Binaps[Codigo Documento],Arreglo_Binaps[Estado],"No creado",0)</f>
        <v>No creado</v>
      </c>
      <c r="L172" s="66" t="str">
        <f>_xlfn.XLOOKUP(Libromaestro[[#This Row],[CODIGO DEL DOCUMENTO]],Arreglo_Binaps[Codigo Documento],Arreglo_Binaps[Fecha de creación],"",0,1)</f>
        <v/>
      </c>
      <c r="M172" s="66"/>
      <c r="N172" s="65"/>
      <c r="O172" s="67"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72" s="67" t="str">
        <f>_xlfn.LET(_xlpm.resultado,_xlfn.XLOOKUP(Libromaestro[[#This Row],[CODIGO DEL DOCUMENTO]],Arreglo_Binaps[Codigo Documento],Arreglo_Binaps[Fecha_Aprobacion],"",0,1),IF(_xlpm.resultado=0,"",_xlpm.resultado))</f>
        <v/>
      </c>
      <c r="Q172" s="172"/>
      <c r="R172" s="68"/>
      <c r="S172" s="69"/>
      <c r="T172" s="80"/>
    </row>
    <row r="173" spans="1:20" ht="33.75" customHeight="1" x14ac:dyDescent="0.3">
      <c r="A173" s="60" t="str">
        <f>IFERROR(VLOOKUP(Libromaestro[[#This Row],[MACROPROCESO]],Tabla1[],2,FALSE),"")</f>
        <v>Electroingeniería</v>
      </c>
      <c r="B173" s="73" t="s">
        <v>29</v>
      </c>
      <c r="C173" s="64" t="s">
        <v>2255</v>
      </c>
      <c r="D173" s="64" t="s">
        <v>16</v>
      </c>
      <c r="E17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17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73" s="64">
        <v>5</v>
      </c>
      <c r="H173" s="60" t="str">
        <f>_xlfn.CONCAT(Libromaestro[[#This Row],[SIGLAS]],"-",Libromaestro[[#This Row],[T. DOC]],"-",Libromaestro[[#This Row],[CONSECUTIVO]])</f>
        <v>L-FT-5</v>
      </c>
      <c r="I173" s="73" t="s">
        <v>247</v>
      </c>
      <c r="J173" s="64">
        <v>1</v>
      </c>
      <c r="K173" s="64" t="str">
        <f>_xlfn.XLOOKUP(Libromaestro[[#This Row],[CODIGO DEL DOCUMENTO]],Arreglo_Binaps[Codigo Documento],Arreglo_Binaps[Estado],"No creado",0)</f>
        <v>Aprobado</v>
      </c>
      <c r="L173" s="66" t="str">
        <f>_xlfn.XLOOKUP(Libromaestro[[#This Row],[CODIGO DEL DOCUMENTO]],Arreglo_Binaps[Codigo Documento],Arreglo_Binaps[Fecha de creación],"",0,1)</f>
        <v>2023-11-16</v>
      </c>
      <c r="M173" s="66"/>
      <c r="N17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46342</v>
      </c>
      <c r="O17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46342</v>
      </c>
      <c r="P173" s="67">
        <f>_xlfn.LET(_xlpm.resultado,_xlfn.XLOOKUP(Libromaestro[[#This Row],[CODIGO DEL DOCUMENTO]],Arreglo_Binaps[Codigo Documento],Arreglo_Binaps[Fecha_Aprobacion],"",0,1),IF(_xlpm.resultado=0,"",_xlpm.resultado))</f>
        <v>45517</v>
      </c>
      <c r="Q173" s="172"/>
      <c r="R173" s="68"/>
      <c r="S173" s="69" t="s">
        <v>11</v>
      </c>
      <c r="T173" s="73"/>
    </row>
    <row r="174" spans="1:20" ht="33.75" customHeight="1" x14ac:dyDescent="0.3">
      <c r="A174" s="60" t="str">
        <f>IFERROR(VLOOKUP(Libromaestro[[#This Row],[MACROPROCESO]],Tabla1[],2,FALSE),"")</f>
        <v>Electroingeniería</v>
      </c>
      <c r="B174" s="73" t="s">
        <v>29</v>
      </c>
      <c r="C174" s="64" t="s">
        <v>2255</v>
      </c>
      <c r="D174" s="64" t="s">
        <v>16</v>
      </c>
      <c r="E17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17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74" s="64">
        <v>18</v>
      </c>
      <c r="H174" s="60" t="str">
        <f>_xlfn.CONCAT(Libromaestro[[#This Row],[SIGLAS]],"-",Libromaestro[[#This Row],[T. DOC]],"-",Libromaestro[[#This Row],[CONSECUTIVO]])</f>
        <v>L-FT-18</v>
      </c>
      <c r="I174" s="73" t="s">
        <v>248</v>
      </c>
      <c r="J174" s="64">
        <v>1</v>
      </c>
      <c r="K174" s="64" t="str">
        <f>_xlfn.XLOOKUP(Libromaestro[[#This Row],[CODIGO DEL DOCUMENTO]],Arreglo_Binaps[Codigo Documento],Arreglo_Binaps[Estado],"No creado",0)</f>
        <v>No creado</v>
      </c>
      <c r="L174" s="66" t="str">
        <f>_xlfn.XLOOKUP(Libromaestro[[#This Row],[CODIGO DEL DOCUMENTO]],Arreglo_Binaps[Codigo Documento],Arreglo_Binaps[Fecha de creación],"",0,1)</f>
        <v/>
      </c>
      <c r="M174" s="66"/>
      <c r="N174"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74"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74" s="67" t="str">
        <f>_xlfn.LET(_xlpm.resultado,_xlfn.XLOOKUP(Libromaestro[[#This Row],[CODIGO DEL DOCUMENTO]],Arreglo_Binaps[Codigo Documento],Arreglo_Binaps[Fecha_Aprobacion],"",0,1),IF(_xlpm.resultado=0,"",_xlpm.resultado))</f>
        <v/>
      </c>
      <c r="Q174" s="172"/>
      <c r="R174" s="68"/>
      <c r="S174" s="69"/>
      <c r="T174" s="73"/>
    </row>
    <row r="175" spans="1:20" ht="33.75" customHeight="1" x14ac:dyDescent="0.3">
      <c r="A175" s="60" t="str">
        <f>IFERROR(VLOOKUP(Libromaestro[[#This Row],[MACROPROCESO]],Tabla1[],2,FALSE),"")</f>
        <v>Alumbrado Público</v>
      </c>
      <c r="B175" s="73" t="s">
        <v>7</v>
      </c>
      <c r="C175" s="64" t="s">
        <v>15</v>
      </c>
      <c r="D175" s="64" t="s">
        <v>34</v>
      </c>
      <c r="E17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7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175" s="64">
        <v>3</v>
      </c>
      <c r="H175" s="60" t="str">
        <f>_xlfn.CONCAT(Libromaestro[[#This Row],[SIGLAS]],"-",Libromaestro[[#This Row],[T. DOC]],"-",Libromaestro[[#This Row],[CONSECUTIVO]])</f>
        <v>A-PR-3</v>
      </c>
      <c r="I175" s="73" t="s">
        <v>187</v>
      </c>
      <c r="J175" s="64">
        <v>1</v>
      </c>
      <c r="K175" s="64" t="str">
        <f>_xlfn.XLOOKUP(Libromaestro[[#This Row],[CODIGO DEL DOCUMENTO]],Arreglo_Binaps[Codigo Documento],Arreglo_Binaps[Estado],"No creado",0)</f>
        <v>Aprobado</v>
      </c>
      <c r="L175" s="66" t="str">
        <f>_xlfn.XLOOKUP(Libromaestro[[#This Row],[CODIGO DEL DOCUMENTO]],Arreglo_Binaps[Codigo Documento],Arreglo_Binaps[Fecha de creación],"",0,1)</f>
        <v>2023-06-01</v>
      </c>
      <c r="M175" s="66"/>
      <c r="N17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46174</v>
      </c>
      <c r="O17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46174</v>
      </c>
      <c r="P175" s="67">
        <f>_xlfn.LET(_xlpm.resultado,_xlfn.XLOOKUP(Libromaestro[[#This Row],[CODIGO DEL DOCUMENTO]],Arreglo_Binaps[Codigo Documento],Arreglo_Binaps[Fecha_Aprobacion],"",0,1),IF(_xlpm.resultado=0,"",_xlpm.resultado))</f>
        <v>45259</v>
      </c>
      <c r="Q175" s="172"/>
      <c r="R175" s="68"/>
      <c r="S175" s="69" t="s">
        <v>28</v>
      </c>
      <c r="T175" s="73"/>
    </row>
    <row r="176" spans="1:20" ht="33.75" customHeight="1" x14ac:dyDescent="0.3">
      <c r="A176" s="60" t="str">
        <f>IFERROR(VLOOKUP(Libromaestro[[#This Row],[MACROPROCESO]],Tabla1[],2,FALSE),"")</f>
        <v>Corportativa</v>
      </c>
      <c r="B176" s="73" t="s">
        <v>24</v>
      </c>
      <c r="C176" s="64" t="s">
        <v>2252</v>
      </c>
      <c r="D176" s="64" t="s">
        <v>16</v>
      </c>
      <c r="E17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17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76" s="64">
        <v>5</v>
      </c>
      <c r="H176" s="60" t="str">
        <f>_xlfn.CONCAT(Libromaestro[[#This Row],[SIGLAS]],"-",Libromaestro[[#This Row],[T. DOC]],"-",Libromaestro[[#This Row],[CONSECUTIVO]])</f>
        <v>F-FT-5</v>
      </c>
      <c r="I176" s="73" t="s">
        <v>250</v>
      </c>
      <c r="J176" s="64">
        <v>1</v>
      </c>
      <c r="K176" s="64" t="str">
        <f>_xlfn.XLOOKUP(Libromaestro[[#This Row],[CODIGO DEL DOCUMENTO]],Arreglo_Binaps[Codigo Documento],Arreglo_Binaps[Estado],"No creado",0)</f>
        <v>No creado</v>
      </c>
      <c r="L176" s="66" t="str">
        <f>_xlfn.XLOOKUP(Libromaestro[[#This Row],[CODIGO DEL DOCUMENTO]],Arreglo_Binaps[Codigo Documento],Arreglo_Binaps[Fecha de creación],"",0,1)</f>
        <v/>
      </c>
      <c r="M176" s="66"/>
      <c r="N176"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76"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76" s="67" t="str">
        <f>_xlfn.LET(_xlpm.resultado,_xlfn.XLOOKUP(Libromaestro[[#This Row],[CODIGO DEL DOCUMENTO]],Arreglo_Binaps[Codigo Documento],Arreglo_Binaps[Fecha_Aprobacion],"",0,1),IF(_xlpm.resultado=0,"",_xlpm.resultado))</f>
        <v/>
      </c>
      <c r="Q176" s="172"/>
      <c r="R176" s="68"/>
      <c r="S176" s="69"/>
      <c r="T176" s="73"/>
    </row>
    <row r="177" spans="1:20" ht="33.75" customHeight="1" x14ac:dyDescent="0.3">
      <c r="A177" s="60" t="str">
        <f>IFERROR(VLOOKUP(Libromaestro[[#This Row],[MACROPROCESO]],Tabla1[],2,FALSE),"")</f>
        <v>Corportativa</v>
      </c>
      <c r="B177" s="73" t="s">
        <v>24</v>
      </c>
      <c r="C177" s="64" t="s">
        <v>2252</v>
      </c>
      <c r="D177" s="64" t="s">
        <v>34</v>
      </c>
      <c r="E17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17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177" s="64">
        <v>5</v>
      </c>
      <c r="H177" s="60" t="str">
        <f>_xlfn.CONCAT(Libromaestro[[#This Row],[SIGLAS]],"-",Libromaestro[[#This Row],[T. DOC]],"-",Libromaestro[[#This Row],[CONSECUTIVO]])</f>
        <v>F-PR-5</v>
      </c>
      <c r="I177" s="73" t="s">
        <v>251</v>
      </c>
      <c r="J177" s="64">
        <v>1</v>
      </c>
      <c r="K177" s="64" t="str">
        <f>_xlfn.XLOOKUP(Libromaestro[[#This Row],[CODIGO DEL DOCUMENTO]],Arreglo_Binaps[Codigo Documento],Arreglo_Binaps[Estado],"No creado",0)</f>
        <v>No creado</v>
      </c>
      <c r="L177" s="66" t="str">
        <f>_xlfn.XLOOKUP(Libromaestro[[#This Row],[CODIGO DEL DOCUMENTO]],Arreglo_Binaps[Codigo Documento],Arreglo_Binaps[Fecha de creación],"",0,1)</f>
        <v/>
      </c>
      <c r="M177" s="66"/>
      <c r="N177"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77"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77" s="67" t="str">
        <f>_xlfn.LET(_xlpm.resultado,_xlfn.XLOOKUP(Libromaestro[[#This Row],[CODIGO DEL DOCUMENTO]],Arreglo_Binaps[Codigo Documento],Arreglo_Binaps[Fecha_Aprobacion],"",0,1),IF(_xlpm.resultado=0,"",_xlpm.resultado))</f>
        <v/>
      </c>
      <c r="Q177" s="172"/>
      <c r="R177" s="68"/>
      <c r="S177" s="69"/>
      <c r="T177" s="73"/>
    </row>
    <row r="178" spans="1:20" ht="33.75" customHeight="1" x14ac:dyDescent="0.3">
      <c r="A178" s="60" t="str">
        <f>IFERROR(VLOOKUP(Libromaestro[[#This Row],[MACROPROCESO]],Tabla1[],2,FALSE),"")</f>
        <v>Corportativa</v>
      </c>
      <c r="B178" s="73" t="s">
        <v>32</v>
      </c>
      <c r="C178" s="64" t="s">
        <v>51</v>
      </c>
      <c r="D178" s="64" t="s">
        <v>16</v>
      </c>
      <c r="E17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17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78" s="64">
        <v>5</v>
      </c>
      <c r="H178" s="60" t="str">
        <f>_xlfn.CONCAT(Libromaestro[[#This Row],[SIGLAS]],"-",Libromaestro[[#This Row],[T. DOC]],"-",Libromaestro[[#This Row],[CONSECUTIVO]])</f>
        <v>H-FT-5</v>
      </c>
      <c r="I178" s="89" t="s">
        <v>252</v>
      </c>
      <c r="J178" s="64">
        <v>2</v>
      </c>
      <c r="K178" s="64" t="str">
        <f>_xlfn.XLOOKUP(Libromaestro[[#This Row],[CODIGO DEL DOCUMENTO]],Arreglo_Binaps[Codigo Documento],Arreglo_Binaps[Estado],"No creado",0)</f>
        <v>Aprobado</v>
      </c>
      <c r="L178" s="66" t="str">
        <f>_xlfn.XLOOKUP(Libromaestro[[#This Row],[CODIGO DEL DOCUMENTO]],Arreglo_Binaps[Codigo Documento],Arreglo_Binaps[Fecha de creación],"",0,1)</f>
        <v>2023-03-09</v>
      </c>
      <c r="M178" s="66">
        <v>44994</v>
      </c>
      <c r="N17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46090</v>
      </c>
      <c r="O17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46090</v>
      </c>
      <c r="P178" s="67">
        <f>_xlfn.LET(_xlpm.resultado,_xlfn.XLOOKUP(Libromaestro[[#This Row],[CODIGO DEL DOCUMENTO]],Arreglo_Binaps[Codigo Documento],Arreglo_Binaps[Fecha_Aprobacion],"",0,1),IF(_xlpm.resultado=0,"",_xlpm.resultado))</f>
        <v>45512</v>
      </c>
      <c r="Q178" s="172"/>
      <c r="R178" s="68"/>
      <c r="S178" s="69" t="s">
        <v>28</v>
      </c>
      <c r="T178" s="73"/>
    </row>
    <row r="179" spans="1:20" ht="33.75" customHeight="1" x14ac:dyDescent="0.3">
      <c r="A179" s="60" t="str">
        <f>IFERROR(VLOOKUP(Libromaestro[[#This Row],[MACROPROCESO]],Tabla1[],2,FALSE),"")</f>
        <v>Corportativa</v>
      </c>
      <c r="B179" s="73" t="s">
        <v>32</v>
      </c>
      <c r="C179" s="64" t="s">
        <v>57</v>
      </c>
      <c r="D179" s="64" t="s">
        <v>27</v>
      </c>
      <c r="E17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17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79" s="64">
        <v>12</v>
      </c>
      <c r="H179" s="60" t="str">
        <f>_xlfn.CONCAT(Libromaestro[[#This Row],[SIGLAS]],"-",Libromaestro[[#This Row],[T. DOC]],"-",Libromaestro[[#This Row],[CONSECUTIVO]])</f>
        <v>H-IN-12</v>
      </c>
      <c r="I179" s="73" t="s">
        <v>253</v>
      </c>
      <c r="J179" s="64">
        <v>1</v>
      </c>
      <c r="K179" s="64" t="str">
        <f>_xlfn.XLOOKUP(Libromaestro[[#This Row],[CODIGO DEL DOCUMENTO]],Arreglo_Binaps[Codigo Documento],Arreglo_Binaps[Estado],"No creado",0)</f>
        <v>No creado</v>
      </c>
      <c r="L179" s="66" t="str">
        <f>_xlfn.XLOOKUP(Libromaestro[[#This Row],[CODIGO DEL DOCUMENTO]],Arreglo_Binaps[Codigo Documento],Arreglo_Binaps[Fecha de creación],"",0,1)</f>
        <v/>
      </c>
      <c r="M179" s="66"/>
      <c r="N179"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79"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79" s="67" t="str">
        <f>_xlfn.LET(_xlpm.resultado,_xlfn.XLOOKUP(Libromaestro[[#This Row],[CODIGO DEL DOCUMENTO]],Arreglo_Binaps[Codigo Documento],Arreglo_Binaps[Fecha_Aprobacion],"",0,1),IF(_xlpm.resultado=0,"",_xlpm.resultado))</f>
        <v/>
      </c>
      <c r="Q179" s="172"/>
      <c r="R179" s="68"/>
      <c r="S179" s="69"/>
      <c r="T179" s="80"/>
    </row>
    <row r="180" spans="1:20" ht="33.75" customHeight="1" x14ac:dyDescent="0.3">
      <c r="A180" s="60" t="str">
        <f>IFERROR(VLOOKUP(Libromaestro[[#This Row],[MACROPROCESO]],Tabla1[],2,FALSE),"")</f>
        <v>Corportativa</v>
      </c>
      <c r="B180" s="73" t="s">
        <v>32</v>
      </c>
      <c r="C180" s="64" t="s">
        <v>59</v>
      </c>
      <c r="D180" s="64" t="s">
        <v>16</v>
      </c>
      <c r="E18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18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80" s="64">
        <v>33</v>
      </c>
      <c r="H180" s="60" t="str">
        <f>_xlfn.CONCAT(Libromaestro[[#This Row],[SIGLAS]],"-",Libromaestro[[#This Row],[T. DOC]],"-",Libromaestro[[#This Row],[CONSECUTIVO]])</f>
        <v>H-FT-33</v>
      </c>
      <c r="I180" s="73" t="s">
        <v>254</v>
      </c>
      <c r="J180" s="64">
        <v>2</v>
      </c>
      <c r="K180" s="64" t="str">
        <f>_xlfn.XLOOKUP(Libromaestro[[#This Row],[CODIGO DEL DOCUMENTO]],Arreglo_Binaps[Codigo Documento],Arreglo_Binaps[Estado],"No creado",0)</f>
        <v>Aprobado</v>
      </c>
      <c r="L180" s="66" t="str">
        <f>_xlfn.XLOOKUP(Libromaestro[[#This Row],[CODIGO DEL DOCUMENTO]],Arreglo_Binaps[Codigo Documento],Arreglo_Binaps[Fecha de creación],"",0,1)</f>
        <v>2020-01-16</v>
      </c>
      <c r="M180" s="66">
        <v>44947</v>
      </c>
      <c r="N18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46043</v>
      </c>
      <c r="O18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46043</v>
      </c>
      <c r="P180" s="67">
        <f>_xlfn.LET(_xlpm.resultado,_xlfn.XLOOKUP(Libromaestro[[#This Row],[CODIGO DEL DOCUMENTO]],Arreglo_Binaps[Codigo Documento],Arreglo_Binaps[Fecha_Aprobacion],"",0,1),IF(_xlpm.resultado=0,"",_xlpm.resultado))</f>
        <v>43846</v>
      </c>
      <c r="Q180" s="172"/>
      <c r="R180" s="68"/>
      <c r="S180" s="69" t="s">
        <v>17</v>
      </c>
      <c r="T180" s="73"/>
    </row>
    <row r="181" spans="1:20" ht="33.75" customHeight="1" x14ac:dyDescent="0.3">
      <c r="A181" s="60" t="str">
        <f>IFERROR(VLOOKUP(Libromaestro[[#This Row],[MACROPROCESO]],Tabla1[],2,FALSE),"")</f>
        <v>Corportativa</v>
      </c>
      <c r="B181" s="73" t="s">
        <v>32</v>
      </c>
      <c r="C181" s="64" t="s">
        <v>51</v>
      </c>
      <c r="D181" s="64" t="s">
        <v>34</v>
      </c>
      <c r="E18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18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181" s="64">
        <v>5</v>
      </c>
      <c r="H181" s="60" t="str">
        <f>_xlfn.CONCAT(Libromaestro[[#This Row],[SIGLAS]],"-",Libromaestro[[#This Row],[T. DOC]],"-",Libromaestro[[#This Row],[CONSECUTIVO]])</f>
        <v>H-PR-5</v>
      </c>
      <c r="I181" s="186" t="s">
        <v>2516</v>
      </c>
      <c r="J181" s="64">
        <v>1</v>
      </c>
      <c r="K181" s="64" t="str">
        <f>_xlfn.XLOOKUP(Libromaestro[[#This Row],[CODIGO DEL DOCUMENTO]],Arreglo_Binaps[Codigo Documento],Arreglo_Binaps[Estado],"No creado",0)</f>
        <v>No creado</v>
      </c>
      <c r="L181" s="66" t="str">
        <f>_xlfn.XLOOKUP(Libromaestro[[#This Row],[CODIGO DEL DOCUMENTO]],Arreglo_Binaps[Codigo Documento],Arreglo_Binaps[Fecha de creación],"",0,1)</f>
        <v/>
      </c>
      <c r="M181" s="66"/>
      <c r="N181"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81"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81" s="67" t="str">
        <f>_xlfn.LET(_xlpm.resultado,_xlfn.XLOOKUP(Libromaestro[[#This Row],[CODIGO DEL DOCUMENTO]],Arreglo_Binaps[Codigo Documento],Arreglo_Binaps[Fecha_Aprobacion],"",0,1),IF(_xlpm.resultado=0,"",_xlpm.resultado))</f>
        <v/>
      </c>
      <c r="Q181" s="172"/>
      <c r="R181" s="68"/>
      <c r="S181" s="69"/>
      <c r="T181" s="73"/>
    </row>
    <row r="182" spans="1:20" ht="33.75" customHeight="1" x14ac:dyDescent="0.3">
      <c r="A182" s="60" t="str">
        <f>IFERROR(VLOOKUP(Libromaestro[[#This Row],[MACROPROCESO]],Tabla1[],2,FALSE),"")</f>
        <v>Corportativa</v>
      </c>
      <c r="B182" s="73" t="s">
        <v>38</v>
      </c>
      <c r="C182" s="64" t="s">
        <v>39</v>
      </c>
      <c r="D182" s="64" t="s">
        <v>16</v>
      </c>
      <c r="E18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18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82" s="64">
        <v>5</v>
      </c>
      <c r="H182" s="60" t="str">
        <f>_xlfn.CONCAT(Libromaestro[[#This Row],[SIGLAS]],"-",Libromaestro[[#This Row],[T. DOC]],"-",Libromaestro[[#This Row],[CONSECUTIVO]])</f>
        <v>M-FT-5</v>
      </c>
      <c r="I182" s="73" t="s">
        <v>255</v>
      </c>
      <c r="J182" s="64">
        <v>1</v>
      </c>
      <c r="K182" s="64" t="str">
        <f>_xlfn.XLOOKUP(Libromaestro[[#This Row],[CODIGO DEL DOCUMENTO]],Arreglo_Binaps[Codigo Documento],Arreglo_Binaps[Estado],"No creado",0)</f>
        <v>Aprobado</v>
      </c>
      <c r="L182" s="66" t="str">
        <f>_xlfn.XLOOKUP(Libromaestro[[#This Row],[CODIGO DEL DOCUMENTO]],Arreglo_Binaps[Codigo Documento],Arreglo_Binaps[Fecha de creación],"",0,1)</f>
        <v>2025-05-16</v>
      </c>
      <c r="M182" s="66"/>
      <c r="N18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46889</v>
      </c>
      <c r="O18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46889</v>
      </c>
      <c r="P182" s="67">
        <f>_xlfn.LET(_xlpm.resultado,_xlfn.XLOOKUP(Libromaestro[[#This Row],[CODIGO DEL DOCUMENTO]],Arreglo_Binaps[Codigo Documento],Arreglo_Binaps[Fecha_Aprobacion],"",0,1),IF(_xlpm.resultado=0,"",_xlpm.resultado))</f>
        <v>45796</v>
      </c>
      <c r="Q182" s="172"/>
      <c r="R182" s="68"/>
      <c r="S182" s="69"/>
      <c r="T182" s="73"/>
    </row>
    <row r="183" spans="1:20" ht="33.75" customHeight="1" x14ac:dyDescent="0.3">
      <c r="A183" s="60" t="str">
        <f>IFERROR(VLOOKUP(Libromaestro[[#This Row],[MACROPROCESO]],Tabla1[],2,FALSE),"")</f>
        <v>Corportativa</v>
      </c>
      <c r="B183" s="61" t="s">
        <v>38</v>
      </c>
      <c r="C183" s="64" t="s">
        <v>26</v>
      </c>
      <c r="D183" s="64" t="s">
        <v>27</v>
      </c>
      <c r="E18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18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83" s="64">
        <v>5</v>
      </c>
      <c r="H183" s="60" t="str">
        <f>_xlfn.CONCAT(Libromaestro[[#This Row],[SIGLAS]],"-",Libromaestro[[#This Row],[T. DOC]],"-",Libromaestro[[#This Row],[CONSECUTIVO]])</f>
        <v>M-IN-5</v>
      </c>
      <c r="I183" s="73" t="s">
        <v>256</v>
      </c>
      <c r="J183" s="64">
        <v>1</v>
      </c>
      <c r="K183" s="64" t="str">
        <f>_xlfn.XLOOKUP(Libromaestro[[#This Row],[CODIGO DEL DOCUMENTO]],Arreglo_Binaps[Codigo Documento],Arreglo_Binaps[Estado],"No creado",0)</f>
        <v>Aprobado</v>
      </c>
      <c r="L183" s="66" t="str">
        <f>_xlfn.XLOOKUP(Libromaestro[[#This Row],[CODIGO DEL DOCUMENTO]],Arreglo_Binaps[Codigo Documento],Arreglo_Binaps[Fecha de creación],"",0,1)</f>
        <v>2025-12-18</v>
      </c>
      <c r="M183" s="66"/>
      <c r="N18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47105</v>
      </c>
      <c r="O18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47105</v>
      </c>
      <c r="P183" s="67">
        <f>_xlfn.LET(_xlpm.resultado,_xlfn.XLOOKUP(Libromaestro[[#This Row],[CODIGO DEL DOCUMENTO]],Arreglo_Binaps[Codigo Documento],Arreglo_Binaps[Fecha_Aprobacion],"",0,1),IF(_xlpm.resultado=0,"",_xlpm.resultado))</f>
        <v>46083</v>
      </c>
      <c r="Q183" s="172"/>
      <c r="R183" s="68"/>
      <c r="S183" s="69"/>
      <c r="T183" s="73"/>
    </row>
    <row r="184" spans="1:20" ht="33.75" customHeight="1" x14ac:dyDescent="0.3">
      <c r="A184" s="60" t="str">
        <f>IFERROR(VLOOKUP(Libromaestro[[#This Row],[MACROPROCESO]],Tabla1[],2,FALSE),"")</f>
        <v>Corportativa</v>
      </c>
      <c r="B184" s="73" t="s">
        <v>38</v>
      </c>
      <c r="C184" s="64" t="s">
        <v>26</v>
      </c>
      <c r="D184" s="64" t="s">
        <v>31</v>
      </c>
      <c r="E18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184" s="7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184" s="64">
        <v>5</v>
      </c>
      <c r="H184" s="60" t="str">
        <f>_xlfn.CONCAT(Libromaestro[[#This Row],[SIGLAS]],"-",Libromaestro[[#This Row],[T. DOC]],"-",Libromaestro[[#This Row],[CONSECUTIVO]])</f>
        <v>M-MA-5</v>
      </c>
      <c r="I184" s="73" t="s">
        <v>257</v>
      </c>
      <c r="J184" s="64">
        <v>1</v>
      </c>
      <c r="K184" s="64" t="str">
        <f>_xlfn.XLOOKUP(Libromaestro[[#This Row],[CODIGO DEL DOCUMENTO]],Arreglo_Binaps[Codigo Documento],Arreglo_Binaps[Estado],"No creado",0)</f>
        <v>Aprobado</v>
      </c>
      <c r="L184" s="66" t="str">
        <f>_xlfn.XLOOKUP(Libromaestro[[#This Row],[CODIGO DEL DOCUMENTO]],Arreglo_Binaps[Codigo Documento],Arreglo_Binaps[Fecha de creación],"",0,1)</f>
        <v>2024-09-02</v>
      </c>
      <c r="M184" s="66"/>
      <c r="N18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46632</v>
      </c>
      <c r="O18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46632</v>
      </c>
      <c r="P184" s="67">
        <f>_xlfn.LET(_xlpm.resultado,_xlfn.XLOOKUP(Libromaestro[[#This Row],[CODIGO DEL DOCUMENTO]],Arreglo_Binaps[Codigo Documento],Arreglo_Binaps[Fecha_Aprobacion],"",0,1),IF(_xlpm.resultado=0,"",_xlpm.resultado))</f>
        <v>45554</v>
      </c>
      <c r="Q184" s="172"/>
      <c r="R184" s="68"/>
      <c r="S184" s="69" t="s">
        <v>28</v>
      </c>
      <c r="T184" s="73"/>
    </row>
    <row r="185" spans="1:20" ht="33.75" customHeight="1" x14ac:dyDescent="0.3">
      <c r="A185" s="60" t="str">
        <f>IFERROR(VLOOKUP(Libromaestro[[#This Row],[MACROPROCESO]],Tabla1[],2,FALSE),"")</f>
        <v>Suministros</v>
      </c>
      <c r="B185" s="73" t="s">
        <v>45</v>
      </c>
      <c r="C185" s="64" t="s">
        <v>30</v>
      </c>
      <c r="D185" s="64" t="s">
        <v>16</v>
      </c>
      <c r="E18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18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85" s="76">
        <v>21</v>
      </c>
      <c r="H185" s="60" t="str">
        <f>_xlfn.CONCAT(Libromaestro[[#This Row],[SIGLAS]],"-",Libromaestro[[#This Row],[T. DOC]],"-",Libromaestro[[#This Row],[CONSECUTIVO]])</f>
        <v>S-FT-21</v>
      </c>
      <c r="I185" s="73" t="s">
        <v>447</v>
      </c>
      <c r="J185" s="64">
        <v>1</v>
      </c>
      <c r="K185" s="64" t="str">
        <f>_xlfn.XLOOKUP(Libromaestro[[#This Row],[CODIGO DEL DOCUMENTO]],Arreglo_Binaps[Codigo Documento],Arreglo_Binaps[Estado],"No creado",0)</f>
        <v>Aprobado</v>
      </c>
      <c r="L185" s="66" t="str">
        <f>_xlfn.XLOOKUP(Libromaestro[[#This Row],[CODIGO DEL DOCUMENTO]],Arreglo_Binaps[Codigo Documento],Arreglo_Binaps[Fecha de creación],"",0,1)</f>
        <v>2025-07-24</v>
      </c>
      <c r="M185" s="66">
        <v>45723</v>
      </c>
      <c r="N18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46819</v>
      </c>
      <c r="O18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46819</v>
      </c>
      <c r="P185" s="67">
        <f>_xlfn.LET(_xlpm.resultado,_xlfn.XLOOKUP(Libromaestro[[#This Row],[CODIGO DEL DOCUMENTO]],Arreglo_Binaps[Codigo Documento],Arreglo_Binaps[Fecha_Aprobacion],"",0,1),IF(_xlpm.resultado=0,"",_xlpm.resultado))</f>
        <v>45882</v>
      </c>
      <c r="Q185" s="177"/>
      <c r="R185" s="69"/>
      <c r="S185" s="85"/>
      <c r="T185" s="79"/>
    </row>
    <row r="186" spans="1:20" ht="33.75" customHeight="1" x14ac:dyDescent="0.3">
      <c r="A186" s="60" t="str">
        <f>IFERROR(VLOOKUP(Libromaestro[[#This Row],[MACROPROCESO]],Tabla1[],2,FALSE),"")</f>
        <v>Suministros</v>
      </c>
      <c r="B186" s="73" t="s">
        <v>45</v>
      </c>
      <c r="C186" s="64" t="s">
        <v>30</v>
      </c>
      <c r="D186" s="64" t="s">
        <v>16</v>
      </c>
      <c r="E18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18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86" s="76">
        <v>22</v>
      </c>
      <c r="H186" s="60" t="str">
        <f>_xlfn.CONCAT(Libromaestro[[#This Row],[SIGLAS]],"-",Libromaestro[[#This Row],[T. DOC]],"-",Libromaestro[[#This Row],[CONSECUTIVO]])</f>
        <v>S-FT-22</v>
      </c>
      <c r="I186" s="73" t="s">
        <v>454</v>
      </c>
      <c r="J186" s="64">
        <v>3</v>
      </c>
      <c r="K186" s="64" t="str">
        <f>_xlfn.XLOOKUP(Libromaestro[[#This Row],[CODIGO DEL DOCUMENTO]],Arreglo_Binaps[Codigo Documento],Arreglo_Binaps[Estado],"No creado",0)</f>
        <v>Aprobado</v>
      </c>
      <c r="L186" s="66" t="str">
        <f>_xlfn.XLOOKUP(Libromaestro[[#This Row],[CODIGO DEL DOCUMENTO]],Arreglo_Binaps[Codigo Documento],Arreglo_Binaps[Fecha de creación],"",0,1)</f>
        <v>2024-08-29</v>
      </c>
      <c r="M186" s="66">
        <v>45859</v>
      </c>
      <c r="N18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46955</v>
      </c>
      <c r="O18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46955</v>
      </c>
      <c r="P186" s="67">
        <f>_xlfn.LET(_xlpm.resultado,_xlfn.XLOOKUP(Libromaestro[[#This Row],[CODIGO DEL DOCUMENTO]],Arreglo_Binaps[Codigo Documento],Arreglo_Binaps[Fecha_Aprobacion],"",0,1),IF(_xlpm.resultado=0,"",_xlpm.resultado))</f>
        <v>46218</v>
      </c>
      <c r="Q186" s="177"/>
      <c r="R186" s="69"/>
      <c r="S186" s="85"/>
      <c r="T186" s="79"/>
    </row>
    <row r="187" spans="1:20" ht="33.75" customHeight="1" x14ac:dyDescent="0.3">
      <c r="A187" s="60" t="str">
        <f>IFERROR(VLOOKUP(Libromaestro[[#This Row],[MACROPROCESO]],Tabla1[],2,FALSE),"")</f>
        <v>Suministros</v>
      </c>
      <c r="B187" s="73" t="s">
        <v>45</v>
      </c>
      <c r="C187" s="64" t="s">
        <v>63</v>
      </c>
      <c r="D187" s="64" t="s">
        <v>16</v>
      </c>
      <c r="E18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18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87" s="76">
        <v>23</v>
      </c>
      <c r="H187" s="60" t="str">
        <f>_xlfn.CONCAT(Libromaestro[[#This Row],[SIGLAS]],"-",Libromaestro[[#This Row],[T. DOC]],"-",Libromaestro[[#This Row],[CONSECUTIVO]])</f>
        <v>S-FT-23</v>
      </c>
      <c r="I187" s="73" t="s">
        <v>460</v>
      </c>
      <c r="J187" s="64">
        <v>1</v>
      </c>
      <c r="K187" s="64" t="str">
        <f>_xlfn.XLOOKUP(Libromaestro[[#This Row],[CODIGO DEL DOCUMENTO]],Arreglo_Binaps[Codigo Documento],Arreglo_Binaps[Estado],"No creado",0)</f>
        <v>Aprobado</v>
      </c>
      <c r="L187" s="66" t="str">
        <f>_xlfn.XLOOKUP(Libromaestro[[#This Row],[CODIGO DEL DOCUMENTO]],Arreglo_Binaps[Codigo Documento],Arreglo_Binaps[Fecha de creación],"",0,1)</f>
        <v>2023-08-20</v>
      </c>
      <c r="M187" s="66"/>
      <c r="N18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46254</v>
      </c>
      <c r="O18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46254</v>
      </c>
      <c r="P187" s="67">
        <f>_xlfn.LET(_xlpm.resultado,_xlfn.XLOOKUP(Libromaestro[[#This Row],[CODIGO DEL DOCUMENTO]],Arreglo_Binaps[Codigo Documento],Arreglo_Binaps[Fecha_Aprobacion],"",0,1),IF(_xlpm.resultado=0,"",_xlpm.resultado))</f>
        <v>45351</v>
      </c>
      <c r="Q187" s="177"/>
      <c r="R187" s="69"/>
      <c r="S187" s="85" t="s">
        <v>23</v>
      </c>
      <c r="T187" s="79"/>
    </row>
    <row r="188" spans="1:20" ht="33.75" customHeight="1" x14ac:dyDescent="0.3">
      <c r="A188" s="60" t="str">
        <f>IFERROR(VLOOKUP(Libromaestro[[#This Row],[MACROPROCESO]],Tabla1[],2,FALSE),"")</f>
        <v>Corporativa</v>
      </c>
      <c r="B188" s="61" t="s">
        <v>13</v>
      </c>
      <c r="C188" s="64" t="s">
        <v>62</v>
      </c>
      <c r="D188" s="64" t="s">
        <v>16</v>
      </c>
      <c r="E18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18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88" s="64">
        <v>6</v>
      </c>
      <c r="H188" s="60" t="str">
        <f>_xlfn.CONCAT(Libromaestro[[#This Row],[SIGLAS]],"-",Libromaestro[[#This Row],[T. DOC]],"-",Libromaestro[[#This Row],[CONSECUTIVO]])</f>
        <v>D-FT-6</v>
      </c>
      <c r="I188" s="73" t="s">
        <v>261</v>
      </c>
      <c r="J188" s="64">
        <v>1</v>
      </c>
      <c r="K188" s="64" t="str">
        <f>_xlfn.XLOOKUP(Libromaestro[[#This Row],[CODIGO DEL DOCUMENTO]],Arreglo_Binaps[Codigo Documento],Arreglo_Binaps[Estado],"No creado",0)</f>
        <v>Aprobado</v>
      </c>
      <c r="L188" s="66" t="str">
        <f>_xlfn.XLOOKUP(Libromaestro[[#This Row],[CODIGO DEL DOCUMENTO]],Arreglo_Binaps[Codigo Documento],Arreglo_Binaps[Fecha de creación],"",0,1)</f>
        <v>2020-12-24</v>
      </c>
      <c r="M188" s="66"/>
      <c r="N18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45284</v>
      </c>
      <c r="O18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45284</v>
      </c>
      <c r="P188" s="67">
        <f>_xlfn.LET(_xlpm.resultado,_xlfn.XLOOKUP(Libromaestro[[#This Row],[CODIGO DEL DOCUMENTO]],Arreglo_Binaps[Codigo Documento],Arreglo_Binaps[Fecha_Aprobacion],"",0,1),IF(_xlpm.resultado=0,"",_xlpm.resultado))</f>
        <v>44189</v>
      </c>
      <c r="Q188" s="172"/>
      <c r="R188" s="68"/>
      <c r="S188" s="69" t="s">
        <v>23</v>
      </c>
      <c r="T188" s="73"/>
    </row>
    <row r="189" spans="1:20" ht="33.75" customHeight="1" x14ac:dyDescent="0.3">
      <c r="A189" s="60" t="str">
        <f>IFERROR(VLOOKUP(Libromaestro[[#This Row],[MACROPROCESO]],Tabla1[],2,FALSE),"")</f>
        <v>Alumbrado Público</v>
      </c>
      <c r="B189" s="70" t="s">
        <v>7</v>
      </c>
      <c r="C189" s="60" t="s">
        <v>9</v>
      </c>
      <c r="D189" s="60" t="s">
        <v>34</v>
      </c>
      <c r="E189"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89"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189" s="60">
        <v>6</v>
      </c>
      <c r="H189" s="60" t="str">
        <f>_xlfn.CONCAT(Libromaestro[[#This Row],[SIGLAS]],"-",Libromaestro[[#This Row],[T. DOC]],"-",Libromaestro[[#This Row],[CONSECUTIVO]])</f>
        <v>A-PR-6</v>
      </c>
      <c r="I189" s="70" t="s">
        <v>267</v>
      </c>
      <c r="J189" s="60">
        <v>1</v>
      </c>
      <c r="K189" s="64" t="str">
        <f>_xlfn.XLOOKUP(Libromaestro[[#This Row],[CODIGO DEL DOCUMENTO]],Arreglo_Binaps[Codigo Documento],Arreglo_Binaps[Estado],"No creado",0)</f>
        <v>Aprobado</v>
      </c>
      <c r="L189" s="66" t="str">
        <f>_xlfn.XLOOKUP(Libromaestro[[#This Row],[CODIGO DEL DOCUMENTO]],Arreglo_Binaps[Codigo Documento],Arreglo_Binaps[Fecha de creación],"",0,1)</f>
        <v>2024-01-10</v>
      </c>
      <c r="M189" s="66"/>
      <c r="N18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46397</v>
      </c>
      <c r="O18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46397</v>
      </c>
      <c r="P189" s="67">
        <f>_xlfn.LET(_xlpm.resultado,_xlfn.XLOOKUP(Libromaestro[[#This Row],[CODIGO DEL DOCUMENTO]],Arreglo_Binaps[Codigo Documento],Arreglo_Binaps[Fecha_Aprobacion],"",0,1),IF(_xlpm.resultado=0,"",_xlpm.resultado))</f>
        <v>45390</v>
      </c>
      <c r="Q189" s="172"/>
      <c r="R189" s="68"/>
      <c r="S189" s="69" t="s">
        <v>28</v>
      </c>
      <c r="T189" s="70"/>
    </row>
    <row r="190" spans="1:20" ht="33.75" customHeight="1" x14ac:dyDescent="0.3">
      <c r="A190" s="60" t="str">
        <f>IFERROR(VLOOKUP(Libromaestro[[#This Row],[MACROPROCESO]],Tabla1[],2,FALSE),"")</f>
        <v>Alumbrado Público</v>
      </c>
      <c r="B190" s="70" t="s">
        <v>7</v>
      </c>
      <c r="C190" s="60" t="s">
        <v>15</v>
      </c>
      <c r="D190" s="60" t="s">
        <v>16</v>
      </c>
      <c r="E190"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90"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90" s="60">
        <v>6</v>
      </c>
      <c r="H190" s="60" t="str">
        <f>_xlfn.CONCAT(Libromaestro[[#This Row],[SIGLAS]],"-",Libromaestro[[#This Row],[T. DOC]],"-",Libromaestro[[#This Row],[CONSECUTIVO]])</f>
        <v>A-FT-6</v>
      </c>
      <c r="I190" s="70" t="s">
        <v>263</v>
      </c>
      <c r="J190" s="60">
        <v>1</v>
      </c>
      <c r="K190" s="64" t="str">
        <f>_xlfn.XLOOKUP(Libromaestro[[#This Row],[CODIGO DEL DOCUMENTO]],Arreglo_Binaps[Codigo Documento],Arreglo_Binaps[Estado],"No creado",0)</f>
        <v>Aprobado</v>
      </c>
      <c r="L190" s="66" t="str">
        <f>_xlfn.XLOOKUP(Libromaestro[[#This Row],[CODIGO DEL DOCUMENTO]],Arreglo_Binaps[Codigo Documento],Arreglo_Binaps[Fecha de creación],"",0,1)</f>
        <v>2024-01-10</v>
      </c>
      <c r="M190" s="66"/>
      <c r="N19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46397</v>
      </c>
      <c r="O19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46397</v>
      </c>
      <c r="P190" s="67">
        <f>_xlfn.LET(_xlpm.resultado,_xlfn.XLOOKUP(Libromaestro[[#This Row],[CODIGO DEL DOCUMENTO]],Arreglo_Binaps[Codigo Documento],Arreglo_Binaps[Fecha_Aprobacion],"",0,1),IF(_xlpm.resultado=0,"",_xlpm.resultado))</f>
        <v>45414</v>
      </c>
      <c r="Q190" s="172"/>
      <c r="R190" s="68"/>
      <c r="S190" s="69" t="s">
        <v>28</v>
      </c>
      <c r="T190" s="70" t="s">
        <v>90</v>
      </c>
    </row>
    <row r="191" spans="1:20" ht="33.75" customHeight="1" x14ac:dyDescent="0.3">
      <c r="A191" s="60" t="str">
        <f>IFERROR(VLOOKUP(Libromaestro[[#This Row],[MACROPROCESO]],Tabla1[],2,FALSE),"")</f>
        <v>Alumbrado Público</v>
      </c>
      <c r="B191" s="70" t="s">
        <v>7</v>
      </c>
      <c r="C191" s="60" t="s">
        <v>9</v>
      </c>
      <c r="D191" s="60" t="s">
        <v>22</v>
      </c>
      <c r="E191"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91"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191" s="60">
        <v>6</v>
      </c>
      <c r="H191" s="60" t="str">
        <f>_xlfn.CONCAT(Libromaestro[[#This Row],[SIGLAS]],"-",Libromaestro[[#This Row],[T. DOC]],"-",Libromaestro[[#This Row],[CONSECUTIVO]])</f>
        <v>A-GU-6</v>
      </c>
      <c r="I191" s="70" t="s">
        <v>264</v>
      </c>
      <c r="J191" s="60">
        <v>1</v>
      </c>
      <c r="K191" s="64" t="str">
        <f>_xlfn.XLOOKUP(Libromaestro[[#This Row],[CODIGO DEL DOCUMENTO]],Arreglo_Binaps[Codigo Documento],Arreglo_Binaps[Estado],"No creado",0)</f>
        <v>Aprobado</v>
      </c>
      <c r="L191" s="66" t="str">
        <f>_xlfn.XLOOKUP(Libromaestro[[#This Row],[CODIGO DEL DOCUMENTO]],Arreglo_Binaps[Codigo Documento],Arreglo_Binaps[Fecha de creación],"",0,1)</f>
        <v>2023-05-26</v>
      </c>
      <c r="M191" s="66"/>
      <c r="N19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46168</v>
      </c>
      <c r="O19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46168</v>
      </c>
      <c r="P191" s="67">
        <f>_xlfn.LET(_xlpm.resultado,_xlfn.XLOOKUP(Libromaestro[[#This Row],[CODIGO DEL DOCUMENTO]],Arreglo_Binaps[Codigo Documento],Arreglo_Binaps[Fecha_Aprobacion],"",0,1),IF(_xlpm.resultado=0,"",_xlpm.resultado))</f>
        <v>45072</v>
      </c>
      <c r="Q191" s="172"/>
      <c r="R191" s="68"/>
      <c r="S191" s="69" t="s">
        <v>28</v>
      </c>
      <c r="T191" s="70"/>
    </row>
    <row r="192" spans="1:20" ht="33.75" customHeight="1" x14ac:dyDescent="0.3">
      <c r="A192" s="60" t="str">
        <f>IFERROR(VLOOKUP(Libromaestro[[#This Row],[MACROPROCESO]],Tabla1[],2,FALSE),"")</f>
        <v>Alumbrado Público</v>
      </c>
      <c r="B192" s="70" t="s">
        <v>7</v>
      </c>
      <c r="C192" s="60" t="s">
        <v>52</v>
      </c>
      <c r="D192" s="60" t="s">
        <v>27</v>
      </c>
      <c r="E192"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92"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92" s="60">
        <v>6</v>
      </c>
      <c r="H192" s="60" t="str">
        <f>_xlfn.CONCAT(Libromaestro[[#This Row],[SIGLAS]],"-",Libromaestro[[#This Row],[T. DOC]],"-",Libromaestro[[#This Row],[CONSECUTIVO]])</f>
        <v>A-IN-6</v>
      </c>
      <c r="I192" s="70" t="s">
        <v>265</v>
      </c>
      <c r="J192" s="60">
        <v>1</v>
      </c>
      <c r="K192" s="64" t="str">
        <f>_xlfn.XLOOKUP(Libromaestro[[#This Row],[CODIGO DEL DOCUMENTO]],Arreglo_Binaps[Codigo Documento],Arreglo_Binaps[Estado],"No creado",0)</f>
        <v>Aprobado</v>
      </c>
      <c r="L192" s="66" t="str">
        <f>_xlfn.XLOOKUP(Libromaestro[[#This Row],[CODIGO DEL DOCUMENTO]],Arreglo_Binaps[Codigo Documento],Arreglo_Binaps[Fecha de creación],"",0,1)</f>
        <v>2024-09-25</v>
      </c>
      <c r="M192" s="66"/>
      <c r="N19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46655</v>
      </c>
      <c r="O19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46655</v>
      </c>
      <c r="P192" s="67">
        <f>_xlfn.LET(_xlpm.resultado,_xlfn.XLOOKUP(Libromaestro[[#This Row],[CODIGO DEL DOCUMENTO]],Arreglo_Binaps[Codigo Documento],Arreglo_Binaps[Fecha_Aprobacion],"",0,1),IF(_xlpm.resultado=0,"",_xlpm.resultado))</f>
        <v>45589</v>
      </c>
      <c r="Q192" s="172"/>
      <c r="R192" s="68"/>
      <c r="S192" s="69"/>
      <c r="T192" s="70"/>
    </row>
    <row r="193" spans="1:20" ht="33.75" customHeight="1" x14ac:dyDescent="0.3">
      <c r="A193" s="60" t="str">
        <f>IFERROR(VLOOKUP(Libromaestro[[#This Row],[MACROPROCESO]],Tabla1[],2,FALSE),"")</f>
        <v>Alumbrado Público</v>
      </c>
      <c r="B193" s="70" t="s">
        <v>7</v>
      </c>
      <c r="C193" s="60" t="s">
        <v>61</v>
      </c>
      <c r="D193" s="60" t="s">
        <v>31</v>
      </c>
      <c r="E193"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93"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193" s="60">
        <v>6</v>
      </c>
      <c r="H193" s="60" t="str">
        <f>_xlfn.CONCAT(Libromaestro[[#This Row],[SIGLAS]],"-",Libromaestro[[#This Row],[T. DOC]],"-",Libromaestro[[#This Row],[CONSECUTIVO]])</f>
        <v>A-MA-6</v>
      </c>
      <c r="I193" s="70" t="s">
        <v>266</v>
      </c>
      <c r="J193" s="60">
        <v>1</v>
      </c>
      <c r="K193" s="64" t="str">
        <f>_xlfn.XLOOKUP(Libromaestro[[#This Row],[CODIGO DEL DOCUMENTO]],Arreglo_Binaps[Codigo Documento],Arreglo_Binaps[Estado],"No creado",0)</f>
        <v>Aprobado</v>
      </c>
      <c r="L193" s="66" t="str">
        <f>_xlfn.XLOOKUP(Libromaestro[[#This Row],[CODIGO DEL DOCUMENTO]],Arreglo_Binaps[Codigo Documento],Arreglo_Binaps[Fecha de creación],"",0,1)</f>
        <v>2025-06-26</v>
      </c>
      <c r="M193" s="66">
        <v>45834</v>
      </c>
      <c r="N19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46930</v>
      </c>
      <c r="O19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46930</v>
      </c>
      <c r="P193" s="67">
        <f>_xlfn.LET(_xlpm.resultado,_xlfn.XLOOKUP(Libromaestro[[#This Row],[CODIGO DEL DOCUMENTO]],Arreglo_Binaps[Codigo Documento],Arreglo_Binaps[Fecha_Aprobacion],"",0,1),IF(_xlpm.resultado=0,"",_xlpm.resultado))</f>
        <v>46154</v>
      </c>
      <c r="Q193" s="172"/>
      <c r="R193" s="68"/>
      <c r="S193" s="69"/>
      <c r="T193" s="70"/>
    </row>
    <row r="194" spans="1:20" ht="33.75" customHeight="1" x14ac:dyDescent="0.3">
      <c r="A194" s="60" t="str">
        <f>IFERROR(VLOOKUP(Libromaestro[[#This Row],[MACROPROCESO]],Tabla1[],2,FALSE),"")</f>
        <v>Alumbrado Público</v>
      </c>
      <c r="B194" s="70" t="s">
        <v>7</v>
      </c>
      <c r="C194" s="60" t="s">
        <v>53</v>
      </c>
      <c r="D194" s="60" t="s">
        <v>34</v>
      </c>
      <c r="E194"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194"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194" s="60">
        <v>7</v>
      </c>
      <c r="H194" s="60" t="str">
        <f>_xlfn.CONCAT(Libromaestro[[#This Row],[SIGLAS]],"-",Libromaestro[[#This Row],[T. DOC]],"-",Libromaestro[[#This Row],[CONSECUTIVO]])</f>
        <v>A-PR-7</v>
      </c>
      <c r="I194" s="70" t="s">
        <v>289</v>
      </c>
      <c r="J194" s="60">
        <v>1</v>
      </c>
      <c r="K194" s="64" t="str">
        <f>_xlfn.XLOOKUP(Libromaestro[[#This Row],[CODIGO DEL DOCUMENTO]],Arreglo_Binaps[Codigo Documento],Arreglo_Binaps[Estado],"No creado",0)</f>
        <v>Aprobado</v>
      </c>
      <c r="L194" s="66" t="str">
        <f>_xlfn.XLOOKUP(Libromaestro[[#This Row],[CODIGO DEL DOCUMENTO]],Arreglo_Binaps[Codigo Documento],Arreglo_Binaps[Fecha de creación],"",0,1)</f>
        <v>2023-11-14</v>
      </c>
      <c r="M194" s="66"/>
      <c r="N19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46340</v>
      </c>
      <c r="O19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46340</v>
      </c>
      <c r="P194" s="67">
        <f>_xlfn.LET(_xlpm.resultado,_xlfn.XLOOKUP(Libromaestro[[#This Row],[CODIGO DEL DOCUMENTO]],Arreglo_Binaps[Codigo Documento],Arreglo_Binaps[Fecha_Aprobacion],"",0,1),IF(_xlpm.resultado=0,"",_xlpm.resultado))</f>
        <v>45390</v>
      </c>
      <c r="Q194" s="172"/>
      <c r="R194" s="68"/>
      <c r="S194" s="69" t="s">
        <v>28</v>
      </c>
      <c r="T194" s="70"/>
    </row>
    <row r="195" spans="1:20" ht="33.75" customHeight="1" x14ac:dyDescent="0.3">
      <c r="A195" s="60" t="str">
        <f>IFERROR(VLOOKUP(Libromaestro[[#This Row],[MACROPROCESO]],Tabla1[],2,FALSE),"")</f>
        <v>Corportativa</v>
      </c>
      <c r="B195" s="70" t="s">
        <v>49</v>
      </c>
      <c r="C195" s="64" t="s">
        <v>2254</v>
      </c>
      <c r="D195" s="60" t="s">
        <v>16</v>
      </c>
      <c r="E195"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195"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95" s="60">
        <v>6</v>
      </c>
      <c r="H195" s="60" t="str">
        <f>_xlfn.CONCAT(Libromaestro[[#This Row],[SIGLAS]],"-",Libromaestro[[#This Row],[T. DOC]],"-",Libromaestro[[#This Row],[CONSECUTIVO]])</f>
        <v>T-FT-6</v>
      </c>
      <c r="I195" s="99" t="s">
        <v>268</v>
      </c>
      <c r="J195" s="60">
        <v>2</v>
      </c>
      <c r="K195" s="64" t="str">
        <f>_xlfn.XLOOKUP(Libromaestro[[#This Row],[CODIGO DEL DOCUMENTO]],Arreglo_Binaps[Codigo Documento],Arreglo_Binaps[Estado],"No creado",0)</f>
        <v>Aprobado</v>
      </c>
      <c r="L195" s="66" t="str">
        <f>_xlfn.XLOOKUP(Libromaestro[[#This Row],[CODIGO DEL DOCUMENTO]],Arreglo_Binaps[Codigo Documento],Arreglo_Binaps[Fecha de creación],"",0,1)</f>
        <v>2024-02-26</v>
      </c>
      <c r="M195" s="66">
        <v>45348</v>
      </c>
      <c r="N19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46444</v>
      </c>
      <c r="O19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46444</v>
      </c>
      <c r="P195" s="67">
        <f>_xlfn.LET(_xlpm.resultado,_xlfn.XLOOKUP(Libromaestro[[#This Row],[CODIGO DEL DOCUMENTO]],Arreglo_Binaps[Codigo Documento],Arreglo_Binaps[Fecha_Aprobacion],"",0,1),IF(_xlpm.resultado=0,"",_xlpm.resultado))</f>
        <v>45630</v>
      </c>
      <c r="Q195" s="177"/>
      <c r="R195" s="69"/>
      <c r="S195" s="85" t="s">
        <v>23</v>
      </c>
      <c r="T195" s="86"/>
    </row>
    <row r="196" spans="1:20" ht="33.75" customHeight="1" x14ac:dyDescent="0.3">
      <c r="A196" s="60" t="str">
        <f>IFERROR(VLOOKUP(Libromaestro[[#This Row],[MACROPROCESO]],Tabla1[],2,FALSE),"")</f>
        <v>Corportativa</v>
      </c>
      <c r="B196" s="70" t="s">
        <v>49</v>
      </c>
      <c r="C196" s="64" t="s">
        <v>2254</v>
      </c>
      <c r="D196" s="60" t="s">
        <v>27</v>
      </c>
      <c r="E196"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196"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96" s="60">
        <v>2</v>
      </c>
      <c r="H196" s="60" t="str">
        <f>_xlfn.CONCAT(Libromaestro[[#This Row],[SIGLAS]],"-",Libromaestro[[#This Row],[T. DOC]],"-",Libromaestro[[#This Row],[CONSECUTIVO]])</f>
        <v>T-IN-2</v>
      </c>
      <c r="I196" s="70" t="s">
        <v>269</v>
      </c>
      <c r="J196" s="60">
        <v>1</v>
      </c>
      <c r="K196" s="64" t="str">
        <f>_xlfn.XLOOKUP(Libromaestro[[#This Row],[CODIGO DEL DOCUMENTO]],Arreglo_Binaps[Codigo Documento],Arreglo_Binaps[Estado],"No creado",0)</f>
        <v>Aprobado</v>
      </c>
      <c r="L196" s="66" t="str">
        <f>_xlfn.XLOOKUP(Libromaestro[[#This Row],[CODIGO DEL DOCUMENTO]],Arreglo_Binaps[Codigo Documento],Arreglo_Binaps[Fecha de creación],"",0,1)</f>
        <v>2023-11-27</v>
      </c>
      <c r="M196" s="66"/>
      <c r="N19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46353</v>
      </c>
      <c r="O19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46353</v>
      </c>
      <c r="P196" s="67">
        <f>_xlfn.LET(_xlpm.resultado,_xlfn.XLOOKUP(Libromaestro[[#This Row],[CODIGO DEL DOCUMENTO]],Arreglo_Binaps[Codigo Documento],Arreglo_Binaps[Fecha_Aprobacion],"",0,1),IF(_xlpm.resultado=0,"",_xlpm.resultado))</f>
        <v>45359</v>
      </c>
      <c r="Q196" s="172"/>
      <c r="R196" s="68"/>
      <c r="S196" s="69"/>
      <c r="T196" s="70"/>
    </row>
    <row r="197" spans="1:20" ht="33.75" customHeight="1" x14ac:dyDescent="0.3">
      <c r="A197" s="60" t="str">
        <f>IFERROR(VLOOKUP(Libromaestro[[#This Row],[MACROPROCESO]],Tabla1[],2,FALSE),"")</f>
        <v>Corportativa</v>
      </c>
      <c r="B197" s="70" t="s">
        <v>49</v>
      </c>
      <c r="C197" s="64" t="s">
        <v>2254</v>
      </c>
      <c r="D197" s="60" t="s">
        <v>27</v>
      </c>
      <c r="E197"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197"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197" s="60">
        <v>3</v>
      </c>
      <c r="H197" s="60" t="str">
        <f>_xlfn.CONCAT(Libromaestro[[#This Row],[SIGLAS]],"-",Libromaestro[[#This Row],[T. DOC]],"-",Libromaestro[[#This Row],[CONSECUTIVO]])</f>
        <v>T-IN-3</v>
      </c>
      <c r="I197" s="70" t="s">
        <v>270</v>
      </c>
      <c r="J197" s="60">
        <v>1</v>
      </c>
      <c r="K197" s="64" t="str">
        <f>_xlfn.XLOOKUP(Libromaestro[[#This Row],[CODIGO DEL DOCUMENTO]],Arreglo_Binaps[Codigo Documento],Arreglo_Binaps[Estado],"No creado",0)</f>
        <v>En aprobacion</v>
      </c>
      <c r="L197" s="66" t="str">
        <f>_xlfn.XLOOKUP(Libromaestro[[#This Row],[CODIGO DEL DOCUMENTO]],Arreglo_Binaps[Codigo Documento],Arreglo_Binaps[Fecha de creación],"",0,1)</f>
        <v>2024-08-13</v>
      </c>
      <c r="M197" s="66"/>
      <c r="N19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46612</v>
      </c>
      <c r="O19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46612</v>
      </c>
      <c r="P197" s="67">
        <f>_xlfn.LET(_xlpm.resultado,_xlfn.XLOOKUP(Libromaestro[[#This Row],[CODIGO DEL DOCUMENTO]],Arreglo_Binaps[Codigo Documento],Arreglo_Binaps[Fecha_Aprobacion],"",0,1),IF(_xlpm.resultado=0,"",_xlpm.resultado))</f>
        <v>45882</v>
      </c>
      <c r="Q197" s="172"/>
      <c r="R197" s="68"/>
      <c r="S197" s="69"/>
      <c r="T197" s="70"/>
    </row>
    <row r="198" spans="1:20" ht="33.75" customHeight="1" x14ac:dyDescent="0.3">
      <c r="A198" s="60" t="str">
        <f>IFERROR(VLOOKUP(Libromaestro[[#This Row],[MACROPROCESO]],Tabla1[],2,FALSE),"")</f>
        <v>Electroingeniería</v>
      </c>
      <c r="B198" s="73" t="s">
        <v>29</v>
      </c>
      <c r="C198" s="64" t="s">
        <v>2255</v>
      </c>
      <c r="D198" s="64" t="s">
        <v>16</v>
      </c>
      <c r="E19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19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98" s="64">
        <v>6</v>
      </c>
      <c r="H198" s="60" t="str">
        <f>_xlfn.CONCAT(Libromaestro[[#This Row],[SIGLAS]],"-",Libromaestro[[#This Row],[T. DOC]],"-",Libromaestro[[#This Row],[CONSECUTIVO]])</f>
        <v>L-FT-6</v>
      </c>
      <c r="I198" s="73" t="s">
        <v>271</v>
      </c>
      <c r="J198" s="64">
        <v>1</v>
      </c>
      <c r="K198" s="64" t="str">
        <f>_xlfn.XLOOKUP(Libromaestro[[#This Row],[CODIGO DEL DOCUMENTO]],Arreglo_Binaps[Codigo Documento],Arreglo_Binaps[Estado],"No creado",0)</f>
        <v>Aprobado</v>
      </c>
      <c r="L198" s="66" t="str">
        <f>_xlfn.XLOOKUP(Libromaestro[[#This Row],[CODIGO DEL DOCUMENTO]],Arreglo_Binaps[Codigo Documento],Arreglo_Binaps[Fecha de creación],"",0,1)</f>
        <v>2023-11-16</v>
      </c>
      <c r="M198" s="66"/>
      <c r="N19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46342</v>
      </c>
      <c r="O19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46342</v>
      </c>
      <c r="P198" s="67">
        <f>_xlfn.LET(_xlpm.resultado,_xlfn.XLOOKUP(Libromaestro[[#This Row],[CODIGO DEL DOCUMENTO]],Arreglo_Binaps[Codigo Documento],Arreglo_Binaps[Fecha_Aprobacion],"",0,1),IF(_xlpm.resultado=0,"",_xlpm.resultado))</f>
        <v>45517</v>
      </c>
      <c r="Q198" s="172"/>
      <c r="R198" s="68"/>
      <c r="S198" s="69" t="s">
        <v>11</v>
      </c>
      <c r="T198" s="73"/>
    </row>
    <row r="199" spans="1:20" ht="33.75" customHeight="1" x14ac:dyDescent="0.3">
      <c r="A199" s="60" t="str">
        <f>IFERROR(VLOOKUP(Libromaestro[[#This Row],[MACROPROCESO]],Tabla1[],2,FALSE),"")</f>
        <v>Electroingeniería</v>
      </c>
      <c r="B199" s="73" t="s">
        <v>29</v>
      </c>
      <c r="C199" s="64" t="s">
        <v>2255</v>
      </c>
      <c r="D199" s="64" t="s">
        <v>16</v>
      </c>
      <c r="E19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19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199" s="64">
        <v>19</v>
      </c>
      <c r="H199" s="60" t="str">
        <f>_xlfn.CONCAT(Libromaestro[[#This Row],[SIGLAS]],"-",Libromaestro[[#This Row],[T. DOC]],"-",Libromaestro[[#This Row],[CONSECUTIVO]])</f>
        <v>L-FT-19</v>
      </c>
      <c r="I199" s="73" t="s">
        <v>272</v>
      </c>
      <c r="J199" s="64">
        <v>1</v>
      </c>
      <c r="K199" s="64" t="str">
        <f>_xlfn.XLOOKUP(Libromaestro[[#This Row],[CODIGO DEL DOCUMENTO]],Arreglo_Binaps[Codigo Documento],Arreglo_Binaps[Estado],"No creado",0)</f>
        <v>No creado</v>
      </c>
      <c r="L199" s="66" t="str">
        <f>_xlfn.XLOOKUP(Libromaestro[[#This Row],[CODIGO DEL DOCUMENTO]],Arreglo_Binaps[Codigo Documento],Arreglo_Binaps[Fecha de creación],"",0,1)</f>
        <v/>
      </c>
      <c r="M199" s="66"/>
      <c r="N199"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199"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199" s="67" t="str">
        <f>_xlfn.LET(_xlpm.resultado,_xlfn.XLOOKUP(Libromaestro[[#This Row],[CODIGO DEL DOCUMENTO]],Arreglo_Binaps[Codigo Documento],Arreglo_Binaps[Fecha_Aprobacion],"",0,1),IF(_xlpm.resultado=0,"",_xlpm.resultado))</f>
        <v/>
      </c>
      <c r="Q199" s="172"/>
      <c r="R199" s="68"/>
      <c r="S199" s="69"/>
      <c r="T199" s="73"/>
    </row>
    <row r="200" spans="1:20" ht="33.75" customHeight="1" x14ac:dyDescent="0.3">
      <c r="A200" s="60" t="str">
        <f>IFERROR(VLOOKUP(Libromaestro[[#This Row],[MACROPROCESO]],Tabla1[],2,FALSE),"")</f>
        <v>Alumbrado Público</v>
      </c>
      <c r="B200" s="73" t="s">
        <v>7</v>
      </c>
      <c r="C200" s="64" t="s">
        <v>53</v>
      </c>
      <c r="D200" s="64" t="s">
        <v>34</v>
      </c>
      <c r="E20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0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00" s="64">
        <v>9</v>
      </c>
      <c r="H200" s="60" t="str">
        <f>_xlfn.CONCAT(Libromaestro[[#This Row],[SIGLAS]],"-",Libromaestro[[#This Row],[T. DOC]],"-",Libromaestro[[#This Row],[CONSECUTIVO]])</f>
        <v>A-PR-9</v>
      </c>
      <c r="I200" s="73" t="s">
        <v>327</v>
      </c>
      <c r="J200" s="64">
        <v>1</v>
      </c>
      <c r="K200" s="64" t="str">
        <f>_xlfn.XLOOKUP(Libromaestro[[#This Row],[CODIGO DEL DOCUMENTO]],Arreglo_Binaps[Codigo Documento],Arreglo_Binaps[Estado],"No creado",0)</f>
        <v>Aprobado</v>
      </c>
      <c r="L200" s="66" t="str">
        <f>_xlfn.XLOOKUP(Libromaestro[[#This Row],[CODIGO DEL DOCUMENTO]],Arreglo_Binaps[Codigo Documento],Arreglo_Binaps[Fecha de creación],"",0,1)</f>
        <v>2023-11-14</v>
      </c>
      <c r="M200" s="66"/>
      <c r="N20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46340</v>
      </c>
      <c r="O20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46340</v>
      </c>
      <c r="P200" s="67">
        <f>_xlfn.LET(_xlpm.resultado,_xlfn.XLOOKUP(Libromaestro[[#This Row],[CODIGO DEL DOCUMENTO]],Arreglo_Binaps[Codigo Documento],Arreglo_Binaps[Fecha_Aprobacion],"",0,1),IF(_xlpm.resultado=0,"",_xlpm.resultado))</f>
        <v>45390</v>
      </c>
      <c r="Q200" s="172"/>
      <c r="R200" s="68"/>
      <c r="S200" s="69" t="s">
        <v>28</v>
      </c>
      <c r="T200" s="73"/>
    </row>
    <row r="201" spans="1:20" ht="33.75" customHeight="1" x14ac:dyDescent="0.3">
      <c r="A201" s="60" t="str">
        <f>IFERROR(VLOOKUP(Libromaestro[[#This Row],[MACROPROCESO]],Tabla1[],2,FALSE),"")</f>
        <v>Corportativa</v>
      </c>
      <c r="B201" s="73" t="s">
        <v>24</v>
      </c>
      <c r="C201" s="64" t="s">
        <v>2252</v>
      </c>
      <c r="D201" s="64" t="s">
        <v>16</v>
      </c>
      <c r="E20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20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01" s="64">
        <v>6</v>
      </c>
      <c r="H201" s="60" t="str">
        <f>_xlfn.CONCAT(Libromaestro[[#This Row],[SIGLAS]],"-",Libromaestro[[#This Row],[T. DOC]],"-",Libromaestro[[#This Row],[CONSECUTIVO]])</f>
        <v>F-FT-6</v>
      </c>
      <c r="I201" s="73" t="s">
        <v>274</v>
      </c>
      <c r="J201" s="64">
        <v>1</v>
      </c>
      <c r="K201" s="64" t="str">
        <f>_xlfn.XLOOKUP(Libromaestro[[#This Row],[CODIGO DEL DOCUMENTO]],Arreglo_Binaps[Codigo Documento],Arreglo_Binaps[Estado],"No creado",0)</f>
        <v>No creado</v>
      </c>
      <c r="L201" s="66" t="str">
        <f>_xlfn.XLOOKUP(Libromaestro[[#This Row],[CODIGO DEL DOCUMENTO]],Arreglo_Binaps[Codigo Documento],Arreglo_Binaps[Fecha de creación],"",0,1)</f>
        <v/>
      </c>
      <c r="M201" s="66"/>
      <c r="N201"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01"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01" s="67" t="str">
        <f>_xlfn.LET(_xlpm.resultado,_xlfn.XLOOKUP(Libromaestro[[#This Row],[CODIGO DEL DOCUMENTO]],Arreglo_Binaps[Codigo Documento],Arreglo_Binaps[Fecha_Aprobacion],"",0,1),IF(_xlpm.resultado=0,"",_xlpm.resultado))</f>
        <v/>
      </c>
      <c r="Q201" s="172"/>
      <c r="R201" s="68"/>
      <c r="S201" s="69"/>
      <c r="T201" s="73"/>
    </row>
    <row r="202" spans="1:20" ht="33.75" customHeight="1" x14ac:dyDescent="0.3">
      <c r="A202" s="60" t="str">
        <f>IFERROR(VLOOKUP(Libromaestro[[#This Row],[MACROPROCESO]],Tabla1[],2,FALSE),"")</f>
        <v>Corportativa</v>
      </c>
      <c r="B202" s="73" t="s">
        <v>24</v>
      </c>
      <c r="C202" s="64" t="s">
        <v>2252</v>
      </c>
      <c r="D202" s="64" t="s">
        <v>34</v>
      </c>
      <c r="E20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20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02" s="64">
        <v>6</v>
      </c>
      <c r="H202" s="60" t="str">
        <f>_xlfn.CONCAT(Libromaestro[[#This Row],[SIGLAS]],"-",Libromaestro[[#This Row],[T. DOC]],"-",Libromaestro[[#This Row],[CONSECUTIVO]])</f>
        <v>F-PR-6</v>
      </c>
      <c r="I202" s="73" t="s">
        <v>275</v>
      </c>
      <c r="J202" s="64">
        <v>1</v>
      </c>
      <c r="K202" s="64" t="str">
        <f>_xlfn.XLOOKUP(Libromaestro[[#This Row],[CODIGO DEL DOCUMENTO]],Arreglo_Binaps[Codigo Documento],Arreglo_Binaps[Estado],"No creado",0)</f>
        <v>No creado</v>
      </c>
      <c r="L202" s="66" t="str">
        <f>_xlfn.XLOOKUP(Libromaestro[[#This Row],[CODIGO DEL DOCUMENTO]],Arreglo_Binaps[Codigo Documento],Arreglo_Binaps[Fecha de creación],"",0,1)</f>
        <v/>
      </c>
      <c r="M202" s="66"/>
      <c r="N202"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02"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02" s="67" t="str">
        <f>_xlfn.LET(_xlpm.resultado,_xlfn.XLOOKUP(Libromaestro[[#This Row],[CODIGO DEL DOCUMENTO]],Arreglo_Binaps[Codigo Documento],Arreglo_Binaps[Fecha_Aprobacion],"",0,1),IF(_xlpm.resultado=0,"",_xlpm.resultado))</f>
        <v/>
      </c>
      <c r="Q202" s="172"/>
      <c r="R202" s="68"/>
      <c r="S202" s="69"/>
      <c r="T202" s="73"/>
    </row>
    <row r="203" spans="1:20" ht="33.75" customHeight="1" x14ac:dyDescent="0.3">
      <c r="A203" s="60" t="str">
        <f>IFERROR(VLOOKUP(Libromaestro[[#This Row],[MACROPROCESO]],Tabla1[],2,FALSE),"")</f>
        <v>Corportativa</v>
      </c>
      <c r="B203" s="73" t="s">
        <v>32</v>
      </c>
      <c r="C203" s="64" t="s">
        <v>51</v>
      </c>
      <c r="D203" s="64" t="s">
        <v>16</v>
      </c>
      <c r="E20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0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03" s="64">
        <v>6</v>
      </c>
      <c r="H203" s="60" t="str">
        <f>_xlfn.CONCAT(Libromaestro[[#This Row],[SIGLAS]],"-",Libromaestro[[#This Row],[T. DOC]],"-",Libromaestro[[#This Row],[CONSECUTIVO]])</f>
        <v>H-FT-6</v>
      </c>
      <c r="I203" s="70" t="s">
        <v>276</v>
      </c>
      <c r="J203" s="60">
        <v>3</v>
      </c>
      <c r="K203" s="64" t="str">
        <f>_xlfn.XLOOKUP(Libromaestro[[#This Row],[CODIGO DEL DOCUMENTO]],Arreglo_Binaps[Codigo Documento],Arreglo_Binaps[Estado],"No creado",0)</f>
        <v>Aprobado</v>
      </c>
      <c r="L203" s="66" t="str">
        <f>_xlfn.XLOOKUP(Libromaestro[[#This Row],[CODIGO DEL DOCUMENTO]],Arreglo_Binaps[Codigo Documento],Arreglo_Binaps[Fecha de creación],"",0,1)</f>
        <v>2019-10-11</v>
      </c>
      <c r="M203" s="66">
        <v>45191</v>
      </c>
      <c r="N20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46287</v>
      </c>
      <c r="O20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46287</v>
      </c>
      <c r="P203" s="67">
        <f>_xlfn.LET(_xlpm.resultado,_xlfn.XLOOKUP(Libromaestro[[#This Row],[CODIGO DEL DOCUMENTO]],Arreglo_Binaps[Codigo Documento],Arreglo_Binaps[Fecha_Aprobacion],"",0,1),IF(_xlpm.resultado=0,"",_xlpm.resultado))</f>
        <v>43749</v>
      </c>
      <c r="Q203" s="179" t="s">
        <v>277</v>
      </c>
      <c r="R203" s="68"/>
      <c r="S203" s="69" t="s">
        <v>11</v>
      </c>
      <c r="T203" s="70"/>
    </row>
    <row r="204" spans="1:20" ht="33.75" customHeight="1" x14ac:dyDescent="0.3">
      <c r="A204" s="60" t="str">
        <f>IFERROR(VLOOKUP(Libromaestro[[#This Row],[MACROPROCESO]],Tabla1[],2,FALSE),"")</f>
        <v>Corportativa</v>
      </c>
      <c r="B204" s="70" t="s">
        <v>32</v>
      </c>
      <c r="C204" s="60" t="s">
        <v>57</v>
      </c>
      <c r="D204" s="60" t="s">
        <v>27</v>
      </c>
      <c r="E204"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04"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204" s="60">
        <v>13</v>
      </c>
      <c r="H204" s="60" t="str">
        <f>_xlfn.CONCAT(Libromaestro[[#This Row],[SIGLAS]],"-",Libromaestro[[#This Row],[T. DOC]],"-",Libromaestro[[#This Row],[CONSECUTIVO]])</f>
        <v>H-IN-13</v>
      </c>
      <c r="I204" s="70" t="s">
        <v>278</v>
      </c>
      <c r="J204" s="60">
        <v>1</v>
      </c>
      <c r="K204" s="64" t="str">
        <f>_xlfn.XLOOKUP(Libromaestro[[#This Row],[CODIGO DEL DOCUMENTO]],Arreglo_Binaps[Codigo Documento],Arreglo_Binaps[Estado],"No creado",0)</f>
        <v>No creado</v>
      </c>
      <c r="L204" s="66" t="str">
        <f>_xlfn.XLOOKUP(Libromaestro[[#This Row],[CODIGO DEL DOCUMENTO]],Arreglo_Binaps[Codigo Documento],Arreglo_Binaps[Fecha de creación],"",0,1)</f>
        <v/>
      </c>
      <c r="M204" s="66"/>
      <c r="N204"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04"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04" s="67" t="str">
        <f>_xlfn.LET(_xlpm.resultado,_xlfn.XLOOKUP(Libromaestro[[#This Row],[CODIGO DEL DOCUMENTO]],Arreglo_Binaps[Codigo Documento],Arreglo_Binaps[Fecha_Aprobacion],"",0,1),IF(_xlpm.resultado=0,"",_xlpm.resultado))</f>
        <v/>
      </c>
      <c r="Q204" s="172"/>
      <c r="R204" s="68"/>
      <c r="S204" s="69"/>
      <c r="T204" s="87"/>
    </row>
    <row r="205" spans="1:20" ht="33.75" customHeight="1" x14ac:dyDescent="0.3">
      <c r="A205" s="60" t="str">
        <f>IFERROR(VLOOKUP(Libromaestro[[#This Row],[MACROPROCESO]],Tabla1[],2,FALSE),"")</f>
        <v>Corportativa</v>
      </c>
      <c r="B205" s="73" t="s">
        <v>32</v>
      </c>
      <c r="C205" s="64" t="s">
        <v>59</v>
      </c>
      <c r="D205" s="64" t="s">
        <v>16</v>
      </c>
      <c r="E20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0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05" s="64">
        <v>34</v>
      </c>
      <c r="H205" s="60" t="str">
        <f>_xlfn.CONCAT(Libromaestro[[#This Row],[SIGLAS]],"-",Libromaestro[[#This Row],[T. DOC]],"-",Libromaestro[[#This Row],[CONSECUTIVO]])</f>
        <v>H-FT-34</v>
      </c>
      <c r="I205" s="73" t="s">
        <v>279</v>
      </c>
      <c r="J205" s="64">
        <v>1</v>
      </c>
      <c r="K205" s="64" t="str">
        <f>_xlfn.XLOOKUP(Libromaestro[[#This Row],[CODIGO DEL DOCUMENTO]],Arreglo_Binaps[Codigo Documento],Arreglo_Binaps[Estado],"No creado",0)</f>
        <v>Aprobado</v>
      </c>
      <c r="L205" s="66" t="str">
        <f>_xlfn.XLOOKUP(Libromaestro[[#This Row],[CODIGO DEL DOCUMENTO]],Arreglo_Binaps[Codigo Documento],Arreglo_Binaps[Fecha de creación],"",0,1)</f>
        <v>2020-01-16</v>
      </c>
      <c r="M205" s="66"/>
      <c r="N20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44942</v>
      </c>
      <c r="O20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44942</v>
      </c>
      <c r="P205" s="67">
        <f>_xlfn.LET(_xlpm.resultado,_xlfn.XLOOKUP(Libromaestro[[#This Row],[CODIGO DEL DOCUMENTO]],Arreglo_Binaps[Codigo Documento],Arreglo_Binaps[Fecha_Aprobacion],"",0,1),IF(_xlpm.resultado=0,"",_xlpm.resultado))</f>
        <v>43846</v>
      </c>
      <c r="Q205" s="172"/>
      <c r="R205" s="68"/>
      <c r="S205" s="69" t="s">
        <v>11</v>
      </c>
      <c r="T205" s="73"/>
    </row>
    <row r="206" spans="1:20" ht="33.75" customHeight="1" x14ac:dyDescent="0.3">
      <c r="A206" s="60" t="str">
        <f>IFERROR(VLOOKUP(Libromaestro[[#This Row],[MACROPROCESO]],Tabla1[],2,FALSE),"")</f>
        <v>Corportativa</v>
      </c>
      <c r="B206" s="73" t="s">
        <v>32</v>
      </c>
      <c r="C206" s="64" t="s">
        <v>51</v>
      </c>
      <c r="D206" s="64" t="s">
        <v>34</v>
      </c>
      <c r="E20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0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06" s="64">
        <v>6</v>
      </c>
      <c r="H206" s="60" t="str">
        <f>_xlfn.CONCAT(Libromaestro[[#This Row],[SIGLAS]],"-",Libromaestro[[#This Row],[T. DOC]],"-",Libromaestro[[#This Row],[CONSECUTIVO]])</f>
        <v>H-PR-6</v>
      </c>
      <c r="I206" s="73" t="s">
        <v>280</v>
      </c>
      <c r="J206" s="64">
        <v>1</v>
      </c>
      <c r="K206" s="64" t="str">
        <f>_xlfn.XLOOKUP(Libromaestro[[#This Row],[CODIGO DEL DOCUMENTO]],Arreglo_Binaps[Codigo Documento],Arreglo_Binaps[Estado],"No creado",0)</f>
        <v>No creado</v>
      </c>
      <c r="L206" s="66" t="str">
        <f>_xlfn.XLOOKUP(Libromaestro[[#This Row],[CODIGO DEL DOCUMENTO]],Arreglo_Binaps[Codigo Documento],Arreglo_Binaps[Fecha de creación],"",0,1)</f>
        <v/>
      </c>
      <c r="M206" s="66"/>
      <c r="N206"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06"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06" s="74" t="str">
        <f>_xlfn.LET(_xlpm.resultado,_xlfn.XLOOKUP(Libromaestro[[#This Row],[CODIGO DEL DOCUMENTO]],Arreglo_Binaps[Codigo Documento],Arreglo_Binaps[Fecha_Aprobacion],"",0,1),IF(_xlpm.resultado=0,"",_xlpm.resultado))</f>
        <v/>
      </c>
      <c r="Q206" s="173"/>
      <c r="R206" s="75"/>
      <c r="S206" s="76"/>
      <c r="T206" s="73"/>
    </row>
    <row r="207" spans="1:20" ht="33.75" customHeight="1" x14ac:dyDescent="0.3">
      <c r="A207" s="60" t="str">
        <f>IFERROR(VLOOKUP(Libromaestro[[#This Row],[MACROPROCESO]],Tabla1[],2,FALSE),"")</f>
        <v>Corportativa</v>
      </c>
      <c r="B207" s="70" t="s">
        <v>38</v>
      </c>
      <c r="C207" s="60" t="s">
        <v>26</v>
      </c>
      <c r="D207" s="60" t="s">
        <v>16</v>
      </c>
      <c r="E207"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207"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07" s="60">
        <v>6</v>
      </c>
      <c r="H207" s="60" t="str">
        <f>_xlfn.CONCAT(Libromaestro[[#This Row],[SIGLAS]],"-",Libromaestro[[#This Row],[T. DOC]],"-",Libromaestro[[#This Row],[CONSECUTIVO]])</f>
        <v>M-FT-6</v>
      </c>
      <c r="I207" s="70" t="s">
        <v>281</v>
      </c>
      <c r="J207" s="60">
        <v>2</v>
      </c>
      <c r="K207" s="64" t="str">
        <f>_xlfn.XLOOKUP(Libromaestro[[#This Row],[CODIGO DEL DOCUMENTO]],Arreglo_Binaps[Codigo Documento],Arreglo_Binaps[Estado],"No creado",0)</f>
        <v>Aprobado</v>
      </c>
      <c r="L207" s="66" t="str">
        <f>_xlfn.XLOOKUP(Libromaestro[[#This Row],[CODIGO DEL DOCUMENTO]],Arreglo_Binaps[Codigo Documento],Arreglo_Binaps[Fecha de creación],"",0,1)</f>
        <v>2020-02-19</v>
      </c>
      <c r="M207" s="66">
        <v>45499</v>
      </c>
      <c r="N20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46594</v>
      </c>
      <c r="O20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46594</v>
      </c>
      <c r="P207" s="67">
        <f>_xlfn.LET(_xlpm.resultado,_xlfn.XLOOKUP(Libromaestro[[#This Row],[CODIGO DEL DOCUMENTO]],Arreglo_Binaps[Codigo Documento],Arreglo_Binaps[Fecha_Aprobacion],"",0,1),IF(_xlpm.resultado=0,"",_xlpm.resultado))</f>
        <v>45512</v>
      </c>
      <c r="Q207" s="172"/>
      <c r="R207" s="68"/>
      <c r="S207" s="69" t="s">
        <v>28</v>
      </c>
      <c r="T207" s="70"/>
    </row>
    <row r="208" spans="1:20" ht="33.75" customHeight="1" x14ac:dyDescent="0.3">
      <c r="A208" s="60" t="str">
        <f>IFERROR(VLOOKUP(Libromaestro[[#This Row],[MACROPROCESO]],Tabla1[],2,FALSE),"")</f>
        <v>Suministros</v>
      </c>
      <c r="B208" s="73" t="s">
        <v>45</v>
      </c>
      <c r="C208" s="64" t="s">
        <v>63</v>
      </c>
      <c r="D208" s="64" t="s">
        <v>16</v>
      </c>
      <c r="E20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20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08" s="76">
        <v>24</v>
      </c>
      <c r="H208" s="60" t="str">
        <f>_xlfn.CONCAT(Libromaestro[[#This Row],[SIGLAS]],"-",Libromaestro[[#This Row],[T. DOC]],"-",Libromaestro[[#This Row],[CONSECUTIVO]])</f>
        <v>S-FT-24</v>
      </c>
      <c r="I208" s="73" t="s">
        <v>467</v>
      </c>
      <c r="J208" s="64">
        <v>1</v>
      </c>
      <c r="K208" s="64" t="str">
        <f>_xlfn.XLOOKUP(Libromaestro[[#This Row],[CODIGO DEL DOCUMENTO]],Arreglo_Binaps[Codigo Documento],Arreglo_Binaps[Estado],"No creado",0)</f>
        <v>Aprobado</v>
      </c>
      <c r="L208" s="66" t="str">
        <f>_xlfn.XLOOKUP(Libromaestro[[#This Row],[CODIGO DEL DOCUMENTO]],Arreglo_Binaps[Codigo Documento],Arreglo_Binaps[Fecha de creación],"",0,1)</f>
        <v>2025-02-05</v>
      </c>
      <c r="M208" s="66">
        <v>45917</v>
      </c>
      <c r="N20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47013</v>
      </c>
      <c r="O20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47013</v>
      </c>
      <c r="P208" s="67">
        <f>_xlfn.LET(_xlpm.resultado,_xlfn.XLOOKUP(Libromaestro[[#This Row],[CODIGO DEL DOCUMENTO]],Arreglo_Binaps[Codigo Documento],Arreglo_Binaps[Fecha_Aprobacion],"",0,1),IF(_xlpm.resultado=0,"",_xlpm.resultado))</f>
        <v>45917</v>
      </c>
      <c r="Q208" s="177"/>
      <c r="R208" s="69"/>
      <c r="S208" s="85"/>
      <c r="T208" s="79"/>
    </row>
    <row r="209" spans="1:20" ht="33.75" customHeight="1" x14ac:dyDescent="0.3">
      <c r="A209" s="60" t="str">
        <f>IFERROR(VLOOKUP(Libromaestro[[#This Row],[MACROPROCESO]],Tabla1[],2,FALSE),"")</f>
        <v>Suministros</v>
      </c>
      <c r="B209" s="73" t="s">
        <v>45</v>
      </c>
      <c r="C209" s="64" t="s">
        <v>63</v>
      </c>
      <c r="D209" s="64" t="s">
        <v>16</v>
      </c>
      <c r="E20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20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09" s="76">
        <v>25</v>
      </c>
      <c r="H209" s="60" t="str">
        <f>_xlfn.CONCAT(Libromaestro[[#This Row],[SIGLAS]],"-",Libromaestro[[#This Row],[T. DOC]],"-",Libromaestro[[#This Row],[CONSECUTIVO]])</f>
        <v>S-FT-25</v>
      </c>
      <c r="I209" s="73" t="s">
        <v>473</v>
      </c>
      <c r="J209" s="64">
        <v>1</v>
      </c>
      <c r="K209" s="64" t="str">
        <f>_xlfn.XLOOKUP(Libromaestro[[#This Row],[CODIGO DEL DOCUMENTO]],Arreglo_Binaps[Codigo Documento],Arreglo_Binaps[Estado],"No creado",0)</f>
        <v>Aprobado</v>
      </c>
      <c r="L209" s="66" t="str">
        <f>_xlfn.XLOOKUP(Libromaestro[[#This Row],[CODIGO DEL DOCUMENTO]],Arreglo_Binaps[Codigo Documento],Arreglo_Binaps[Fecha de creación],"",0,1)</f>
        <v>2025-02-05</v>
      </c>
      <c r="M209" s="66">
        <v>45917</v>
      </c>
      <c r="N20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47013</v>
      </c>
      <c r="O20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47013</v>
      </c>
      <c r="P209" s="67">
        <f>_xlfn.LET(_xlpm.resultado,_xlfn.XLOOKUP(Libromaestro[[#This Row],[CODIGO DEL DOCUMENTO]],Arreglo_Binaps[Codigo Documento],Arreglo_Binaps[Fecha_Aprobacion],"",0,1),IF(_xlpm.resultado=0,"",_xlpm.resultado))</f>
        <v>45917</v>
      </c>
      <c r="Q209" s="177"/>
      <c r="R209" s="69"/>
      <c r="S209" s="85"/>
      <c r="T209" s="79"/>
    </row>
    <row r="210" spans="1:20" ht="33.75" customHeight="1" x14ac:dyDescent="0.3">
      <c r="A210" s="60" t="str">
        <f>IFERROR(VLOOKUP(Libromaestro[[#This Row],[MACROPROCESO]],Tabla1[],2,FALSE),"")</f>
        <v>Suministros</v>
      </c>
      <c r="B210" s="73" t="s">
        <v>45</v>
      </c>
      <c r="C210" s="64" t="s">
        <v>36</v>
      </c>
      <c r="D210" s="64" t="s">
        <v>16</v>
      </c>
      <c r="E21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21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10" s="76">
        <v>26</v>
      </c>
      <c r="H210" s="60" t="str">
        <f>_xlfn.CONCAT(Libromaestro[[#This Row],[SIGLAS]],"-",Libromaestro[[#This Row],[T. DOC]],"-",Libromaestro[[#This Row],[CONSECUTIVO]])</f>
        <v>S-FT-26</v>
      </c>
      <c r="I210" s="73" t="s">
        <v>479</v>
      </c>
      <c r="J210" s="64">
        <v>2</v>
      </c>
      <c r="K210" s="64" t="str">
        <f>_xlfn.XLOOKUP(Libromaestro[[#This Row],[CODIGO DEL DOCUMENTO]],Arreglo_Binaps[Codigo Documento],Arreglo_Binaps[Estado],"No creado",0)</f>
        <v>Aprobado</v>
      </c>
      <c r="L210" s="66" t="str">
        <f>_xlfn.XLOOKUP(Libromaestro[[#This Row],[CODIGO DEL DOCUMENTO]],Arreglo_Binaps[Codigo Documento],Arreglo_Binaps[Fecha de creación],"",0,1)</f>
        <v>2021-09-10</v>
      </c>
      <c r="M210" s="66">
        <v>45502</v>
      </c>
      <c r="N21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46597</v>
      </c>
      <c r="O21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46597</v>
      </c>
      <c r="P210" s="67">
        <f>_xlfn.LET(_xlpm.resultado,_xlfn.XLOOKUP(Libromaestro[[#This Row],[CODIGO DEL DOCUMENTO]],Arreglo_Binaps[Codigo Documento],Arreglo_Binaps[Fecha_Aprobacion],"",0,1),IF(_xlpm.resultado=0,"",_xlpm.resultado))</f>
        <v>45638</v>
      </c>
      <c r="Q210" s="177"/>
      <c r="R210" s="69"/>
      <c r="S210" s="85" t="s">
        <v>17</v>
      </c>
      <c r="T210" s="79"/>
    </row>
    <row r="211" spans="1:20" ht="33.75" customHeight="1" x14ac:dyDescent="0.3">
      <c r="A211" s="60" t="str">
        <f>IFERROR(VLOOKUP(Libromaestro[[#This Row],[MACROPROCESO]],Tabla1[],2,FALSE),"")</f>
        <v>Alumbrado Público</v>
      </c>
      <c r="B211" s="73" t="s">
        <v>7</v>
      </c>
      <c r="C211" s="64" t="s">
        <v>15</v>
      </c>
      <c r="D211" s="64" t="s">
        <v>34</v>
      </c>
      <c r="E21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1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11" s="64">
        <v>10</v>
      </c>
      <c r="H211" s="60" t="str">
        <f>_xlfn.CONCAT(Libromaestro[[#This Row],[SIGLAS]],"-",Libromaestro[[#This Row],[T. DOC]],"-",Libromaestro[[#This Row],[CONSECUTIVO]])</f>
        <v>A-PR-10</v>
      </c>
      <c r="I211" s="73" t="s">
        <v>344</v>
      </c>
      <c r="J211" s="64">
        <v>1</v>
      </c>
      <c r="K211" s="64" t="str">
        <f>_xlfn.XLOOKUP(Libromaestro[[#This Row],[CODIGO DEL DOCUMENTO]],Arreglo_Binaps[Codigo Documento],Arreglo_Binaps[Estado],"No creado",0)</f>
        <v>Aprobado</v>
      </c>
      <c r="L211" s="66" t="str">
        <f>_xlfn.XLOOKUP(Libromaestro[[#This Row],[CODIGO DEL DOCUMENTO]],Arreglo_Binaps[Codigo Documento],Arreglo_Binaps[Fecha de creación],"",0,1)</f>
        <v>2025-02-04</v>
      </c>
      <c r="M211" s="65">
        <v>45925</v>
      </c>
      <c r="N21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47021</v>
      </c>
      <c r="O21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47021</v>
      </c>
      <c r="P211" s="67">
        <f>_xlfn.LET(_xlpm.resultado,_xlfn.XLOOKUP(Libromaestro[[#This Row],[CODIGO DEL DOCUMENTO]],Arreglo_Binaps[Codigo Documento],Arreglo_Binaps[Fecha_Aprobacion],"",0,1),IF(_xlpm.resultado=0,"",_xlpm.resultado))</f>
        <v>45925</v>
      </c>
      <c r="Q211" s="172"/>
      <c r="R211" s="68"/>
      <c r="S211" s="69" t="s">
        <v>28</v>
      </c>
      <c r="T211" s="73"/>
    </row>
    <row r="212" spans="1:20" ht="33.75" customHeight="1" x14ac:dyDescent="0.3">
      <c r="A212" s="60" t="str">
        <f>IFERROR(VLOOKUP(Libromaestro[[#This Row],[MACROPROCESO]],Tabla1[],2,FALSE),"")</f>
        <v>Alumbrado Público</v>
      </c>
      <c r="B212" s="73" t="s">
        <v>7</v>
      </c>
      <c r="C212" s="64" t="s">
        <v>52</v>
      </c>
      <c r="D212" s="64" t="s">
        <v>22</v>
      </c>
      <c r="E21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1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212" s="64">
        <v>7</v>
      </c>
      <c r="H212" s="60" t="str">
        <f>_xlfn.CONCAT(Libromaestro[[#This Row],[SIGLAS]],"-",Libromaestro[[#This Row],[T. DOC]],"-",Libromaestro[[#This Row],[CONSECUTIVO]])</f>
        <v>A-GU-7</v>
      </c>
      <c r="I212" s="73" t="s">
        <v>286</v>
      </c>
      <c r="J212" s="64">
        <v>1</v>
      </c>
      <c r="K212" s="64" t="str">
        <f>_xlfn.XLOOKUP(Libromaestro[[#This Row],[CODIGO DEL DOCUMENTO]],Arreglo_Binaps[Codigo Documento],Arreglo_Binaps[Estado],"No creado",0)</f>
        <v>Aprobado</v>
      </c>
      <c r="L212" s="66" t="str">
        <f>_xlfn.XLOOKUP(Libromaestro[[#This Row],[CODIGO DEL DOCUMENTO]],Arreglo_Binaps[Codigo Documento],Arreglo_Binaps[Fecha de creación],"",0,1)</f>
        <v>2025-04-28</v>
      </c>
      <c r="M212" s="66"/>
      <c r="N21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46871</v>
      </c>
      <c r="O21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46871</v>
      </c>
      <c r="P212" s="67">
        <f>_xlfn.LET(_xlpm.resultado,_xlfn.XLOOKUP(Libromaestro[[#This Row],[CODIGO DEL DOCUMENTO]],Arreglo_Binaps[Codigo Documento],Arreglo_Binaps[Fecha_Aprobacion],"",0,1),IF(_xlpm.resultado=0,"",_xlpm.resultado))</f>
        <v>45846</v>
      </c>
      <c r="Q212" s="172"/>
      <c r="R212" s="68"/>
      <c r="S212" s="69"/>
      <c r="T212" s="73"/>
    </row>
    <row r="213" spans="1:20" ht="33.75" customHeight="1" x14ac:dyDescent="0.3">
      <c r="A213" s="60" t="str">
        <f>IFERROR(VLOOKUP(Libromaestro[[#This Row],[MACROPROCESO]],Tabla1[],2,FALSE),"")</f>
        <v>Alumbrado Público</v>
      </c>
      <c r="B213" s="73" t="s">
        <v>7</v>
      </c>
      <c r="C213" s="64" t="s">
        <v>52</v>
      </c>
      <c r="D213" s="64" t="s">
        <v>27</v>
      </c>
      <c r="E21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1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213" s="64">
        <v>7</v>
      </c>
      <c r="H213" s="60" t="str">
        <f>_xlfn.CONCAT(Libromaestro[[#This Row],[SIGLAS]],"-",Libromaestro[[#This Row],[T. DOC]],"-",Libromaestro[[#This Row],[CONSECUTIVO]])</f>
        <v>A-IN-7</v>
      </c>
      <c r="I213" s="73" t="s">
        <v>287</v>
      </c>
      <c r="J213" s="64">
        <v>1</v>
      </c>
      <c r="K213" s="64" t="str">
        <f>_xlfn.XLOOKUP(Libromaestro[[#This Row],[CODIGO DEL DOCUMENTO]],Arreglo_Binaps[Codigo Documento],Arreglo_Binaps[Estado],"No creado",0)</f>
        <v>Aprobado</v>
      </c>
      <c r="L213" s="66" t="str">
        <f>_xlfn.XLOOKUP(Libromaestro[[#This Row],[CODIGO DEL DOCUMENTO]],Arreglo_Binaps[Codigo Documento],Arreglo_Binaps[Fecha de creación],"",0,1)</f>
        <v>2024-12-02</v>
      </c>
      <c r="M213" s="66"/>
      <c r="N21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46723</v>
      </c>
      <c r="O21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46723</v>
      </c>
      <c r="P213" s="67">
        <f>_xlfn.LET(_xlpm.resultado,_xlfn.XLOOKUP(Libromaestro[[#This Row],[CODIGO DEL DOCUMENTO]],Arreglo_Binaps[Codigo Documento],Arreglo_Binaps[Fecha_Aprobacion],"",0,1),IF(_xlpm.resultado=0,"",_xlpm.resultado))</f>
        <v>45670</v>
      </c>
      <c r="Q213" s="172"/>
      <c r="R213" s="68"/>
      <c r="S213" s="69" t="s">
        <v>28</v>
      </c>
      <c r="T213" s="73"/>
    </row>
    <row r="214" spans="1:20" ht="33.75" customHeight="1" x14ac:dyDescent="0.3">
      <c r="A214" s="60" t="str">
        <f>IFERROR(VLOOKUP(Libromaestro[[#This Row],[MACROPROCESO]],Tabla1[],2,FALSE),"")</f>
        <v>Alumbrado Público</v>
      </c>
      <c r="B214" s="73" t="s">
        <v>7</v>
      </c>
      <c r="C214" s="64" t="s">
        <v>61</v>
      </c>
      <c r="D214" s="64" t="s">
        <v>31</v>
      </c>
      <c r="E21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1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214" s="64">
        <v>3</v>
      </c>
      <c r="H214" s="60" t="str">
        <f>_xlfn.CONCAT(Libromaestro[[#This Row],[SIGLAS]],"-",Libromaestro[[#This Row],[T. DOC]],"-",Libromaestro[[#This Row],[CONSECUTIVO]])</f>
        <v>A-MA-3</v>
      </c>
      <c r="I214" s="73" t="s">
        <v>288</v>
      </c>
      <c r="J214" s="64">
        <v>1</v>
      </c>
      <c r="K214" s="64" t="str">
        <f>_xlfn.XLOOKUP(Libromaestro[[#This Row],[CODIGO DEL DOCUMENTO]],Arreglo_Binaps[Codigo Documento],Arreglo_Binaps[Estado],"No creado",0)</f>
        <v>Rechazado</v>
      </c>
      <c r="L214" s="66" t="str">
        <f>_xlfn.XLOOKUP(Libromaestro[[#This Row],[CODIGO DEL DOCUMENTO]],Arreglo_Binaps[Codigo Documento],Arreglo_Binaps[Fecha de creación],"",0,1)</f>
        <v>2025-06-26</v>
      </c>
      <c r="M214" s="66"/>
      <c r="N21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46930</v>
      </c>
      <c r="O21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46930</v>
      </c>
      <c r="P214" s="67">
        <f>_xlfn.LET(_xlpm.resultado,_xlfn.XLOOKUP(Libromaestro[[#This Row],[CODIGO DEL DOCUMENTO]],Arreglo_Binaps[Codigo Documento],Arreglo_Binaps[Fecha_Aprobacion],"",0,1),IF(_xlpm.resultado=0,"",_xlpm.resultado))</f>
        <v>46140</v>
      </c>
      <c r="Q214" s="172"/>
      <c r="R214" s="68"/>
      <c r="S214" s="69"/>
      <c r="T214" s="73"/>
    </row>
    <row r="215" spans="1:20" ht="44.25" customHeight="1" x14ac:dyDescent="0.3">
      <c r="A215" s="60" t="str">
        <f>IFERROR(VLOOKUP(Libromaestro[[#This Row],[MACROPROCESO]],Tabla1[],2,FALSE),"")</f>
        <v>Alumbrado Público</v>
      </c>
      <c r="B215" s="73" t="s">
        <v>7</v>
      </c>
      <c r="C215" s="64" t="s">
        <v>56</v>
      </c>
      <c r="D215" s="64" t="s">
        <v>34</v>
      </c>
      <c r="E21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1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15" s="64">
        <v>12</v>
      </c>
      <c r="H215" s="60" t="str">
        <f>_xlfn.CONCAT(Libromaestro[[#This Row],[SIGLAS]],"-",Libromaestro[[#This Row],[T. DOC]],"-",Libromaestro[[#This Row],[CONSECUTIVO]])</f>
        <v>A-PR-12</v>
      </c>
      <c r="I215" s="73" t="s">
        <v>368</v>
      </c>
      <c r="J215" s="64">
        <v>2</v>
      </c>
      <c r="K215" s="64" t="str">
        <f>_xlfn.XLOOKUP(Libromaestro[[#This Row],[CODIGO DEL DOCUMENTO]],Arreglo_Binaps[Codigo Documento],Arreglo_Binaps[Estado],"No creado",0)</f>
        <v>Aprobado</v>
      </c>
      <c r="L215" s="66" t="str">
        <f>_xlfn.XLOOKUP(Libromaestro[[#This Row],[CODIGO DEL DOCUMENTO]],Arreglo_Binaps[Codigo Documento],Arreglo_Binaps[Fecha de creación],"",0,1)</f>
        <v>2022-11-01</v>
      </c>
      <c r="M215" s="66">
        <v>45428</v>
      </c>
      <c r="N21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46523</v>
      </c>
      <c r="O21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46523</v>
      </c>
      <c r="P215" s="67">
        <f>_xlfn.LET(_xlpm.resultado,_xlfn.XLOOKUP(Libromaestro[[#This Row],[CODIGO DEL DOCUMENTO]],Arreglo_Binaps[Codigo Documento],Arreglo_Binaps[Fecha_Aprobacion],"",0,1),IF(_xlpm.resultado=0,"",_xlpm.resultado))</f>
        <v>45509</v>
      </c>
      <c r="Q215" s="172"/>
      <c r="R215" s="68"/>
      <c r="S215" s="69" t="s">
        <v>28</v>
      </c>
      <c r="T215" s="73"/>
    </row>
    <row r="216" spans="1:20" ht="33.75" customHeight="1" x14ac:dyDescent="0.3">
      <c r="A216" s="60" t="str">
        <f>IFERROR(VLOOKUP(Libromaestro[[#This Row],[MACROPROCESO]],Tabla1[],2,FALSE),"")</f>
        <v>Corportativa</v>
      </c>
      <c r="B216" s="73" t="s">
        <v>49</v>
      </c>
      <c r="C216" s="64" t="s">
        <v>2254</v>
      </c>
      <c r="D216" s="64" t="s">
        <v>16</v>
      </c>
      <c r="E21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21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16" s="64">
        <v>7</v>
      </c>
      <c r="H216" s="60" t="str">
        <f>_xlfn.CONCAT(Libromaestro[[#This Row],[SIGLAS]],"-",Libromaestro[[#This Row],[T. DOC]],"-",Libromaestro[[#This Row],[CONSECUTIVO]])</f>
        <v>T-FT-7</v>
      </c>
      <c r="I216" s="73" t="s">
        <v>290</v>
      </c>
      <c r="J216" s="64">
        <v>1</v>
      </c>
      <c r="K216" s="64" t="str">
        <f>_xlfn.XLOOKUP(Libromaestro[[#This Row],[CODIGO DEL DOCUMENTO]],Arreglo_Binaps[Codigo Documento],Arreglo_Binaps[Estado],"No creado",0)</f>
        <v>Aprobado</v>
      </c>
      <c r="L216" s="66" t="str">
        <f>_xlfn.XLOOKUP(Libromaestro[[#This Row],[CODIGO DEL DOCUMENTO]],Arreglo_Binaps[Codigo Documento],Arreglo_Binaps[Fecha de creación],"",0,1)</f>
        <v>2025-07-15</v>
      </c>
      <c r="M216" s="66"/>
      <c r="N21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O21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P216" s="67">
        <f>_xlfn.LET(_xlpm.resultado,_xlfn.XLOOKUP(Libromaestro[[#This Row],[CODIGO DEL DOCUMENTO]],Arreglo_Binaps[Codigo Documento],Arreglo_Binaps[Fecha_Aprobacion],"",0,1),IF(_xlpm.resultado=0,"",_xlpm.resultado))</f>
        <v>45987</v>
      </c>
      <c r="Q216" s="177"/>
      <c r="R216" s="69"/>
      <c r="S216" s="85"/>
      <c r="T216" s="79"/>
    </row>
    <row r="217" spans="1:20" ht="33.75" customHeight="1" x14ac:dyDescent="0.3">
      <c r="A217" s="60" t="str">
        <f>IFERROR(VLOOKUP(Libromaestro[[#This Row],[MACROPROCESO]],Tabla1[],2,FALSE),"")</f>
        <v>Corportativa</v>
      </c>
      <c r="B217" s="73" t="s">
        <v>49</v>
      </c>
      <c r="C217" s="64" t="s">
        <v>2254</v>
      </c>
      <c r="D217" s="64" t="s">
        <v>27</v>
      </c>
      <c r="E21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21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217" s="64">
        <v>7</v>
      </c>
      <c r="H217" s="60" t="str">
        <f>_xlfn.CONCAT(Libromaestro[[#This Row],[SIGLAS]],"-",Libromaestro[[#This Row],[T. DOC]],"-",Libromaestro[[#This Row],[CONSECUTIVO]])</f>
        <v>T-IN-7</v>
      </c>
      <c r="I217" s="73" t="s">
        <v>291</v>
      </c>
      <c r="J217" s="64">
        <v>1</v>
      </c>
      <c r="K217" s="64" t="str">
        <f>_xlfn.XLOOKUP(Libromaestro[[#This Row],[CODIGO DEL DOCUMENTO]],Arreglo_Binaps[Codigo Documento],Arreglo_Binaps[Estado],"No creado",0)</f>
        <v>En aprobacion</v>
      </c>
      <c r="L217" s="66" t="str">
        <f>_xlfn.XLOOKUP(Libromaestro[[#This Row],[CODIGO DEL DOCUMENTO]],Arreglo_Binaps[Codigo Documento],Arreglo_Binaps[Fecha de creación],"",0,1)</f>
        <v>2024-12-11</v>
      </c>
      <c r="M217" s="66"/>
      <c r="N21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46732</v>
      </c>
      <c r="O21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46732</v>
      </c>
      <c r="P217" s="67" t="str">
        <f>_xlfn.LET(_xlpm.resultado,_xlfn.XLOOKUP(Libromaestro[[#This Row],[CODIGO DEL DOCUMENTO]],Arreglo_Binaps[Codigo Documento],Arreglo_Binaps[Fecha_Aprobacion],"",0,1),IF(_xlpm.resultado=0,"",_xlpm.resultado))</f>
        <v/>
      </c>
      <c r="Q217" s="172"/>
      <c r="R217" s="68"/>
      <c r="S217" s="69"/>
      <c r="T217" s="73"/>
    </row>
    <row r="218" spans="1:20" ht="31.5" customHeight="1" x14ac:dyDescent="0.3">
      <c r="A218" s="60" t="str">
        <f>IFERROR(VLOOKUP(Libromaestro[[#This Row],[MACROPROCESO]],Tabla1[],2,FALSE),"")</f>
        <v>Electroingeniería</v>
      </c>
      <c r="B218" s="73" t="s">
        <v>29</v>
      </c>
      <c r="C218" s="64" t="s">
        <v>2255</v>
      </c>
      <c r="D218" s="64" t="s">
        <v>16</v>
      </c>
      <c r="E21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21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18" s="64">
        <v>7</v>
      </c>
      <c r="H218" s="60" t="str">
        <f>_xlfn.CONCAT(Libromaestro[[#This Row],[SIGLAS]],"-",Libromaestro[[#This Row],[T. DOC]],"-",Libromaestro[[#This Row],[CONSECUTIVO]])</f>
        <v>L-FT-7</v>
      </c>
      <c r="I218" s="73" t="s">
        <v>292</v>
      </c>
      <c r="J218" s="64">
        <v>1</v>
      </c>
      <c r="K218" s="64" t="str">
        <f>_xlfn.XLOOKUP(Libromaestro[[#This Row],[CODIGO DEL DOCUMENTO]],Arreglo_Binaps[Codigo Documento],Arreglo_Binaps[Estado],"No creado",0)</f>
        <v>Aprobado</v>
      </c>
      <c r="L218" s="66" t="str">
        <f>_xlfn.XLOOKUP(Libromaestro[[#This Row],[CODIGO DEL DOCUMENTO]],Arreglo_Binaps[Codigo Documento],Arreglo_Binaps[Fecha de creación],"",0,1)</f>
        <v>2025-11-18</v>
      </c>
      <c r="M218" s="66"/>
      <c r="N21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47075</v>
      </c>
      <c r="O21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47075</v>
      </c>
      <c r="P218" s="67">
        <f>_xlfn.LET(_xlpm.resultado,_xlfn.XLOOKUP(Libromaestro[[#This Row],[CODIGO DEL DOCUMENTO]],Arreglo_Binaps[Codigo Documento],Arreglo_Binaps[Fecha_Aprobacion],"",0,1),IF(_xlpm.resultado=0,"",_xlpm.resultado))</f>
        <v>46083</v>
      </c>
      <c r="Q218" s="172"/>
      <c r="R218" s="68"/>
      <c r="S218" s="69"/>
      <c r="T218" s="73"/>
    </row>
    <row r="219" spans="1:20" ht="33.75" customHeight="1" x14ac:dyDescent="0.3">
      <c r="A219" s="60" t="str">
        <f>IFERROR(VLOOKUP(Libromaestro[[#This Row],[MACROPROCESO]],Tabla1[],2,FALSE),"")</f>
        <v>Electroingeniería</v>
      </c>
      <c r="B219" s="73" t="s">
        <v>29</v>
      </c>
      <c r="C219" s="64" t="s">
        <v>2255</v>
      </c>
      <c r="D219" s="64" t="s">
        <v>34</v>
      </c>
      <c r="E219"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219"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19" s="60">
        <v>2</v>
      </c>
      <c r="H219" s="60" t="str">
        <f>_xlfn.CONCAT(Libromaestro[[#This Row],[SIGLAS]],"-",Libromaestro[[#This Row],[T. DOC]],"-",Libromaestro[[#This Row],[CONSECUTIVO]])</f>
        <v>L-PR-2</v>
      </c>
      <c r="I219" s="70" t="s">
        <v>155</v>
      </c>
      <c r="J219" s="60">
        <v>1</v>
      </c>
      <c r="K219" s="64" t="str">
        <f>_xlfn.XLOOKUP(Libromaestro[[#This Row],[CODIGO DEL DOCUMENTO]],Arreglo_Binaps[Codigo Documento],Arreglo_Binaps[Estado],"No creado",0)</f>
        <v>Aprobado</v>
      </c>
      <c r="L219" s="66" t="str">
        <f>_xlfn.XLOOKUP(Libromaestro[[#This Row],[CODIGO DEL DOCUMENTO]],Arreglo_Binaps[Codigo Documento],Arreglo_Binaps[Fecha de creación],"",0,1)</f>
        <v>2024-06-18</v>
      </c>
      <c r="M219" s="66">
        <v>45754</v>
      </c>
      <c r="N21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46850</v>
      </c>
      <c r="O21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46850</v>
      </c>
      <c r="P219" s="67">
        <f>_xlfn.LET(_xlpm.resultado,_xlfn.XLOOKUP(Libromaestro[[#This Row],[CODIGO DEL DOCUMENTO]],Arreglo_Binaps[Codigo Documento],Arreglo_Binaps[Fecha_Aprobacion],"",0,1),IF(_xlpm.resultado=0,"",_xlpm.resultado))</f>
        <v>45754</v>
      </c>
      <c r="Q219" s="172"/>
      <c r="R219" s="68"/>
      <c r="S219" s="69"/>
      <c r="T219" s="70"/>
    </row>
    <row r="220" spans="1:20" ht="33.75" customHeight="1" x14ac:dyDescent="0.3">
      <c r="A220" s="60" t="str">
        <f>IFERROR(VLOOKUP(Libromaestro[[#This Row],[MACROPROCESO]],Tabla1[],2,FALSE),"")</f>
        <v>Corportativa</v>
      </c>
      <c r="B220" s="73" t="s">
        <v>24</v>
      </c>
      <c r="C220" s="64" t="s">
        <v>2252</v>
      </c>
      <c r="D220" s="64" t="s">
        <v>16</v>
      </c>
      <c r="E22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22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20" s="64">
        <v>7</v>
      </c>
      <c r="H220" s="60" t="str">
        <f>_xlfn.CONCAT(Libromaestro[[#This Row],[SIGLAS]],"-",Libromaestro[[#This Row],[T. DOC]],"-",Libromaestro[[#This Row],[CONSECUTIVO]])</f>
        <v>F-FT-7</v>
      </c>
      <c r="I220" s="73" t="s">
        <v>294</v>
      </c>
      <c r="J220" s="64">
        <v>1</v>
      </c>
      <c r="K220" s="64" t="str">
        <f>_xlfn.XLOOKUP(Libromaestro[[#This Row],[CODIGO DEL DOCUMENTO]],Arreglo_Binaps[Codigo Documento],Arreglo_Binaps[Estado],"No creado",0)</f>
        <v>No creado</v>
      </c>
      <c r="L220" s="66" t="str">
        <f>_xlfn.XLOOKUP(Libromaestro[[#This Row],[CODIGO DEL DOCUMENTO]],Arreglo_Binaps[Codigo Documento],Arreglo_Binaps[Fecha de creación],"",0,1)</f>
        <v/>
      </c>
      <c r="M220" s="66"/>
      <c r="N220"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20"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20" s="67" t="str">
        <f>_xlfn.LET(_xlpm.resultado,_xlfn.XLOOKUP(Libromaestro[[#This Row],[CODIGO DEL DOCUMENTO]],Arreglo_Binaps[Codigo Documento],Arreglo_Binaps[Fecha_Aprobacion],"",0,1),IF(_xlpm.resultado=0,"",_xlpm.resultado))</f>
        <v/>
      </c>
      <c r="Q220" s="172"/>
      <c r="R220" s="68"/>
      <c r="S220" s="69"/>
      <c r="T220" s="73"/>
    </row>
    <row r="221" spans="1:20" ht="33.75" customHeight="1" x14ac:dyDescent="0.3">
      <c r="A221" s="60" t="str">
        <f>IFERROR(VLOOKUP(Libromaestro[[#This Row],[MACROPROCESO]],Tabla1[],2,FALSE),"")</f>
        <v>Corportativa</v>
      </c>
      <c r="B221" s="73" t="s">
        <v>24</v>
      </c>
      <c r="C221" s="64" t="s">
        <v>2252</v>
      </c>
      <c r="D221" s="64" t="s">
        <v>34</v>
      </c>
      <c r="E22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22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21" s="64">
        <v>7</v>
      </c>
      <c r="H221" s="60" t="str">
        <f>_xlfn.CONCAT(Libromaestro[[#This Row],[SIGLAS]],"-",Libromaestro[[#This Row],[T. DOC]],"-",Libromaestro[[#This Row],[CONSECUTIVO]])</f>
        <v>F-PR-7</v>
      </c>
      <c r="I221" s="73" t="s">
        <v>295</v>
      </c>
      <c r="J221" s="64">
        <v>1</v>
      </c>
      <c r="K221" s="64" t="str">
        <f>_xlfn.XLOOKUP(Libromaestro[[#This Row],[CODIGO DEL DOCUMENTO]],Arreglo_Binaps[Codigo Documento],Arreglo_Binaps[Estado],"No creado",0)</f>
        <v>No creado</v>
      </c>
      <c r="L221" s="66" t="str">
        <f>_xlfn.XLOOKUP(Libromaestro[[#This Row],[CODIGO DEL DOCUMENTO]],Arreglo_Binaps[Codigo Documento],Arreglo_Binaps[Fecha de creación],"",0,1)</f>
        <v/>
      </c>
      <c r="M221" s="66"/>
      <c r="N221"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21"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21" s="67" t="str">
        <f>_xlfn.LET(_xlpm.resultado,_xlfn.XLOOKUP(Libromaestro[[#This Row],[CODIGO DEL DOCUMENTO]],Arreglo_Binaps[Codigo Documento],Arreglo_Binaps[Fecha_Aprobacion],"",0,1),IF(_xlpm.resultado=0,"",_xlpm.resultado))</f>
        <v/>
      </c>
      <c r="Q221" s="172"/>
      <c r="R221" s="68"/>
      <c r="S221" s="69"/>
      <c r="T221" s="73"/>
    </row>
    <row r="222" spans="1:20" ht="33.75" customHeight="1" x14ac:dyDescent="0.3">
      <c r="A222" s="60" t="str">
        <f>IFERROR(VLOOKUP(Libromaestro[[#This Row],[MACROPROCESO]],Tabla1[],2,FALSE),"")</f>
        <v>Corportativa</v>
      </c>
      <c r="B222" s="73" t="s">
        <v>32</v>
      </c>
      <c r="C222" s="64" t="s">
        <v>51</v>
      </c>
      <c r="D222" s="64" t="s">
        <v>16</v>
      </c>
      <c r="E22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2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22" s="64">
        <v>7</v>
      </c>
      <c r="H222" s="60" t="str">
        <f>_xlfn.CONCAT(Libromaestro[[#This Row],[SIGLAS]],"-",Libromaestro[[#This Row],[T. DOC]],"-",Libromaestro[[#This Row],[CONSECUTIVO]])</f>
        <v>H-FT-7</v>
      </c>
      <c r="I222" s="73" t="s">
        <v>296</v>
      </c>
      <c r="J222" s="64">
        <v>1</v>
      </c>
      <c r="K222" s="64" t="str">
        <f>_xlfn.XLOOKUP(Libromaestro[[#This Row],[CODIGO DEL DOCUMENTO]],Arreglo_Binaps[Codigo Documento],Arreglo_Binaps[Estado],"No creado",0)</f>
        <v>Aprobado</v>
      </c>
      <c r="L222" s="66" t="str">
        <f>_xlfn.XLOOKUP(Libromaestro[[#This Row],[CODIGO DEL DOCUMENTO]],Arreglo_Binaps[Codigo Documento],Arreglo_Binaps[Fecha de creación],"",0,1)</f>
        <v>2022-05-06</v>
      </c>
      <c r="M222" s="66"/>
      <c r="N22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45783</v>
      </c>
      <c r="O22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45783</v>
      </c>
      <c r="P222" s="67">
        <f>_xlfn.LET(_xlpm.resultado,_xlfn.XLOOKUP(Libromaestro[[#This Row],[CODIGO DEL DOCUMENTO]],Arreglo_Binaps[Codigo Documento],Arreglo_Binaps[Fecha_Aprobacion],"",0,1),IF(_xlpm.resultado=0,"",_xlpm.resultado))</f>
        <v>44687</v>
      </c>
      <c r="Q222" s="172"/>
      <c r="R222" s="68"/>
      <c r="S222" s="69" t="s">
        <v>23</v>
      </c>
      <c r="T222" s="73"/>
    </row>
    <row r="223" spans="1:20" ht="33.75" customHeight="1" x14ac:dyDescent="0.3">
      <c r="A223" s="60" t="str">
        <f>IFERROR(VLOOKUP(Libromaestro[[#This Row],[MACROPROCESO]],Tabla1[],2,FALSE),"")</f>
        <v>Corportativa</v>
      </c>
      <c r="B223" s="73" t="s">
        <v>32</v>
      </c>
      <c r="C223" s="64" t="s">
        <v>57</v>
      </c>
      <c r="D223" s="64" t="s">
        <v>27</v>
      </c>
      <c r="E22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2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223" s="64">
        <v>14</v>
      </c>
      <c r="H223" s="60" t="str">
        <f>_xlfn.CONCAT(Libromaestro[[#This Row],[SIGLAS]],"-",Libromaestro[[#This Row],[T. DOC]],"-",Libromaestro[[#This Row],[CONSECUTIVO]])</f>
        <v>H-IN-14</v>
      </c>
      <c r="I223" s="73" t="s">
        <v>297</v>
      </c>
      <c r="J223" s="64">
        <v>1</v>
      </c>
      <c r="K223" s="64" t="str">
        <f>_xlfn.XLOOKUP(Libromaestro[[#This Row],[CODIGO DEL DOCUMENTO]],Arreglo_Binaps[Codigo Documento],Arreglo_Binaps[Estado],"No creado",0)</f>
        <v>No creado</v>
      </c>
      <c r="L223" s="66" t="str">
        <f>_xlfn.XLOOKUP(Libromaestro[[#This Row],[CODIGO DEL DOCUMENTO]],Arreglo_Binaps[Codigo Documento],Arreglo_Binaps[Fecha de creación],"",0,1)</f>
        <v/>
      </c>
      <c r="M223" s="66"/>
      <c r="N223"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23"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23" s="67" t="str">
        <f>_xlfn.LET(_xlpm.resultado,_xlfn.XLOOKUP(Libromaestro[[#This Row],[CODIGO DEL DOCUMENTO]],Arreglo_Binaps[Codigo Documento],Arreglo_Binaps[Fecha_Aprobacion],"",0,1),IF(_xlpm.resultado=0,"",_xlpm.resultado))</f>
        <v/>
      </c>
      <c r="Q223" s="172"/>
      <c r="R223" s="68"/>
      <c r="S223" s="69"/>
      <c r="T223" s="80"/>
    </row>
    <row r="224" spans="1:20" ht="33.75" customHeight="1" x14ac:dyDescent="0.3">
      <c r="A224" s="60" t="str">
        <f>IFERROR(VLOOKUP(Libromaestro[[#This Row],[MACROPROCESO]],Tabla1[],2,FALSE),"")</f>
        <v>Corportativa</v>
      </c>
      <c r="B224" s="73" t="s">
        <v>32</v>
      </c>
      <c r="C224" s="64" t="s">
        <v>57</v>
      </c>
      <c r="D224" s="64" t="s">
        <v>37</v>
      </c>
      <c r="E22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2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224" s="64">
        <v>7</v>
      </c>
      <c r="H224" s="60" t="str">
        <f>_xlfn.CONCAT(Libromaestro[[#This Row],[SIGLAS]],"-",Libromaestro[[#This Row],[T. DOC]],"-",Libromaestro[[#This Row],[CONSECUTIVO]])</f>
        <v>H-PO-7</v>
      </c>
      <c r="I224" s="73" t="s">
        <v>298</v>
      </c>
      <c r="J224" s="64">
        <v>1</v>
      </c>
      <c r="K224" s="64" t="str">
        <f>_xlfn.XLOOKUP(Libromaestro[[#This Row],[CODIGO DEL DOCUMENTO]],Arreglo_Binaps[Codigo Documento],Arreglo_Binaps[Estado],"No creado",0)</f>
        <v>Rechazado</v>
      </c>
      <c r="L224" s="66" t="str">
        <f>_xlfn.XLOOKUP(Libromaestro[[#This Row],[CODIGO DEL DOCUMENTO]],Arreglo_Binaps[Codigo Documento],Arreglo_Binaps[Fecha de creación],"",0,1)</f>
        <v>2025-01-23</v>
      </c>
      <c r="M224" s="66"/>
      <c r="N22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46775</v>
      </c>
      <c r="O22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46775</v>
      </c>
      <c r="P224" s="67" t="str">
        <f>_xlfn.LET(_xlpm.resultado,_xlfn.XLOOKUP(Libromaestro[[#This Row],[CODIGO DEL DOCUMENTO]],Arreglo_Binaps[Codigo Documento],Arreglo_Binaps[Fecha_Aprobacion],"",0,1),IF(_xlpm.resultado=0,"",_xlpm.resultado))</f>
        <v/>
      </c>
      <c r="Q224" s="172"/>
      <c r="R224" s="68"/>
      <c r="S224" s="69" t="s">
        <v>28</v>
      </c>
      <c r="T224" s="73"/>
    </row>
    <row r="225" spans="1:20" ht="33.75" customHeight="1" x14ac:dyDescent="0.3">
      <c r="A225" s="60" t="str">
        <f>IFERROR(VLOOKUP(Libromaestro[[#This Row],[MACROPROCESO]],Tabla1[],2,FALSE),"")</f>
        <v>Corportativa</v>
      </c>
      <c r="B225" s="73" t="s">
        <v>32</v>
      </c>
      <c r="C225" s="64" t="s">
        <v>51</v>
      </c>
      <c r="D225" s="64" t="s">
        <v>34</v>
      </c>
      <c r="E22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2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25" s="64">
        <v>7</v>
      </c>
      <c r="H225" s="60" t="str">
        <f>_xlfn.CONCAT(Libromaestro[[#This Row],[SIGLAS]],"-",Libromaestro[[#This Row],[T. DOC]],"-",Libromaestro[[#This Row],[CONSECUTIVO]])</f>
        <v>H-PR-7</v>
      </c>
      <c r="I225" s="73" t="s">
        <v>299</v>
      </c>
      <c r="J225" s="64">
        <v>1</v>
      </c>
      <c r="K225" s="64" t="str">
        <f>_xlfn.XLOOKUP(Libromaestro[[#This Row],[CODIGO DEL DOCUMENTO]],Arreglo_Binaps[Codigo Documento],Arreglo_Binaps[Estado],"No creado",0)</f>
        <v>No creado</v>
      </c>
      <c r="L225" s="66" t="str">
        <f>_xlfn.XLOOKUP(Libromaestro[[#This Row],[CODIGO DEL DOCUMENTO]],Arreglo_Binaps[Codigo Documento],Arreglo_Binaps[Fecha de creación],"",0,1)</f>
        <v/>
      </c>
      <c r="M225" s="66"/>
      <c r="N225"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25"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25" s="67" t="str">
        <f>_xlfn.LET(_xlpm.resultado,_xlfn.XLOOKUP(Libromaestro[[#This Row],[CODIGO DEL DOCUMENTO]],Arreglo_Binaps[Codigo Documento],Arreglo_Binaps[Fecha_Aprobacion],"",0,1),IF(_xlpm.resultado=0,"",_xlpm.resultado))</f>
        <v/>
      </c>
      <c r="Q225" s="172"/>
      <c r="R225" s="68"/>
      <c r="S225" s="69"/>
      <c r="T225" s="73"/>
    </row>
    <row r="226" spans="1:20" ht="33.75" customHeight="1" x14ac:dyDescent="0.3">
      <c r="A226" s="60" t="str">
        <f>IFERROR(VLOOKUP(Libromaestro[[#This Row],[MACROPROCESO]],Tabla1[],2,FALSE),"")</f>
        <v>Corportativa</v>
      </c>
      <c r="B226" s="73" t="s">
        <v>38</v>
      </c>
      <c r="C226" s="64" t="s">
        <v>26</v>
      </c>
      <c r="D226" s="64" t="s">
        <v>16</v>
      </c>
      <c r="E22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22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26" s="64">
        <v>7</v>
      </c>
      <c r="H226" s="60" t="str">
        <f>_xlfn.CONCAT(Libromaestro[[#This Row],[SIGLAS]],"-",Libromaestro[[#This Row],[T. DOC]],"-",Libromaestro[[#This Row],[CONSECUTIVO]])</f>
        <v>M-FT-7</v>
      </c>
      <c r="I226" s="73" t="s">
        <v>190</v>
      </c>
      <c r="J226" s="64">
        <v>1</v>
      </c>
      <c r="K226" s="64" t="str">
        <f>_xlfn.XLOOKUP(Libromaestro[[#This Row],[CODIGO DEL DOCUMENTO]],Arreglo_Binaps[Codigo Documento],Arreglo_Binaps[Estado],"No creado",0)</f>
        <v>No creado</v>
      </c>
      <c r="L226" s="66" t="str">
        <f>_xlfn.XLOOKUP(Libromaestro[[#This Row],[CODIGO DEL DOCUMENTO]],Arreglo_Binaps[Codigo Documento],Arreglo_Binaps[Fecha de creación],"",0,1)</f>
        <v/>
      </c>
      <c r="M226" s="66"/>
      <c r="N226"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26"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26" s="67" t="str">
        <f>_xlfn.LET(_xlpm.resultado,_xlfn.XLOOKUP(Libromaestro[[#This Row],[CODIGO DEL DOCUMENTO]],Arreglo_Binaps[Codigo Documento],Arreglo_Binaps[Fecha_Aprobacion],"",0,1),IF(_xlpm.resultado=0,"",_xlpm.resultado))</f>
        <v/>
      </c>
      <c r="Q226" s="172"/>
      <c r="R226" s="68"/>
      <c r="S226" s="69"/>
      <c r="T226" s="73"/>
    </row>
    <row r="227" spans="1:20" ht="33.75" customHeight="1" x14ac:dyDescent="0.3">
      <c r="A227" s="60" t="str">
        <f>IFERROR(VLOOKUP(Libromaestro[[#This Row],[MACROPROCESO]],Tabla1[],2,FALSE),"")</f>
        <v>Proyectos</v>
      </c>
      <c r="B227" s="73" t="s">
        <v>41</v>
      </c>
      <c r="C227" s="64" t="s">
        <v>58</v>
      </c>
      <c r="D227" s="64" t="s">
        <v>16</v>
      </c>
      <c r="E22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22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27" s="76">
        <v>7</v>
      </c>
      <c r="H227" s="60" t="str">
        <f>_xlfn.CONCAT(Libromaestro[[#This Row],[SIGLAS]],"-",Libromaestro[[#This Row],[T. DOC]],"-",Libromaestro[[#This Row],[CONSECUTIVO]])</f>
        <v>P-FT-7</v>
      </c>
      <c r="I227" s="73" t="s">
        <v>300</v>
      </c>
      <c r="J227" s="64">
        <v>1</v>
      </c>
      <c r="K227" s="64" t="str">
        <f>_xlfn.XLOOKUP(Libromaestro[[#This Row],[CODIGO DEL DOCUMENTO]],Arreglo_Binaps[Codigo Documento],Arreglo_Binaps[Estado],"No creado",0)</f>
        <v>No creado</v>
      </c>
      <c r="L227" s="66" t="str">
        <f>_xlfn.XLOOKUP(Libromaestro[[#This Row],[CODIGO DEL DOCUMENTO]],Arreglo_Binaps[Codigo Documento],Arreglo_Binaps[Fecha de creación],"",0,1)</f>
        <v/>
      </c>
      <c r="M227" s="66"/>
      <c r="N227"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27"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27" s="67" t="str">
        <f>_xlfn.LET(_xlpm.resultado,_xlfn.XLOOKUP(Libromaestro[[#This Row],[CODIGO DEL DOCUMENTO]],Arreglo_Binaps[Codigo Documento],Arreglo_Binaps[Fecha_Aprobacion],"",0,1),IF(_xlpm.resultado=0,"",_xlpm.resultado))</f>
        <v/>
      </c>
      <c r="Q227" s="177"/>
      <c r="R227" s="69"/>
      <c r="S227" s="85"/>
      <c r="T227" s="79"/>
    </row>
    <row r="228" spans="1:20" ht="33.75" customHeight="1" x14ac:dyDescent="0.3">
      <c r="A228" s="60" t="str">
        <f>IFERROR(VLOOKUP(Libromaestro[[#This Row],[MACROPROCESO]],Tabla1[],2,FALSE),"")</f>
        <v>Suministros</v>
      </c>
      <c r="B228" s="73" t="s">
        <v>45</v>
      </c>
      <c r="C228" s="64" t="s">
        <v>30</v>
      </c>
      <c r="D228" s="64" t="s">
        <v>16</v>
      </c>
      <c r="E22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22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28" s="76">
        <v>28</v>
      </c>
      <c r="H228" s="60" t="str">
        <f>_xlfn.CONCAT(Libromaestro[[#This Row],[SIGLAS]],"-",Libromaestro[[#This Row],[T. DOC]],"-",Libromaestro[[#This Row],[CONSECUTIVO]])</f>
        <v>S-FT-28</v>
      </c>
      <c r="I228" s="73" t="s">
        <v>487</v>
      </c>
      <c r="J228" s="64">
        <v>2</v>
      </c>
      <c r="K228" s="64" t="str">
        <f>_xlfn.XLOOKUP(Libromaestro[[#This Row],[CODIGO DEL DOCUMENTO]],Arreglo_Binaps[Codigo Documento],Arreglo_Binaps[Estado],"No creado",0)</f>
        <v>Aprobado</v>
      </c>
      <c r="L228" s="66" t="str">
        <f>_xlfn.XLOOKUP(Libromaestro[[#This Row],[CODIGO DEL DOCUMENTO]],Arreglo_Binaps[Codigo Documento],Arreglo_Binaps[Fecha de creación],"",0,1)</f>
        <v>2023-04-05</v>
      </c>
      <c r="M228" s="66">
        <v>45973</v>
      </c>
      <c r="N22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47069</v>
      </c>
      <c r="O22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47069</v>
      </c>
      <c r="P228" s="67">
        <f>_xlfn.LET(_xlpm.resultado,_xlfn.XLOOKUP(Libromaestro[[#This Row],[CODIGO DEL DOCUMENTO]],Arreglo_Binaps[Codigo Documento],Arreglo_Binaps[Fecha_Aprobacion],"",0,1),IF(_xlpm.resultado=0,"",_xlpm.resultado))</f>
        <v>46108</v>
      </c>
      <c r="Q228" s="177"/>
      <c r="R228" s="69"/>
      <c r="S228" s="85" t="s">
        <v>11</v>
      </c>
      <c r="T228" s="79"/>
    </row>
    <row r="229" spans="1:20" ht="33.75" customHeight="1" x14ac:dyDescent="0.3">
      <c r="A229" s="60" t="str">
        <f>IFERROR(VLOOKUP(Libromaestro[[#This Row],[MACROPROCESO]],Tabla1[],2,FALSE),"")</f>
        <v>Suministros</v>
      </c>
      <c r="B229" s="73" t="s">
        <v>45</v>
      </c>
      <c r="C229" s="64" t="s">
        <v>54</v>
      </c>
      <c r="D229" s="64" t="s">
        <v>16</v>
      </c>
      <c r="E22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22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29" s="64">
        <v>30</v>
      </c>
      <c r="H229" s="60" t="str">
        <f>_xlfn.CONCAT(Libromaestro[[#This Row],[SIGLAS]],"-",Libromaestro[[#This Row],[T. DOC]],"-",Libromaestro[[#This Row],[CONSECUTIVO]])</f>
        <v>S-FT-30</v>
      </c>
      <c r="I229" s="73" t="s">
        <v>495</v>
      </c>
      <c r="J229" s="64">
        <v>2</v>
      </c>
      <c r="K229" s="64" t="str">
        <f>_xlfn.XLOOKUP(Libromaestro[[#This Row],[CODIGO DEL DOCUMENTO]],Arreglo_Binaps[Codigo Documento],Arreglo_Binaps[Estado],"No creado",0)</f>
        <v>Aprobado</v>
      </c>
      <c r="L229" s="66" t="str">
        <f>_xlfn.XLOOKUP(Libromaestro[[#This Row],[CODIGO DEL DOCUMENTO]],Arreglo_Binaps[Codigo Documento],Arreglo_Binaps[Fecha de creación],"",0,1)</f>
        <v>2024-04-22</v>
      </c>
      <c r="M229" s="66">
        <v>45853</v>
      </c>
      <c r="N22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O22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P229" s="67">
        <f>_xlfn.LET(_xlpm.resultado,_xlfn.XLOOKUP(Libromaestro[[#This Row],[CODIGO DEL DOCUMENTO]],Arreglo_Binaps[Codigo Documento],Arreglo_Binaps[Fecha_Aprobacion],"",0,1),IF(_xlpm.resultado=0,"",_xlpm.resultado))</f>
        <v>45853</v>
      </c>
      <c r="Q229" s="177"/>
      <c r="R229" s="69"/>
      <c r="S229" s="85" t="s">
        <v>23</v>
      </c>
      <c r="T229" s="78" t="s">
        <v>435</v>
      </c>
    </row>
    <row r="230" spans="1:20" ht="33.75" customHeight="1" x14ac:dyDescent="0.3">
      <c r="A230" s="60" t="str">
        <f>IFERROR(VLOOKUP(Libromaestro[[#This Row],[MACROPROCESO]],Tabla1[],2,FALSE),"")</f>
        <v>Suministros</v>
      </c>
      <c r="B230" s="73" t="s">
        <v>45</v>
      </c>
      <c r="C230" s="64" t="s">
        <v>54</v>
      </c>
      <c r="D230" s="64" t="s">
        <v>16</v>
      </c>
      <c r="E23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23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30" s="64">
        <v>31</v>
      </c>
      <c r="H230" s="60" t="str">
        <f>_xlfn.CONCAT(Libromaestro[[#This Row],[SIGLAS]],"-",Libromaestro[[#This Row],[T. DOC]],"-",Libromaestro[[#This Row],[CONSECUTIVO]])</f>
        <v>S-FT-31</v>
      </c>
      <c r="I230" s="101" t="s">
        <v>497</v>
      </c>
      <c r="J230" s="64">
        <v>1</v>
      </c>
      <c r="K230" s="64" t="str">
        <f>_xlfn.XLOOKUP(Libromaestro[[#This Row],[CODIGO DEL DOCUMENTO]],Arreglo_Binaps[Codigo Documento],Arreglo_Binaps[Estado],"No creado",0)</f>
        <v>Aprobado</v>
      </c>
      <c r="L230" s="66" t="str">
        <f>_xlfn.XLOOKUP(Libromaestro[[#This Row],[CODIGO DEL DOCUMENTO]],Arreglo_Binaps[Codigo Documento],Arreglo_Binaps[Fecha de creación],"",0,1)</f>
        <v>2023-08-30</v>
      </c>
      <c r="M230" s="66"/>
      <c r="N23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46264</v>
      </c>
      <c r="O23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46264</v>
      </c>
      <c r="P230" s="67">
        <f>_xlfn.LET(_xlpm.resultado,_xlfn.XLOOKUP(Libromaestro[[#This Row],[CODIGO DEL DOCUMENTO]],Arreglo_Binaps[Codigo Documento],Arreglo_Binaps[Fecha_Aprobacion],"",0,1),IF(_xlpm.resultado=0,"",_xlpm.resultado))</f>
        <v>45351</v>
      </c>
      <c r="Q230" s="177"/>
      <c r="R230" s="69"/>
      <c r="S230" s="85" t="s">
        <v>23</v>
      </c>
      <c r="T230" s="78" t="s">
        <v>435</v>
      </c>
    </row>
    <row r="231" spans="1:20" ht="33.75" customHeight="1" x14ac:dyDescent="0.3">
      <c r="A231" s="60" t="str">
        <f>IFERROR(VLOOKUP(Libromaestro[[#This Row],[MACROPROCESO]],Tabla1[],2,FALSE),"")</f>
        <v>Electroingeniería</v>
      </c>
      <c r="B231" s="70" t="s">
        <v>29</v>
      </c>
      <c r="C231" s="60" t="s">
        <v>2255</v>
      </c>
      <c r="D231" s="60" t="s">
        <v>34</v>
      </c>
      <c r="E231"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231"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31" s="60">
        <v>5</v>
      </c>
      <c r="H231" s="60" t="str">
        <f>_xlfn.CONCAT(Libromaestro[[#This Row],[SIGLAS]],"-",Libromaestro[[#This Row],[T. DOC]],"-",Libromaestro[[#This Row],[CONSECUTIVO]])</f>
        <v>L-PR-5</v>
      </c>
      <c r="I231" s="70" t="s">
        <v>249</v>
      </c>
      <c r="J231" s="60">
        <v>2</v>
      </c>
      <c r="K231" s="64" t="str">
        <f>_xlfn.XLOOKUP(Libromaestro[[#This Row],[CODIGO DEL DOCUMENTO]],Arreglo_Binaps[Codigo Documento],Arreglo_Binaps[Estado],"No creado",0)</f>
        <v>Aprobado</v>
      </c>
      <c r="L231" s="66" t="str">
        <f>_xlfn.XLOOKUP(Libromaestro[[#This Row],[CODIGO DEL DOCUMENTO]],Arreglo_Binaps[Codigo Documento],Arreglo_Binaps[Fecha de creación],"",0,1)</f>
        <v>2023-12-07</v>
      </c>
      <c r="M231" s="66">
        <v>45754</v>
      </c>
      <c r="N23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46850</v>
      </c>
      <c r="O23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46850</v>
      </c>
      <c r="P231" s="67">
        <f>_xlfn.LET(_xlpm.resultado,_xlfn.XLOOKUP(Libromaestro[[#This Row],[CODIGO DEL DOCUMENTO]],Arreglo_Binaps[Codigo Documento],Arreglo_Binaps[Fecha_Aprobacion],"",0,1),IF(_xlpm.resultado=0,"",_xlpm.resultado))</f>
        <v>45754</v>
      </c>
      <c r="Q231" s="172"/>
      <c r="R231" s="68"/>
      <c r="S231" s="69" t="s">
        <v>28</v>
      </c>
      <c r="T231" s="70"/>
    </row>
    <row r="232" spans="1:20" ht="33.75" customHeight="1" x14ac:dyDescent="0.3">
      <c r="A232" s="60" t="str">
        <f>IFERROR(VLOOKUP(Libromaestro[[#This Row],[MACROPROCESO]],Tabla1[],2,FALSE),"")</f>
        <v>Alumbrado Público</v>
      </c>
      <c r="B232" s="70" t="s">
        <v>7</v>
      </c>
      <c r="C232" s="60" t="s">
        <v>61</v>
      </c>
      <c r="D232" s="60" t="s">
        <v>16</v>
      </c>
      <c r="E232"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32"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32" s="60">
        <v>8</v>
      </c>
      <c r="H232" s="60" t="str">
        <f>_xlfn.CONCAT(Libromaestro[[#This Row],[SIGLAS]],"-",Libromaestro[[#This Row],[T. DOC]],"-",Libromaestro[[#This Row],[CONSECUTIVO]])</f>
        <v>A-FT-8</v>
      </c>
      <c r="I232" s="73" t="s">
        <v>305</v>
      </c>
      <c r="J232" s="64">
        <v>1</v>
      </c>
      <c r="K232" s="64" t="str">
        <f>_xlfn.XLOOKUP(Libromaestro[[#This Row],[CODIGO DEL DOCUMENTO]],Arreglo_Binaps[Codigo Documento],Arreglo_Binaps[Estado],"No creado",0)</f>
        <v>Aprobado</v>
      </c>
      <c r="L232" s="66" t="str">
        <f>_xlfn.XLOOKUP(Libromaestro[[#This Row],[CODIGO DEL DOCUMENTO]],Arreglo_Binaps[Codigo Documento],Arreglo_Binaps[Fecha de creación],"",0,1)</f>
        <v>2022-08-29</v>
      </c>
      <c r="M232" s="66"/>
      <c r="N23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45898</v>
      </c>
      <c r="O23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45898</v>
      </c>
      <c r="P232" s="67">
        <f>_xlfn.LET(_xlpm.resultado,_xlfn.XLOOKUP(Libromaestro[[#This Row],[CODIGO DEL DOCUMENTO]],Arreglo_Binaps[Codigo Documento],Arreglo_Binaps[Fecha_Aprobacion],"",0,1),IF(_xlpm.resultado=0,"",_xlpm.resultado))</f>
        <v>44802</v>
      </c>
      <c r="Q232" s="172" t="s">
        <v>306</v>
      </c>
      <c r="R232" s="68"/>
      <c r="S232" s="69" t="s">
        <v>17</v>
      </c>
      <c r="T232" s="73"/>
    </row>
    <row r="233" spans="1:20" ht="33.75" customHeight="1" x14ac:dyDescent="0.3">
      <c r="A233" s="60" t="str">
        <f>IFERROR(VLOOKUP(Libromaestro[[#This Row],[MACROPROCESO]],Tabla1[],2,FALSE),"")</f>
        <v>Alumbrado Público</v>
      </c>
      <c r="B233" s="70" t="s">
        <v>7</v>
      </c>
      <c r="C233" s="60" t="s">
        <v>52</v>
      </c>
      <c r="D233" s="60" t="s">
        <v>22</v>
      </c>
      <c r="E233"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33"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233" s="60">
        <v>8</v>
      </c>
      <c r="H233" s="60" t="str">
        <f>_xlfn.CONCAT(Libromaestro[[#This Row],[SIGLAS]],"-",Libromaestro[[#This Row],[T. DOC]],"-",Libromaestro[[#This Row],[CONSECUTIVO]])</f>
        <v>A-GU-8</v>
      </c>
      <c r="I233" s="73" t="s">
        <v>307</v>
      </c>
      <c r="J233" s="60">
        <v>1</v>
      </c>
      <c r="K233" s="64" t="str">
        <f>_xlfn.XLOOKUP(Libromaestro[[#This Row],[CODIGO DEL DOCUMENTO]],Arreglo_Binaps[Codigo Documento],Arreglo_Binaps[Estado],"No creado",0)</f>
        <v>No creado</v>
      </c>
      <c r="L233" s="66" t="str">
        <f>_xlfn.XLOOKUP(Libromaestro[[#This Row],[CODIGO DEL DOCUMENTO]],Arreglo_Binaps[Codigo Documento],Arreglo_Binaps[Fecha de creación],"",0,1)</f>
        <v/>
      </c>
      <c r="M233" s="66"/>
      <c r="N233"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33"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33" s="67" t="str">
        <f>_xlfn.LET(_xlpm.resultado,_xlfn.XLOOKUP(Libromaestro[[#This Row],[CODIGO DEL DOCUMENTO]],Arreglo_Binaps[Codigo Documento],Arreglo_Binaps[Fecha_Aprobacion],"",0,1),IF(_xlpm.resultado=0,"",_xlpm.resultado))</f>
        <v/>
      </c>
      <c r="Q233" s="172"/>
      <c r="R233" s="68"/>
      <c r="S233" s="69" t="s">
        <v>28</v>
      </c>
      <c r="T233" s="70"/>
    </row>
    <row r="234" spans="1:20" ht="33.75" customHeight="1" x14ac:dyDescent="0.3">
      <c r="A234" s="60" t="str">
        <f>IFERROR(VLOOKUP(Libromaestro[[#This Row],[MACROPROCESO]],Tabla1[],2,FALSE),"")</f>
        <v>Alumbrado Público</v>
      </c>
      <c r="B234" s="70" t="s">
        <v>7</v>
      </c>
      <c r="C234" s="60" t="s">
        <v>61</v>
      </c>
      <c r="D234" s="60" t="s">
        <v>31</v>
      </c>
      <c r="E234"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34"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234" s="60">
        <v>5</v>
      </c>
      <c r="H234" s="60" t="str">
        <f>_xlfn.CONCAT(Libromaestro[[#This Row],[SIGLAS]],"-",Libromaestro[[#This Row],[T. DOC]],"-",Libromaestro[[#This Row],[CONSECUTIVO]])</f>
        <v>A-MA-5</v>
      </c>
      <c r="I234" s="70" t="s">
        <v>308</v>
      </c>
      <c r="J234" s="60">
        <v>1</v>
      </c>
      <c r="K234" s="64" t="str">
        <f>_xlfn.XLOOKUP(Libromaestro[[#This Row],[CODIGO DEL DOCUMENTO]],Arreglo_Binaps[Codigo Documento],Arreglo_Binaps[Estado],"No creado",0)</f>
        <v>Aprobado</v>
      </c>
      <c r="L234" s="66" t="str">
        <f>_xlfn.XLOOKUP(Libromaestro[[#This Row],[CODIGO DEL DOCUMENTO]],Arreglo_Binaps[Codigo Documento],Arreglo_Binaps[Fecha de creación],"",0,1)</f>
        <v>2025-08-14</v>
      </c>
      <c r="M234" s="66">
        <v>45814</v>
      </c>
      <c r="N23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46910</v>
      </c>
      <c r="O23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46910</v>
      </c>
      <c r="P234" s="67">
        <f>_xlfn.LET(_xlpm.resultado,_xlfn.XLOOKUP(Libromaestro[[#This Row],[CODIGO DEL DOCUMENTO]],Arreglo_Binaps[Codigo Documento],Arreglo_Binaps[Fecha_Aprobacion],"",0,1),IF(_xlpm.resultado=0,"",_xlpm.resultado))</f>
        <v>46154</v>
      </c>
      <c r="Q234" s="172"/>
      <c r="R234" s="68"/>
      <c r="S234" s="69"/>
      <c r="T234" s="70"/>
    </row>
    <row r="235" spans="1:20" ht="33.75" customHeight="1" x14ac:dyDescent="0.3">
      <c r="A235" s="60" t="str">
        <f>IFERROR(VLOOKUP(Libromaestro[[#This Row],[MACROPROCESO]],Tabla1[],2,FALSE),"")</f>
        <v>Alumbrado Público</v>
      </c>
      <c r="B235" s="73" t="s">
        <v>7</v>
      </c>
      <c r="C235" s="64" t="s">
        <v>61</v>
      </c>
      <c r="D235" s="64" t="s">
        <v>31</v>
      </c>
      <c r="E23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3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235" s="64">
        <v>7</v>
      </c>
      <c r="H235" s="60" t="str">
        <f>_xlfn.CONCAT(Libromaestro[[#This Row],[SIGLAS]],"-",Libromaestro[[#This Row],[T. DOC]],"-",Libromaestro[[#This Row],[CONSECUTIVO]])</f>
        <v>A-MA-7</v>
      </c>
      <c r="I235" s="73" t="s">
        <v>309</v>
      </c>
      <c r="J235" s="64">
        <v>1</v>
      </c>
      <c r="K235" s="64" t="str">
        <f>_xlfn.XLOOKUP(Libromaestro[[#This Row],[CODIGO DEL DOCUMENTO]],Arreglo_Binaps[Codigo Documento],Arreglo_Binaps[Estado],"No creado",0)</f>
        <v>No creado</v>
      </c>
      <c r="L235" s="66" t="str">
        <f>_xlfn.XLOOKUP(Libromaestro[[#This Row],[CODIGO DEL DOCUMENTO]],Arreglo_Binaps[Codigo Documento],Arreglo_Binaps[Fecha de creación],"",0,1)</f>
        <v/>
      </c>
      <c r="M235" s="66"/>
      <c r="N235"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35"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35" s="67" t="str">
        <f>_xlfn.LET(_xlpm.resultado,_xlfn.XLOOKUP(Libromaestro[[#This Row],[CODIGO DEL DOCUMENTO]],Arreglo_Binaps[Codigo Documento],Arreglo_Binaps[Fecha_Aprobacion],"",0,1),IF(_xlpm.resultado=0,"",_xlpm.resultado))</f>
        <v/>
      </c>
      <c r="Q235" s="172"/>
      <c r="R235" s="68"/>
      <c r="S235" s="69"/>
      <c r="T235" s="73"/>
    </row>
    <row r="236" spans="1:20" ht="33.75" customHeight="1" x14ac:dyDescent="0.3">
      <c r="A236" s="60" t="str">
        <f>IFERROR(VLOOKUP(Libromaestro[[#This Row],[MACROPROCESO]],Tabla1[],2,FALSE),"")</f>
        <v>Alumbrado Público</v>
      </c>
      <c r="B236" s="73" t="s">
        <v>7</v>
      </c>
      <c r="C236" s="64" t="s">
        <v>61</v>
      </c>
      <c r="D236" s="64" t="s">
        <v>31</v>
      </c>
      <c r="E23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3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236" s="64">
        <v>8</v>
      </c>
      <c r="H236" s="60" t="str">
        <f>_xlfn.CONCAT(Libromaestro[[#This Row],[SIGLAS]],"-",Libromaestro[[#This Row],[T. DOC]],"-",Libromaestro[[#This Row],[CONSECUTIVO]])</f>
        <v>A-MA-8</v>
      </c>
      <c r="I236" s="73" t="s">
        <v>310</v>
      </c>
      <c r="J236" s="64">
        <v>1</v>
      </c>
      <c r="K236" s="64" t="str">
        <f>_xlfn.XLOOKUP(Libromaestro[[#This Row],[CODIGO DEL DOCUMENTO]],Arreglo_Binaps[Codigo Documento],Arreglo_Binaps[Estado],"No creado",0)</f>
        <v>No creado</v>
      </c>
      <c r="L236" s="66" t="str">
        <f>_xlfn.XLOOKUP(Libromaestro[[#This Row],[CODIGO DEL DOCUMENTO]],Arreglo_Binaps[Codigo Documento],Arreglo_Binaps[Fecha de creación],"",0,1)</f>
        <v/>
      </c>
      <c r="M236" s="66"/>
      <c r="N236"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36"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36" s="67" t="str">
        <f>_xlfn.LET(_xlpm.resultado,_xlfn.XLOOKUP(Libromaestro[[#This Row],[CODIGO DEL DOCUMENTO]],Arreglo_Binaps[Codigo Documento],Arreglo_Binaps[Fecha_Aprobacion],"",0,1),IF(_xlpm.resultado=0,"",_xlpm.resultado))</f>
        <v/>
      </c>
      <c r="Q236" s="172"/>
      <c r="R236" s="68"/>
      <c r="S236" s="69" t="s">
        <v>28</v>
      </c>
      <c r="T236" s="73"/>
    </row>
    <row r="237" spans="1:20" ht="33.75" customHeight="1" x14ac:dyDescent="0.3">
      <c r="A237" s="60" t="str">
        <f>IFERROR(VLOOKUP(Libromaestro[[#This Row],[MACROPROCESO]],Tabla1[],2,FALSE),"")</f>
        <v>Corportativa</v>
      </c>
      <c r="B237" s="73" t="s">
        <v>49</v>
      </c>
      <c r="C237" s="64" t="s">
        <v>2254</v>
      </c>
      <c r="D237" s="64" t="s">
        <v>16</v>
      </c>
      <c r="E23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23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37" s="76">
        <v>8</v>
      </c>
      <c r="H237" s="60" t="str">
        <f>_xlfn.CONCAT(Libromaestro[[#This Row],[SIGLAS]],"-",Libromaestro[[#This Row],[T. DOC]],"-",Libromaestro[[#This Row],[CONSECUTIVO]])</f>
        <v>T-FT-8</v>
      </c>
      <c r="I237" s="70" t="s">
        <v>311</v>
      </c>
      <c r="J237" s="64">
        <v>1</v>
      </c>
      <c r="K237" s="64" t="str">
        <f>_xlfn.XLOOKUP(Libromaestro[[#This Row],[CODIGO DEL DOCUMENTO]],Arreglo_Binaps[Codigo Documento],Arreglo_Binaps[Estado],"No creado",0)</f>
        <v>Aprobado</v>
      </c>
      <c r="L237" s="66" t="str">
        <f>_xlfn.XLOOKUP(Libromaestro[[#This Row],[CODIGO DEL DOCUMENTO]],Arreglo_Binaps[Codigo Documento],Arreglo_Binaps[Fecha de creación],"",0,1)</f>
        <v>2025-07-16</v>
      </c>
      <c r="M237" s="66"/>
      <c r="N23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46950</v>
      </c>
      <c r="O23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46950</v>
      </c>
      <c r="P237" s="67">
        <f>_xlfn.LET(_xlpm.resultado,_xlfn.XLOOKUP(Libromaestro[[#This Row],[CODIGO DEL DOCUMENTO]],Arreglo_Binaps[Codigo Documento],Arreglo_Binaps[Fecha_Aprobacion],"",0,1),IF(_xlpm.resultado=0,"",_xlpm.resultado))</f>
        <v>45877</v>
      </c>
      <c r="Q237" s="177"/>
      <c r="R237" s="69"/>
      <c r="S237" s="85"/>
      <c r="T237" s="86"/>
    </row>
    <row r="238" spans="1:20" ht="33.75" customHeight="1" x14ac:dyDescent="0.3">
      <c r="A238" s="60" t="str">
        <f>IFERROR(VLOOKUP(Libromaestro[[#This Row],[MACROPROCESO]],Tabla1[],2,FALSE),"")</f>
        <v>Corportativa</v>
      </c>
      <c r="B238" s="73" t="s">
        <v>49</v>
      </c>
      <c r="C238" s="64" t="s">
        <v>2254</v>
      </c>
      <c r="D238" s="64" t="s">
        <v>27</v>
      </c>
      <c r="E23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23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238" s="64">
        <v>8</v>
      </c>
      <c r="H238" s="60" t="str">
        <f>_xlfn.CONCAT(Libromaestro[[#This Row],[SIGLAS]],"-",Libromaestro[[#This Row],[T. DOC]],"-",Libromaestro[[#This Row],[CONSECUTIVO]])</f>
        <v>T-IN-8</v>
      </c>
      <c r="I238" s="101" t="s">
        <v>312</v>
      </c>
      <c r="J238" s="64">
        <v>1</v>
      </c>
      <c r="K238" s="64" t="str">
        <f>_xlfn.XLOOKUP(Libromaestro[[#This Row],[CODIGO DEL DOCUMENTO]],Arreglo_Binaps[Codigo Documento],Arreglo_Binaps[Estado],"No creado",0)</f>
        <v>En aprobacion</v>
      </c>
      <c r="L238" s="66" t="str">
        <f>_xlfn.XLOOKUP(Libromaestro[[#This Row],[CODIGO DEL DOCUMENTO]],Arreglo_Binaps[Codigo Documento],Arreglo_Binaps[Fecha de creación],"",0,1)</f>
        <v>2025-08-14</v>
      </c>
      <c r="M238" s="66"/>
      <c r="N23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46979</v>
      </c>
      <c r="O23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46979</v>
      </c>
      <c r="P238" s="67" t="str">
        <f>_xlfn.LET(_xlpm.resultado,_xlfn.XLOOKUP(Libromaestro[[#This Row],[CODIGO DEL DOCUMENTO]],Arreglo_Binaps[Codigo Documento],Arreglo_Binaps[Fecha_Aprobacion],"",0,1),IF(_xlpm.resultado=0,"",_xlpm.resultado))</f>
        <v/>
      </c>
      <c r="Q238" s="172"/>
      <c r="R238" s="68"/>
      <c r="S238" s="69"/>
      <c r="T238" s="70"/>
    </row>
    <row r="239" spans="1:20" ht="33.75" customHeight="1" x14ac:dyDescent="0.3">
      <c r="A239" s="60" t="str">
        <f>IFERROR(VLOOKUP(Libromaestro[[#This Row],[MACROPROCESO]],Tabla1[],2,FALSE),"")</f>
        <v>Electroingeniería</v>
      </c>
      <c r="B239" s="70" t="s">
        <v>29</v>
      </c>
      <c r="C239" s="64" t="s">
        <v>2255</v>
      </c>
      <c r="D239" s="60" t="s">
        <v>16</v>
      </c>
      <c r="E239"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239"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39" s="60">
        <v>8</v>
      </c>
      <c r="H239" s="60" t="str">
        <f>_xlfn.CONCAT(Libromaestro[[#This Row],[SIGLAS]],"-",Libromaestro[[#This Row],[T. DOC]],"-",Libromaestro[[#This Row],[CONSECUTIVO]])</f>
        <v>L-FT-8</v>
      </c>
      <c r="I239" s="70" t="s">
        <v>313</v>
      </c>
      <c r="J239" s="60">
        <v>1</v>
      </c>
      <c r="K239" s="64" t="str">
        <f>_xlfn.XLOOKUP(Libromaestro[[#This Row],[CODIGO DEL DOCUMENTO]],Arreglo_Binaps[Codigo Documento],Arreglo_Binaps[Estado],"No creado",0)</f>
        <v>Aprobado</v>
      </c>
      <c r="L239" s="66" t="str">
        <f>_xlfn.XLOOKUP(Libromaestro[[#This Row],[CODIGO DEL DOCUMENTO]],Arreglo_Binaps[Codigo Documento],Arreglo_Binaps[Fecha de creación],"",0,1)</f>
        <v>2023-12-05</v>
      </c>
      <c r="M239" s="66"/>
      <c r="N23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46361</v>
      </c>
      <c r="O23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46361</v>
      </c>
      <c r="P239" s="67">
        <f>_xlfn.LET(_xlpm.resultado,_xlfn.XLOOKUP(Libromaestro[[#This Row],[CODIGO DEL DOCUMENTO]],Arreglo_Binaps[Codigo Documento],Arreglo_Binaps[Fecha_Aprobacion],"",0,1),IF(_xlpm.resultado=0,"",_xlpm.resultado))</f>
        <v>45517</v>
      </c>
      <c r="Q239" s="172"/>
      <c r="R239" s="68"/>
      <c r="S239" s="69" t="s">
        <v>23</v>
      </c>
      <c r="T239" s="70"/>
    </row>
    <row r="240" spans="1:20" ht="33.75" customHeight="1" x14ac:dyDescent="0.3">
      <c r="A240" s="60" t="str">
        <f>IFERROR(VLOOKUP(Libromaestro[[#This Row],[MACROPROCESO]],Tabla1[],2,FALSE),"")</f>
        <v>Corportativa</v>
      </c>
      <c r="B240" s="73" t="s">
        <v>24</v>
      </c>
      <c r="C240" s="64" t="s">
        <v>2252</v>
      </c>
      <c r="D240" s="64" t="s">
        <v>34</v>
      </c>
      <c r="E24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24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40" s="64">
        <v>8</v>
      </c>
      <c r="H240" s="60" t="str">
        <f>_xlfn.CONCAT(Libromaestro[[#This Row],[SIGLAS]],"-",Libromaestro[[#This Row],[T. DOC]],"-",Libromaestro[[#This Row],[CONSECUTIVO]])</f>
        <v>F-PR-8</v>
      </c>
      <c r="I240" s="73" t="s">
        <v>314</v>
      </c>
      <c r="J240" s="64">
        <v>1</v>
      </c>
      <c r="K240" s="64" t="str">
        <f>_xlfn.XLOOKUP(Libromaestro[[#This Row],[CODIGO DEL DOCUMENTO]],Arreglo_Binaps[Codigo Documento],Arreglo_Binaps[Estado],"No creado",0)</f>
        <v>No creado</v>
      </c>
      <c r="L240" s="66" t="str">
        <f>_xlfn.XLOOKUP(Libromaestro[[#This Row],[CODIGO DEL DOCUMENTO]],Arreglo_Binaps[Codigo Documento],Arreglo_Binaps[Fecha de creación],"",0,1)</f>
        <v/>
      </c>
      <c r="M240" s="66"/>
      <c r="N240"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40"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40" s="67" t="str">
        <f>_xlfn.LET(_xlpm.resultado,_xlfn.XLOOKUP(Libromaestro[[#This Row],[CODIGO DEL DOCUMENTO]],Arreglo_Binaps[Codigo Documento],Arreglo_Binaps[Fecha_Aprobacion],"",0,1),IF(_xlpm.resultado=0,"",_xlpm.resultado))</f>
        <v/>
      </c>
      <c r="Q240" s="172"/>
      <c r="R240" s="68"/>
      <c r="S240" s="69"/>
      <c r="T240" s="73"/>
    </row>
    <row r="241" spans="1:20" ht="33.75" customHeight="1" x14ac:dyDescent="0.3">
      <c r="A241" s="60" t="str">
        <f>IFERROR(VLOOKUP(Libromaestro[[#This Row],[MACROPROCESO]],Tabla1[],2,FALSE),"")</f>
        <v>Corportativa</v>
      </c>
      <c r="B241" s="73" t="s">
        <v>32</v>
      </c>
      <c r="C241" s="64" t="s">
        <v>51</v>
      </c>
      <c r="D241" s="64" t="s">
        <v>16</v>
      </c>
      <c r="E24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4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41" s="64">
        <v>8</v>
      </c>
      <c r="H241" s="60" t="str">
        <f>_xlfn.CONCAT(Libromaestro[[#This Row],[SIGLAS]],"-",Libromaestro[[#This Row],[T. DOC]],"-",Libromaestro[[#This Row],[CONSECUTIVO]])</f>
        <v>H-FT-8</v>
      </c>
      <c r="I241" s="73" t="s">
        <v>315</v>
      </c>
      <c r="J241" s="64">
        <v>1</v>
      </c>
      <c r="K241" s="64" t="str">
        <f>_xlfn.XLOOKUP(Libromaestro[[#This Row],[CODIGO DEL DOCUMENTO]],Arreglo_Binaps[Codigo Documento],Arreglo_Binaps[Estado],"No creado",0)</f>
        <v>Aprobado</v>
      </c>
      <c r="L241" s="66" t="str">
        <f>_xlfn.XLOOKUP(Libromaestro[[#This Row],[CODIGO DEL DOCUMENTO]],Arreglo_Binaps[Codigo Documento],Arreglo_Binaps[Fecha de creación],"",0,1)</f>
        <v>2022-05-06</v>
      </c>
      <c r="M241" s="66"/>
      <c r="N24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45783</v>
      </c>
      <c r="O24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45783</v>
      </c>
      <c r="P241" s="67">
        <f>_xlfn.LET(_xlpm.resultado,_xlfn.XLOOKUP(Libromaestro[[#This Row],[CODIGO DEL DOCUMENTO]],Arreglo_Binaps[Codigo Documento],Arreglo_Binaps[Fecha_Aprobacion],"",0,1),IF(_xlpm.resultado=0,"",_xlpm.resultado))</f>
        <v>44687</v>
      </c>
      <c r="Q241" s="179" t="s">
        <v>277</v>
      </c>
      <c r="R241" s="68"/>
      <c r="S241" s="69" t="s">
        <v>23</v>
      </c>
      <c r="T241" s="73"/>
    </row>
    <row r="242" spans="1:20" ht="33.75" customHeight="1" x14ac:dyDescent="0.3">
      <c r="A242" s="60" t="str">
        <f>IFERROR(VLOOKUP(Libromaestro[[#This Row],[MACROPROCESO]],Tabla1[],2,FALSE),"")</f>
        <v>Corportativa</v>
      </c>
      <c r="B242" s="73" t="s">
        <v>32</v>
      </c>
      <c r="C242" s="64" t="s">
        <v>57</v>
      </c>
      <c r="D242" s="64" t="s">
        <v>27</v>
      </c>
      <c r="E24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4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242" s="64">
        <v>3</v>
      </c>
      <c r="H242" s="60" t="str">
        <f>_xlfn.CONCAT(Libromaestro[[#This Row],[SIGLAS]],"-",Libromaestro[[#This Row],[T. DOC]],"-",Libromaestro[[#This Row],[CONSECUTIVO]])</f>
        <v>H-IN-3</v>
      </c>
      <c r="I242" s="73" t="s">
        <v>316</v>
      </c>
      <c r="J242" s="64">
        <v>1</v>
      </c>
      <c r="K242" s="64" t="str">
        <f>_xlfn.XLOOKUP(Libromaestro[[#This Row],[CODIGO DEL DOCUMENTO]],Arreglo_Binaps[Codigo Documento],Arreglo_Binaps[Estado],"No creado",0)</f>
        <v>No creado</v>
      </c>
      <c r="L242" s="66" t="str">
        <f>_xlfn.XLOOKUP(Libromaestro[[#This Row],[CODIGO DEL DOCUMENTO]],Arreglo_Binaps[Codigo Documento],Arreglo_Binaps[Fecha de creación],"",0,1)</f>
        <v/>
      </c>
      <c r="M242" s="66"/>
      <c r="N242"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42"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42" s="67" t="str">
        <f>_xlfn.LET(_xlpm.resultado,_xlfn.XLOOKUP(Libromaestro[[#This Row],[CODIGO DEL DOCUMENTO]],Arreglo_Binaps[Codigo Documento],Arreglo_Binaps[Fecha_Aprobacion],"",0,1),IF(_xlpm.resultado=0,"",_xlpm.resultado))</f>
        <v/>
      </c>
      <c r="Q242" s="172"/>
      <c r="R242" s="68"/>
      <c r="S242" s="69"/>
      <c r="T242" s="73"/>
    </row>
    <row r="243" spans="1:20" ht="33.75" customHeight="1" x14ac:dyDescent="0.3">
      <c r="A243" s="60" t="str">
        <f>IFERROR(VLOOKUP(Libromaestro[[#This Row],[MACROPROCESO]],Tabla1[],2,FALSE),"")</f>
        <v>Corportativa</v>
      </c>
      <c r="B243" s="73" t="s">
        <v>32</v>
      </c>
      <c r="C243" s="64" t="s">
        <v>57</v>
      </c>
      <c r="D243" s="64" t="s">
        <v>37</v>
      </c>
      <c r="E24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4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243" s="64">
        <v>8</v>
      </c>
      <c r="H243" s="60" t="str">
        <f>_xlfn.CONCAT(Libromaestro[[#This Row],[SIGLAS]],"-",Libromaestro[[#This Row],[T. DOC]],"-",Libromaestro[[#This Row],[CONSECUTIVO]])</f>
        <v>H-PO-8</v>
      </c>
      <c r="I243" s="73" t="s">
        <v>317</v>
      </c>
      <c r="J243" s="64">
        <v>1</v>
      </c>
      <c r="K243" s="64" t="str">
        <f>_xlfn.XLOOKUP(Libromaestro[[#This Row],[CODIGO DEL DOCUMENTO]],Arreglo_Binaps[Codigo Documento],Arreglo_Binaps[Estado],"No creado",0)</f>
        <v>En Revision</v>
      </c>
      <c r="L243" s="66" t="str">
        <f>_xlfn.XLOOKUP(Libromaestro[[#This Row],[CODIGO DEL DOCUMENTO]],Arreglo_Binaps[Codigo Documento],Arreglo_Binaps[Fecha de creación],"",0,1)</f>
        <v>2025-01-23</v>
      </c>
      <c r="M243" s="66"/>
      <c r="N24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46775</v>
      </c>
      <c r="O24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46775</v>
      </c>
      <c r="P243" s="67" t="str">
        <f>_xlfn.LET(_xlpm.resultado,_xlfn.XLOOKUP(Libromaestro[[#This Row],[CODIGO DEL DOCUMENTO]],Arreglo_Binaps[Codigo Documento],Arreglo_Binaps[Fecha_Aprobacion],"",0,1),IF(_xlpm.resultado=0,"",_xlpm.resultado))</f>
        <v/>
      </c>
      <c r="Q243" s="172"/>
      <c r="R243" s="68"/>
      <c r="S243" s="69" t="s">
        <v>28</v>
      </c>
      <c r="T243" s="73"/>
    </row>
    <row r="244" spans="1:20" ht="33.75" customHeight="1" x14ac:dyDescent="0.3">
      <c r="A244" s="60" t="str">
        <f>IFERROR(VLOOKUP(Libromaestro[[#This Row],[MACROPROCESO]],Tabla1[],2,FALSE),"")</f>
        <v>Corportativa</v>
      </c>
      <c r="B244" s="73" t="s">
        <v>32</v>
      </c>
      <c r="C244" s="64" t="s">
        <v>59</v>
      </c>
      <c r="D244" s="64" t="s">
        <v>16</v>
      </c>
      <c r="E24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4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44" s="64">
        <v>40</v>
      </c>
      <c r="H244" s="60" t="str">
        <f>_xlfn.CONCAT(Libromaestro[[#This Row],[SIGLAS]],"-",Libromaestro[[#This Row],[T. DOC]],"-",Libromaestro[[#This Row],[CONSECUTIVO]])</f>
        <v>H-FT-40</v>
      </c>
      <c r="I244" s="73" t="s">
        <v>318</v>
      </c>
      <c r="J244" s="64">
        <v>1</v>
      </c>
      <c r="K244" s="64" t="str">
        <f>_xlfn.XLOOKUP(Libromaestro[[#This Row],[CODIGO DEL DOCUMENTO]],Arreglo_Binaps[Codigo Documento],Arreglo_Binaps[Estado],"No creado",0)</f>
        <v>Aprobado</v>
      </c>
      <c r="L244" s="66" t="str">
        <f>_xlfn.XLOOKUP(Libromaestro[[#This Row],[CODIGO DEL DOCUMENTO]],Arreglo_Binaps[Codigo Documento],Arreglo_Binaps[Fecha de creación],"",0,1)</f>
        <v>2025-05-29</v>
      </c>
      <c r="M244" s="66"/>
      <c r="N24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O24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P244" s="67">
        <f>_xlfn.LET(_xlpm.resultado,_xlfn.XLOOKUP(Libromaestro[[#This Row],[CODIGO DEL DOCUMENTO]],Arreglo_Binaps[Codigo Documento],Arreglo_Binaps[Fecha_Aprobacion],"",0,1),IF(_xlpm.resultado=0,"",_xlpm.resultado))</f>
        <v>45877</v>
      </c>
      <c r="Q244" s="172"/>
      <c r="R244" s="68"/>
      <c r="S244" s="69"/>
      <c r="T244" s="73"/>
    </row>
    <row r="245" spans="1:20" ht="33.75" customHeight="1" x14ac:dyDescent="0.3">
      <c r="A245" s="60" t="str">
        <f>IFERROR(VLOOKUP(Libromaestro[[#This Row],[MACROPROCESO]],Tabla1[],2,FALSE),"")</f>
        <v>Suministros</v>
      </c>
      <c r="B245" s="61" t="s">
        <v>45</v>
      </c>
      <c r="C245" s="60" t="s">
        <v>54</v>
      </c>
      <c r="D245" s="60" t="s">
        <v>16</v>
      </c>
      <c r="E245"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245"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45" s="60">
        <v>32</v>
      </c>
      <c r="H245" s="60" t="str">
        <f>_xlfn.CONCAT(Libromaestro[[#This Row],[SIGLAS]],"-",Libromaestro[[#This Row],[T. DOC]],"-",Libromaestro[[#This Row],[CONSECUTIVO]])</f>
        <v>S-FT-32</v>
      </c>
      <c r="I245" s="99" t="s">
        <v>500</v>
      </c>
      <c r="J245" s="60">
        <v>2</v>
      </c>
      <c r="K245" s="64" t="str">
        <f>_xlfn.XLOOKUP(Libromaestro[[#This Row],[CODIGO DEL DOCUMENTO]],Arreglo_Binaps[Codigo Documento],Arreglo_Binaps[Estado],"No creado",0)</f>
        <v>Aprobado</v>
      </c>
      <c r="L245" s="66" t="str">
        <f>_xlfn.XLOOKUP(Libromaestro[[#This Row],[CODIGO DEL DOCUMENTO]],Arreglo_Binaps[Codigo Documento],Arreglo_Binaps[Fecha de creación],"",0,1)</f>
        <v>2023-12-28</v>
      </c>
      <c r="M245" s="66">
        <v>45853</v>
      </c>
      <c r="N24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O24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P245" s="67">
        <f>_xlfn.LET(_xlpm.resultado,_xlfn.XLOOKUP(Libromaestro[[#This Row],[CODIGO DEL DOCUMENTO]],Arreglo_Binaps[Codigo Documento],Arreglo_Binaps[Fecha_Aprobacion],"",0,1),IF(_xlpm.resultado=0,"",_xlpm.resultado))</f>
        <v>45853</v>
      </c>
      <c r="Q245" s="177"/>
      <c r="R245" s="69"/>
      <c r="S245" s="85" t="s">
        <v>23</v>
      </c>
      <c r="T245" s="85" t="s">
        <v>435</v>
      </c>
    </row>
    <row r="246" spans="1:20" ht="33.75" customHeight="1" x14ac:dyDescent="0.3">
      <c r="A246" s="60" t="str">
        <f>IFERROR(VLOOKUP(Libromaestro[[#This Row],[MACROPROCESO]],Tabla1[],2,FALSE),"")</f>
        <v>Suministros</v>
      </c>
      <c r="B246" s="61" t="s">
        <v>45</v>
      </c>
      <c r="C246" s="64" t="s">
        <v>54</v>
      </c>
      <c r="D246" s="64" t="s">
        <v>16</v>
      </c>
      <c r="E24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24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46" s="64">
        <v>33</v>
      </c>
      <c r="H246" s="60" t="str">
        <f>_xlfn.CONCAT(Libromaestro[[#This Row],[SIGLAS]],"-",Libromaestro[[#This Row],[T. DOC]],"-",Libromaestro[[#This Row],[CONSECUTIVO]])</f>
        <v>S-FT-33</v>
      </c>
      <c r="I246" s="101" t="s">
        <v>502</v>
      </c>
      <c r="J246" s="64">
        <v>2</v>
      </c>
      <c r="K246" s="64" t="str">
        <f>_xlfn.XLOOKUP(Libromaestro[[#This Row],[CODIGO DEL DOCUMENTO]],Arreglo_Binaps[Codigo Documento],Arreglo_Binaps[Estado],"No creado",0)</f>
        <v>Aprobado</v>
      </c>
      <c r="L246" s="66" t="str">
        <f>_xlfn.XLOOKUP(Libromaestro[[#This Row],[CODIGO DEL DOCUMENTO]],Arreglo_Binaps[Codigo Documento],Arreglo_Binaps[Fecha de creación],"",0,1)</f>
        <v>2023-08-30</v>
      </c>
      <c r="M246" s="66">
        <v>45853</v>
      </c>
      <c r="N24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O24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P246" s="67">
        <f>_xlfn.LET(_xlpm.resultado,_xlfn.XLOOKUP(Libromaestro[[#This Row],[CODIGO DEL DOCUMENTO]],Arreglo_Binaps[Codigo Documento],Arreglo_Binaps[Fecha_Aprobacion],"",0,1),IF(_xlpm.resultado=0,"",_xlpm.resultado))</f>
        <v>45853</v>
      </c>
      <c r="Q246" s="177"/>
      <c r="R246" s="69"/>
      <c r="S246" s="85" t="s">
        <v>23</v>
      </c>
      <c r="T246" s="78" t="s">
        <v>435</v>
      </c>
    </row>
    <row r="247" spans="1:20" ht="33.75" customHeight="1" x14ac:dyDescent="0.3">
      <c r="A247" s="60" t="str">
        <f>IFERROR(VLOOKUP(Libromaestro[[#This Row],[MACROPROCESO]],Tabla1[],2,FALSE),"")</f>
        <v>Electroingeniería</v>
      </c>
      <c r="B247" s="61" t="s">
        <v>29</v>
      </c>
      <c r="C247" s="64" t="s">
        <v>2255</v>
      </c>
      <c r="D247" s="64" t="s">
        <v>34</v>
      </c>
      <c r="E24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24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47" s="64">
        <v>6</v>
      </c>
      <c r="H247" s="60" t="str">
        <f>_xlfn.CONCAT(Libromaestro[[#This Row],[SIGLAS]],"-",Libromaestro[[#This Row],[T. DOC]],"-",Libromaestro[[#This Row],[CONSECUTIVO]])</f>
        <v>L-PR-6</v>
      </c>
      <c r="I247" s="73" t="s">
        <v>273</v>
      </c>
      <c r="J247" s="64">
        <v>2</v>
      </c>
      <c r="K247" s="64" t="str">
        <f>_xlfn.XLOOKUP(Libromaestro[[#This Row],[CODIGO DEL DOCUMENTO]],Arreglo_Binaps[Codigo Documento],Arreglo_Binaps[Estado],"No creado",0)</f>
        <v>Aprobado</v>
      </c>
      <c r="L247" s="66" t="str">
        <f>_xlfn.XLOOKUP(Libromaestro[[#This Row],[CODIGO DEL DOCUMENTO]],Arreglo_Binaps[Codigo Documento],Arreglo_Binaps[Fecha de creación],"",0,1)</f>
        <v>2022-06-13</v>
      </c>
      <c r="M247" s="66">
        <v>45267</v>
      </c>
      <c r="N24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46363</v>
      </c>
      <c r="O24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46363</v>
      </c>
      <c r="P247" s="67">
        <f>_xlfn.LET(_xlpm.resultado,_xlfn.XLOOKUP(Libromaestro[[#This Row],[CODIGO DEL DOCUMENTO]],Arreglo_Binaps[Codigo Documento],Arreglo_Binaps[Fecha_Aprobacion],"",0,1),IF(_xlpm.resultado=0,"",_xlpm.resultado))</f>
        <v>45517</v>
      </c>
      <c r="Q247" s="172"/>
      <c r="R247" s="68"/>
      <c r="S247" s="69" t="s">
        <v>28</v>
      </c>
      <c r="T247" s="73"/>
    </row>
    <row r="248" spans="1:20" ht="33.75" customHeight="1" x14ac:dyDescent="0.3">
      <c r="A248" s="60" t="str">
        <f>IFERROR(VLOOKUP(Libromaestro[[#This Row],[MACROPROCESO]],Tabla1[],2,FALSE),"")</f>
        <v>Corporativa</v>
      </c>
      <c r="B248" s="73" t="s">
        <v>13</v>
      </c>
      <c r="C248" s="64" t="s">
        <v>55</v>
      </c>
      <c r="D248" s="64" t="s">
        <v>16</v>
      </c>
      <c r="E24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24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48" s="64">
        <v>9</v>
      </c>
      <c r="H248" s="60" t="str">
        <f>_xlfn.CONCAT(Libromaestro[[#This Row],[SIGLAS]],"-",Libromaestro[[#This Row],[T. DOC]],"-",Libromaestro[[#This Row],[CONSECUTIVO]])</f>
        <v>D-FT-9</v>
      </c>
      <c r="I248" s="84" t="s">
        <v>322</v>
      </c>
      <c r="J248" s="64">
        <v>3</v>
      </c>
      <c r="K248" s="64" t="str">
        <f>_xlfn.XLOOKUP(Libromaestro[[#This Row],[CODIGO DEL DOCUMENTO]],Arreglo_Binaps[Codigo Documento],Arreglo_Binaps[Estado],"No creado",0)</f>
        <v>Aprobado</v>
      </c>
      <c r="L248" s="66" t="str">
        <f>_xlfn.XLOOKUP(Libromaestro[[#This Row],[CODIGO DEL DOCUMENTO]],Arreglo_Binaps[Codigo Documento],Arreglo_Binaps[Fecha de creación],"",0,1)</f>
        <v>2021-08-28</v>
      </c>
      <c r="M248" s="66">
        <v>45251</v>
      </c>
      <c r="N24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46347</v>
      </c>
      <c r="O24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46347</v>
      </c>
      <c r="P248" s="67">
        <f>_xlfn.LET(_xlpm.resultado,_xlfn.XLOOKUP(Libromaestro[[#This Row],[CODIGO DEL DOCUMENTO]],Arreglo_Binaps[Codigo Documento],Arreglo_Binaps[Fecha_Aprobacion],"",0,1),IF(_xlpm.resultado=0,"",_xlpm.resultado))</f>
        <v>45259</v>
      </c>
      <c r="Q248" s="172"/>
      <c r="R248" s="68"/>
      <c r="S248" s="69" t="s">
        <v>11</v>
      </c>
      <c r="T248" s="73"/>
    </row>
    <row r="249" spans="1:20" ht="33.75" customHeight="1" x14ac:dyDescent="0.3">
      <c r="A249" s="60" t="str">
        <f>IFERROR(VLOOKUP(Libromaestro[[#This Row],[MACROPROCESO]],Tabla1[],2,FALSE),"")</f>
        <v>Alumbrado Público</v>
      </c>
      <c r="B249" s="73" t="s">
        <v>7</v>
      </c>
      <c r="C249" s="64" t="s">
        <v>61</v>
      </c>
      <c r="D249" s="64" t="s">
        <v>16</v>
      </c>
      <c r="E24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4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49" s="64">
        <v>9</v>
      </c>
      <c r="H249" s="60" t="str">
        <f>_xlfn.CONCAT(Libromaestro[[#This Row],[SIGLAS]],"-",Libromaestro[[#This Row],[T. DOC]],"-",Libromaestro[[#This Row],[CONSECUTIVO]])</f>
        <v>A-FT-9</v>
      </c>
      <c r="I249" s="73" t="s">
        <v>323</v>
      </c>
      <c r="J249" s="64">
        <v>1</v>
      </c>
      <c r="K249" s="64" t="str">
        <f>_xlfn.XLOOKUP(Libromaestro[[#This Row],[CODIGO DEL DOCUMENTO]],Arreglo_Binaps[Codigo Documento],Arreglo_Binaps[Estado],"No creado",0)</f>
        <v>Aprobado</v>
      </c>
      <c r="L249" s="66" t="str">
        <f>_xlfn.XLOOKUP(Libromaestro[[#This Row],[CODIGO DEL DOCUMENTO]],Arreglo_Binaps[Codigo Documento],Arreglo_Binaps[Fecha de creación],"",0,1)</f>
        <v>2022-08-29</v>
      </c>
      <c r="M249" s="66"/>
      <c r="N24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45898</v>
      </c>
      <c r="O24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45898</v>
      </c>
      <c r="P249" s="67">
        <f>_xlfn.LET(_xlpm.resultado,_xlfn.XLOOKUP(Libromaestro[[#This Row],[CODIGO DEL DOCUMENTO]],Arreglo_Binaps[Codigo Documento],Arreglo_Binaps[Fecha_Aprobacion],"",0,1),IF(_xlpm.resultado=0,"",_xlpm.resultado))</f>
        <v>44802</v>
      </c>
      <c r="Q249" s="172" t="s">
        <v>306</v>
      </c>
      <c r="R249" s="68"/>
      <c r="S249" s="69" t="s">
        <v>17</v>
      </c>
      <c r="T249" s="73"/>
    </row>
    <row r="250" spans="1:20" ht="33.75" customHeight="1" x14ac:dyDescent="0.3">
      <c r="A250" s="60" t="str">
        <f>IFERROR(VLOOKUP(Libromaestro[[#This Row],[MACROPROCESO]],Tabla1[],2,FALSE),"")</f>
        <v>Alumbrado Público</v>
      </c>
      <c r="B250" s="73" t="s">
        <v>7</v>
      </c>
      <c r="C250" s="64" t="s">
        <v>56</v>
      </c>
      <c r="D250" s="64" t="s">
        <v>22</v>
      </c>
      <c r="E25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5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250" s="64">
        <v>9</v>
      </c>
      <c r="H250" s="60" t="str">
        <f>_xlfn.CONCAT(Libromaestro[[#This Row],[SIGLAS]],"-",Libromaestro[[#This Row],[T. DOC]],"-",Libromaestro[[#This Row],[CONSECUTIVO]])</f>
        <v>A-GU-9</v>
      </c>
      <c r="I250" s="26" t="s">
        <v>324</v>
      </c>
      <c r="J250" s="64">
        <v>1</v>
      </c>
      <c r="K250" s="64" t="str">
        <f>_xlfn.XLOOKUP(Libromaestro[[#This Row],[CODIGO DEL DOCUMENTO]],Arreglo_Binaps[Codigo Documento],Arreglo_Binaps[Estado],"No creado",0)</f>
        <v>Aprobado</v>
      </c>
      <c r="L250" s="66" t="str">
        <f>_xlfn.XLOOKUP(Libromaestro[[#This Row],[CODIGO DEL DOCUMENTO]],Arreglo_Binaps[Codigo Documento],Arreglo_Binaps[Fecha de creación],"",0,1)</f>
        <v>2024-07-15</v>
      </c>
      <c r="M250" s="66">
        <v>45944</v>
      </c>
      <c r="N25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47040</v>
      </c>
      <c r="O25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47040</v>
      </c>
      <c r="P250" s="67">
        <f>_xlfn.LET(_xlpm.resultado,_xlfn.XLOOKUP(Libromaestro[[#This Row],[CODIGO DEL DOCUMENTO]],Arreglo_Binaps[Codigo Documento],Arreglo_Binaps[Fecha_Aprobacion],"",0,1),IF(_xlpm.resultado=0,"",_xlpm.resultado))</f>
        <v>46154</v>
      </c>
      <c r="Q250" s="172"/>
      <c r="R250" s="68"/>
      <c r="S250" s="69" t="s">
        <v>28</v>
      </c>
      <c r="T250" s="70"/>
    </row>
    <row r="251" spans="1:20" ht="33.75" customHeight="1" x14ac:dyDescent="0.3">
      <c r="A251" s="60" t="str">
        <f>IFERROR(VLOOKUP(Libromaestro[[#This Row],[MACROPROCESO]],Tabla1[],2,FALSE),"")</f>
        <v>Alumbrado Público</v>
      </c>
      <c r="B251" s="73" t="s">
        <v>7</v>
      </c>
      <c r="C251" s="64" t="s">
        <v>15</v>
      </c>
      <c r="D251" s="64" t="s">
        <v>27</v>
      </c>
      <c r="E25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5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251" s="64">
        <v>9</v>
      </c>
      <c r="H251" s="60" t="str">
        <f>_xlfn.CONCAT(Libromaestro[[#This Row],[SIGLAS]],"-",Libromaestro[[#This Row],[T. DOC]],"-",Libromaestro[[#This Row],[CONSECUTIVO]])</f>
        <v>A-IN-9</v>
      </c>
      <c r="I251" s="73" t="s">
        <v>325</v>
      </c>
      <c r="J251" s="64">
        <v>1</v>
      </c>
      <c r="K251" s="64" t="str">
        <f>_xlfn.XLOOKUP(Libromaestro[[#This Row],[CODIGO DEL DOCUMENTO]],Arreglo_Binaps[Codigo Documento],Arreglo_Binaps[Estado],"No creado",0)</f>
        <v>En Revision</v>
      </c>
      <c r="L251" s="66" t="str">
        <f>_xlfn.XLOOKUP(Libromaestro[[#This Row],[CODIGO DEL DOCUMENTO]],Arreglo_Binaps[Codigo Documento],Arreglo_Binaps[Fecha de creación],"",0,1)</f>
        <v>2024-07-10</v>
      </c>
      <c r="M251" s="66">
        <v>45925</v>
      </c>
      <c r="N25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47021</v>
      </c>
      <c r="O251"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47021</v>
      </c>
      <c r="P251" s="74" t="str">
        <f>_xlfn.LET(_xlpm.resultado,_xlfn.XLOOKUP(Libromaestro[[#This Row],[CODIGO DEL DOCUMENTO]],Arreglo_Binaps[Codigo Documento],Arreglo_Binaps[Fecha_Aprobacion],"",0,1),IF(_xlpm.resultado=0,"",_xlpm.resultado))</f>
        <v/>
      </c>
      <c r="Q251" s="173"/>
      <c r="R251" s="75"/>
      <c r="S251" s="76" t="s">
        <v>28</v>
      </c>
      <c r="T251" s="73"/>
    </row>
    <row r="252" spans="1:20" ht="33.75" customHeight="1" x14ac:dyDescent="0.3">
      <c r="A252" s="60" t="str">
        <f>IFERROR(VLOOKUP(Libromaestro[[#This Row],[MACROPROCESO]],Tabla1[],2,FALSE),"")</f>
        <v>Alumbrado Público</v>
      </c>
      <c r="B252" s="73" t="s">
        <v>7</v>
      </c>
      <c r="C252" s="64" t="s">
        <v>15</v>
      </c>
      <c r="D252" s="64" t="s">
        <v>31</v>
      </c>
      <c r="E25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5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252" s="64">
        <v>9</v>
      </c>
      <c r="H252" s="60" t="str">
        <f>_xlfn.CONCAT(Libromaestro[[#This Row],[SIGLAS]],"-",Libromaestro[[#This Row],[T. DOC]],"-",Libromaestro[[#This Row],[CONSECUTIVO]])</f>
        <v>A-MA-9</v>
      </c>
      <c r="I252" s="73" t="s">
        <v>326</v>
      </c>
      <c r="J252" s="64">
        <v>1</v>
      </c>
      <c r="K252" s="64" t="str">
        <f>_xlfn.XLOOKUP(Libromaestro[[#This Row],[CODIGO DEL DOCUMENTO]],Arreglo_Binaps[Codigo Documento],Arreglo_Binaps[Estado],"No creado",0)</f>
        <v>Aprobado</v>
      </c>
      <c r="L252" s="66" t="str">
        <f>_xlfn.XLOOKUP(Libromaestro[[#This Row],[CODIGO DEL DOCUMENTO]],Arreglo_Binaps[Codigo Documento],Arreglo_Binaps[Fecha de creación],"",0,1)</f>
        <v>2024-10-30</v>
      </c>
      <c r="M252" s="66">
        <v>45925</v>
      </c>
      <c r="N25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47021</v>
      </c>
      <c r="O25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47021</v>
      </c>
      <c r="P252" s="67">
        <f>_xlfn.LET(_xlpm.resultado,_xlfn.XLOOKUP(Libromaestro[[#This Row],[CODIGO DEL DOCUMENTO]],Arreglo_Binaps[Codigo Documento],Arreglo_Binaps[Fecha_Aprobacion],"",0,1),IF(_xlpm.resultado=0,"",_xlpm.resultado))</f>
        <v>45925</v>
      </c>
      <c r="Q252" s="172"/>
      <c r="R252" s="68"/>
      <c r="S252" s="69"/>
      <c r="T252" s="73"/>
    </row>
    <row r="253" spans="1:20" ht="33.75" customHeight="1" x14ac:dyDescent="0.3">
      <c r="A253" s="60" t="str">
        <f>IFERROR(VLOOKUP(Libromaestro[[#This Row],[MACROPROCESO]],Tabla1[],2,FALSE),"")</f>
        <v>Electroingeniería</v>
      </c>
      <c r="B253" s="73" t="s">
        <v>29</v>
      </c>
      <c r="C253" s="64" t="s">
        <v>2255</v>
      </c>
      <c r="D253" s="64" t="s">
        <v>34</v>
      </c>
      <c r="E25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25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53" s="64">
        <v>7</v>
      </c>
      <c r="H253" s="60" t="str">
        <f>_xlfn.CONCAT(Libromaestro[[#This Row],[SIGLAS]],"-",Libromaestro[[#This Row],[T. DOC]],"-",Libromaestro[[#This Row],[CONSECUTIVO]])</f>
        <v>L-PR-7</v>
      </c>
      <c r="I253" s="73" t="s">
        <v>293</v>
      </c>
      <c r="J253" s="64">
        <v>1</v>
      </c>
      <c r="K253" s="64" t="str">
        <f>_xlfn.XLOOKUP(Libromaestro[[#This Row],[CODIGO DEL DOCUMENTO]],Arreglo_Binaps[Codigo Documento],Arreglo_Binaps[Estado],"No creado",0)</f>
        <v>Aprobado</v>
      </c>
      <c r="L253" s="66" t="str">
        <f>_xlfn.XLOOKUP(Libromaestro[[#This Row],[CODIGO DEL DOCUMENTO]],Arreglo_Binaps[Codigo Documento],Arreglo_Binaps[Fecha de creación],"",0,1)</f>
        <v>2022-06-13</v>
      </c>
      <c r="M253" s="66"/>
      <c r="N25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45821</v>
      </c>
      <c r="O25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45821</v>
      </c>
      <c r="P253" s="67">
        <f>_xlfn.LET(_xlpm.resultado,_xlfn.XLOOKUP(Libromaestro[[#This Row],[CODIGO DEL DOCUMENTO]],Arreglo_Binaps[Codigo Documento],Arreglo_Binaps[Fecha_Aprobacion],"",0,1),IF(_xlpm.resultado=0,"",_xlpm.resultado))</f>
        <v>45517</v>
      </c>
      <c r="Q253" s="172"/>
      <c r="R253" s="68"/>
      <c r="S253" s="69" t="s">
        <v>28</v>
      </c>
      <c r="T253" s="73"/>
    </row>
    <row r="254" spans="1:20" ht="33.75" customHeight="1" x14ac:dyDescent="0.3">
      <c r="A254" s="60" t="str">
        <f>IFERROR(VLOOKUP(Libromaestro[[#This Row],[MACROPROCESO]],Tabla1[],2,FALSE),"")</f>
        <v>Corportativa</v>
      </c>
      <c r="B254" s="73" t="s">
        <v>49</v>
      </c>
      <c r="C254" s="64" t="s">
        <v>2254</v>
      </c>
      <c r="D254" s="64" t="s">
        <v>16</v>
      </c>
      <c r="E25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25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54" s="64">
        <v>9</v>
      </c>
      <c r="H254" s="60" t="str">
        <f>_xlfn.CONCAT(Libromaestro[[#This Row],[SIGLAS]],"-",Libromaestro[[#This Row],[T. DOC]],"-",Libromaestro[[#This Row],[CONSECUTIVO]])</f>
        <v>T-FT-9</v>
      </c>
      <c r="I254" s="73" t="s">
        <v>328</v>
      </c>
      <c r="J254" s="64">
        <v>1</v>
      </c>
      <c r="K254" s="64" t="str">
        <f>_xlfn.XLOOKUP(Libromaestro[[#This Row],[CODIGO DEL DOCUMENTO]],Arreglo_Binaps[Codigo Documento],Arreglo_Binaps[Estado],"No creado",0)</f>
        <v>Aprobado</v>
      </c>
      <c r="L254" s="66" t="str">
        <f>_xlfn.XLOOKUP(Libromaestro[[#This Row],[CODIGO DEL DOCUMENTO]],Arreglo_Binaps[Codigo Documento],Arreglo_Binaps[Fecha de creación],"",0,1)</f>
        <v>2025-07-25</v>
      </c>
      <c r="M254" s="66"/>
      <c r="N25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46959</v>
      </c>
      <c r="O25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46959</v>
      </c>
      <c r="P254" s="67">
        <f>_xlfn.LET(_xlpm.resultado,_xlfn.XLOOKUP(Libromaestro[[#This Row],[CODIGO DEL DOCUMENTO]],Arreglo_Binaps[Codigo Documento],Arreglo_Binaps[Fecha_Aprobacion],"",0,1),IF(_xlpm.resultado=0,"",_xlpm.resultado))</f>
        <v>46083</v>
      </c>
      <c r="Q254" s="172"/>
      <c r="R254" s="68"/>
      <c r="S254" s="69"/>
      <c r="T254" s="73"/>
    </row>
    <row r="255" spans="1:20" ht="33.75" customHeight="1" x14ac:dyDescent="0.3">
      <c r="A255" s="60" t="str">
        <f>IFERROR(VLOOKUP(Libromaestro[[#This Row],[MACROPROCESO]],Tabla1[],2,FALSE),"")</f>
        <v>Electroingeniería</v>
      </c>
      <c r="B255" s="73" t="s">
        <v>29</v>
      </c>
      <c r="C255" s="64" t="s">
        <v>2255</v>
      </c>
      <c r="D255" s="64" t="s">
        <v>16</v>
      </c>
      <c r="E25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25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55" s="64">
        <v>9</v>
      </c>
      <c r="H255" s="60" t="str">
        <f>_xlfn.CONCAT(Libromaestro[[#This Row],[SIGLAS]],"-",Libromaestro[[#This Row],[T. DOC]],"-",Libromaestro[[#This Row],[CONSECUTIVO]])</f>
        <v>L-FT-9</v>
      </c>
      <c r="I255" s="73" t="s">
        <v>329</v>
      </c>
      <c r="J255" s="64">
        <v>1</v>
      </c>
      <c r="K255" s="64" t="str">
        <f>_xlfn.XLOOKUP(Libromaestro[[#This Row],[CODIGO DEL DOCUMENTO]],Arreglo_Binaps[Codigo Documento],Arreglo_Binaps[Estado],"No creado",0)</f>
        <v>Aprobado</v>
      </c>
      <c r="L255" s="66" t="str">
        <f>_xlfn.XLOOKUP(Libromaestro[[#This Row],[CODIGO DEL DOCUMENTO]],Arreglo_Binaps[Codigo Documento],Arreglo_Binaps[Fecha de creación],"",0,1)</f>
        <v>2024-01-24</v>
      </c>
      <c r="M255" s="66"/>
      <c r="N25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46411</v>
      </c>
      <c r="O255"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46411</v>
      </c>
      <c r="P255" s="74">
        <f>_xlfn.LET(_xlpm.resultado,_xlfn.XLOOKUP(Libromaestro[[#This Row],[CODIGO DEL DOCUMENTO]],Arreglo_Binaps[Codigo Documento],Arreglo_Binaps[Fecha_Aprobacion],"",0,1),IF(_xlpm.resultado=0,"",_xlpm.resultado))</f>
        <v>45517</v>
      </c>
      <c r="Q255" s="173"/>
      <c r="R255" s="75"/>
      <c r="S255" s="76" t="s">
        <v>23</v>
      </c>
      <c r="T255" s="73"/>
    </row>
    <row r="256" spans="1:20" ht="33.75" customHeight="1" x14ac:dyDescent="0.3">
      <c r="A256" s="60" t="str">
        <f>IFERROR(VLOOKUP(Libromaestro[[#This Row],[MACROPROCESO]],Tabla1[],2,FALSE),"")</f>
        <v>Corportativa</v>
      </c>
      <c r="B256" s="73" t="s">
        <v>24</v>
      </c>
      <c r="C256" s="64" t="s">
        <v>2252</v>
      </c>
      <c r="D256" s="64" t="s">
        <v>34</v>
      </c>
      <c r="E25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25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56" s="64">
        <v>9</v>
      </c>
      <c r="H256" s="60" t="str">
        <f>_xlfn.CONCAT(Libromaestro[[#This Row],[SIGLAS]],"-",Libromaestro[[#This Row],[T. DOC]],"-",Libromaestro[[#This Row],[CONSECUTIVO]])</f>
        <v>F-PR-9</v>
      </c>
      <c r="I256" s="102" t="s">
        <v>330</v>
      </c>
      <c r="J256" s="64">
        <v>1</v>
      </c>
      <c r="K256" s="64" t="str">
        <f>_xlfn.XLOOKUP(Libromaestro[[#This Row],[CODIGO DEL DOCUMENTO]],Arreglo_Binaps[Codigo Documento],Arreglo_Binaps[Estado],"No creado",0)</f>
        <v>No creado</v>
      </c>
      <c r="L256" s="66" t="str">
        <f>_xlfn.XLOOKUP(Libromaestro[[#This Row],[CODIGO DEL DOCUMENTO]],Arreglo_Binaps[Codigo Documento],Arreglo_Binaps[Fecha de creación],"",0,1)</f>
        <v/>
      </c>
      <c r="M256" s="66"/>
      <c r="N256"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56"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56" s="74" t="str">
        <f>_xlfn.LET(_xlpm.resultado,_xlfn.XLOOKUP(Libromaestro[[#This Row],[CODIGO DEL DOCUMENTO]],Arreglo_Binaps[Codigo Documento],Arreglo_Binaps[Fecha_Aprobacion],"",0,1),IF(_xlpm.resultado=0,"",_xlpm.resultado))</f>
        <v/>
      </c>
      <c r="Q256" s="173"/>
      <c r="R256" s="75"/>
      <c r="S256" s="76"/>
      <c r="T256" s="73"/>
    </row>
    <row r="257" spans="1:20" ht="33.75" customHeight="1" x14ac:dyDescent="0.3">
      <c r="A257" s="60" t="str">
        <f>IFERROR(VLOOKUP(Libromaestro[[#This Row],[MACROPROCESO]],Tabla1[],2,FALSE),"")</f>
        <v>Corportativa</v>
      </c>
      <c r="B257" s="73" t="s">
        <v>32</v>
      </c>
      <c r="C257" s="64" t="s">
        <v>51</v>
      </c>
      <c r="D257" s="64" t="s">
        <v>16</v>
      </c>
      <c r="E25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5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57" s="64">
        <v>9</v>
      </c>
      <c r="H257" s="60" t="str">
        <f>_xlfn.CONCAT(Libromaestro[[#This Row],[SIGLAS]],"-",Libromaestro[[#This Row],[T. DOC]],"-",Libromaestro[[#This Row],[CONSECUTIVO]])</f>
        <v>H-FT-9</v>
      </c>
      <c r="I257" s="150" t="s">
        <v>331</v>
      </c>
      <c r="J257" s="64">
        <v>1</v>
      </c>
      <c r="K257" s="64" t="str">
        <f>_xlfn.XLOOKUP(Libromaestro[[#This Row],[CODIGO DEL DOCUMENTO]],Arreglo_Binaps[Codigo Documento],Arreglo_Binaps[Estado],"No creado",0)</f>
        <v>Aprobado</v>
      </c>
      <c r="L257" s="66" t="str">
        <f>_xlfn.XLOOKUP(Libromaestro[[#This Row],[CODIGO DEL DOCUMENTO]],Arreglo_Binaps[Codigo Documento],Arreglo_Binaps[Fecha de creación],"",0,1)</f>
        <v>2022-05-06</v>
      </c>
      <c r="M257" s="66"/>
      <c r="N25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45783</v>
      </c>
      <c r="O25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45783</v>
      </c>
      <c r="P257" s="67">
        <f>_xlfn.LET(_xlpm.resultado,_xlfn.XLOOKUP(Libromaestro[[#This Row],[CODIGO DEL DOCUMENTO]],Arreglo_Binaps[Codigo Documento],Arreglo_Binaps[Fecha_Aprobacion],"",0,1),IF(_xlpm.resultado=0,"",_xlpm.resultado))</f>
        <v>44687</v>
      </c>
      <c r="Q257" s="172"/>
      <c r="R257" s="68"/>
      <c r="S257" s="69" t="s">
        <v>17</v>
      </c>
      <c r="T257" s="73"/>
    </row>
    <row r="258" spans="1:20" ht="33.75" customHeight="1" x14ac:dyDescent="0.3">
      <c r="A258" s="60" t="str">
        <f>IFERROR(VLOOKUP(Libromaestro[[#This Row],[MACROPROCESO]],Tabla1[],2,FALSE),"")</f>
        <v>Corportativa</v>
      </c>
      <c r="B258" s="73" t="s">
        <v>32</v>
      </c>
      <c r="C258" s="64" t="s">
        <v>57</v>
      </c>
      <c r="D258" s="64" t="s">
        <v>27</v>
      </c>
      <c r="E25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5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258" s="64">
        <v>4</v>
      </c>
      <c r="H258" s="60" t="str">
        <f>_xlfn.CONCAT(Libromaestro[[#This Row],[SIGLAS]],"-",Libromaestro[[#This Row],[T. DOC]],"-",Libromaestro[[#This Row],[CONSECUTIVO]])</f>
        <v>H-IN-4</v>
      </c>
      <c r="I258" s="73" t="s">
        <v>332</v>
      </c>
      <c r="J258" s="64">
        <v>1</v>
      </c>
      <c r="K258" s="64" t="str">
        <f>_xlfn.XLOOKUP(Libromaestro[[#This Row],[CODIGO DEL DOCUMENTO]],Arreglo_Binaps[Codigo Documento],Arreglo_Binaps[Estado],"No creado",0)</f>
        <v>No creado</v>
      </c>
      <c r="L258" s="66" t="str">
        <f>_xlfn.XLOOKUP(Libromaestro[[#This Row],[CODIGO DEL DOCUMENTO]],Arreglo_Binaps[Codigo Documento],Arreglo_Binaps[Fecha de creación],"",0,1)</f>
        <v/>
      </c>
      <c r="M258" s="66"/>
      <c r="N258"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58"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58" s="67" t="str">
        <f>_xlfn.LET(_xlpm.resultado,_xlfn.XLOOKUP(Libromaestro[[#This Row],[CODIGO DEL DOCUMENTO]],Arreglo_Binaps[Codigo Documento],Arreglo_Binaps[Fecha_Aprobacion],"",0,1),IF(_xlpm.resultado=0,"",_xlpm.resultado))</f>
        <v/>
      </c>
      <c r="Q258" s="172"/>
      <c r="R258" s="68"/>
      <c r="S258" s="69"/>
      <c r="T258" s="73"/>
    </row>
    <row r="259" spans="1:20" ht="33.75" customHeight="1" x14ac:dyDescent="0.3">
      <c r="A259" s="60" t="str">
        <f>IFERROR(VLOOKUP(Libromaestro[[#This Row],[MACROPROCESO]],Tabla1[],2,FALSE),"")</f>
        <v>Corportativa</v>
      </c>
      <c r="B259" s="73" t="s">
        <v>32</v>
      </c>
      <c r="C259" s="64" t="s">
        <v>51</v>
      </c>
      <c r="D259" s="64" t="s">
        <v>37</v>
      </c>
      <c r="E25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5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259" s="64">
        <v>9</v>
      </c>
      <c r="H259" s="60" t="str">
        <f>_xlfn.CONCAT(Libromaestro[[#This Row],[SIGLAS]],"-",Libromaestro[[#This Row],[T. DOC]],"-",Libromaestro[[#This Row],[CONSECUTIVO]])</f>
        <v>H-PO-9</v>
      </c>
      <c r="I259" s="73" t="s">
        <v>333</v>
      </c>
      <c r="J259" s="64">
        <v>1</v>
      </c>
      <c r="K259" s="64" t="str">
        <f>_xlfn.XLOOKUP(Libromaestro[[#This Row],[CODIGO DEL DOCUMENTO]],Arreglo_Binaps[Codigo Documento],Arreglo_Binaps[Estado],"No creado",0)</f>
        <v>No creado</v>
      </c>
      <c r="L259" s="66" t="str">
        <f>_xlfn.XLOOKUP(Libromaestro[[#This Row],[CODIGO DEL DOCUMENTO]],Arreglo_Binaps[Codigo Documento],Arreglo_Binaps[Fecha de creación],"",0,1)</f>
        <v/>
      </c>
      <c r="M259" s="66"/>
      <c r="N259"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59"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59" s="67" t="str">
        <f>_xlfn.LET(_xlpm.resultado,_xlfn.XLOOKUP(Libromaestro[[#This Row],[CODIGO DEL DOCUMENTO]],Arreglo_Binaps[Codigo Documento],Arreglo_Binaps[Fecha_Aprobacion],"",0,1),IF(_xlpm.resultado=0,"",_xlpm.resultado))</f>
        <v/>
      </c>
      <c r="Q259" s="172"/>
      <c r="R259" s="68"/>
      <c r="S259" s="69" t="s">
        <v>28</v>
      </c>
      <c r="T259" s="73"/>
    </row>
    <row r="260" spans="1:20" ht="33.75" customHeight="1" x14ac:dyDescent="0.3">
      <c r="A260" s="60" t="str">
        <f>IFERROR(VLOOKUP(Libromaestro[[#This Row],[MACROPROCESO]],Tabla1[],2,FALSE),"")</f>
        <v>Electroingeniería</v>
      </c>
      <c r="B260" s="73" t="s">
        <v>29</v>
      </c>
      <c r="C260" s="64" t="s">
        <v>2255</v>
      </c>
      <c r="D260" s="64" t="s">
        <v>34</v>
      </c>
      <c r="E26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26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60" s="64">
        <v>4</v>
      </c>
      <c r="H260" s="60" t="str">
        <f>_xlfn.CONCAT(Libromaestro[[#This Row],[SIGLAS]],"-",Libromaestro[[#This Row],[T. DOC]],"-",Libromaestro[[#This Row],[CONSECUTIVO]])</f>
        <v>L-PR-4</v>
      </c>
      <c r="I260" s="73" t="s">
        <v>431</v>
      </c>
      <c r="J260" s="64">
        <v>1</v>
      </c>
      <c r="K260" s="64" t="str">
        <f>_xlfn.XLOOKUP(Libromaestro[[#This Row],[CODIGO DEL DOCUMENTO]],Arreglo_Binaps[Codigo Documento],Arreglo_Binaps[Estado],"No creado",0)</f>
        <v>Aprobado</v>
      </c>
      <c r="L260" s="66" t="str">
        <f>_xlfn.XLOOKUP(Libromaestro[[#This Row],[CODIGO DEL DOCUMENTO]],Arreglo_Binaps[Codigo Documento],Arreglo_Binaps[Fecha de creación],"",0,1)</f>
        <v>2025-03-03</v>
      </c>
      <c r="M260" s="66">
        <v>45754</v>
      </c>
      <c r="N26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46850</v>
      </c>
      <c r="O26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46850</v>
      </c>
      <c r="P260" s="67">
        <f>_xlfn.LET(_xlpm.resultado,_xlfn.XLOOKUP(Libromaestro[[#This Row],[CODIGO DEL DOCUMENTO]],Arreglo_Binaps[Codigo Documento],Arreglo_Binaps[Fecha_Aprobacion],"",0,1),IF(_xlpm.resultado=0,"",_xlpm.resultado))</f>
        <v>45754</v>
      </c>
      <c r="Q260" s="172"/>
      <c r="R260" s="68"/>
      <c r="S260" s="69"/>
      <c r="T260" s="73"/>
    </row>
    <row r="261" spans="1:20" ht="33.75" customHeight="1" x14ac:dyDescent="0.3">
      <c r="A261" s="60" t="str">
        <f>IFERROR(VLOOKUP(Libromaestro[[#This Row],[MACROPROCESO]],Tabla1[],2,FALSE),"")</f>
        <v>Corportativa</v>
      </c>
      <c r="B261" s="73" t="s">
        <v>38</v>
      </c>
      <c r="C261" s="64" t="s">
        <v>26</v>
      </c>
      <c r="D261" s="64" t="s">
        <v>16</v>
      </c>
      <c r="E26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26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61" s="64">
        <v>9</v>
      </c>
      <c r="H261" s="60" t="str">
        <f>_xlfn.CONCAT(Libromaestro[[#This Row],[SIGLAS]],"-",Libromaestro[[#This Row],[T. DOC]],"-",Libromaestro[[#This Row],[CONSECUTIVO]])</f>
        <v>M-FT-9</v>
      </c>
      <c r="I261" s="73" t="s">
        <v>335</v>
      </c>
      <c r="J261" s="64">
        <v>3</v>
      </c>
      <c r="K261" s="64" t="str">
        <f>_xlfn.XLOOKUP(Libromaestro[[#This Row],[CODIGO DEL DOCUMENTO]],Arreglo_Binaps[Codigo Documento],Arreglo_Binaps[Estado],"No creado",0)</f>
        <v>Aprobado</v>
      </c>
      <c r="L261" s="66" t="str">
        <f>_xlfn.XLOOKUP(Libromaestro[[#This Row],[CODIGO DEL DOCUMENTO]],Arreglo_Binaps[Codigo Documento],Arreglo_Binaps[Fecha de creación],"",0,1)</f>
        <v>2020-12-07</v>
      </c>
      <c r="M261" s="66">
        <v>45194</v>
      </c>
      <c r="N26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46290</v>
      </c>
      <c r="O26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46290</v>
      </c>
      <c r="P261" s="67">
        <f>_xlfn.LET(_xlpm.resultado,_xlfn.XLOOKUP(Libromaestro[[#This Row],[CODIGO DEL DOCUMENTO]],Arreglo_Binaps[Codigo Documento],Arreglo_Binaps[Fecha_Aprobacion],"",0,1),IF(_xlpm.resultado=0,"",_xlpm.resultado))</f>
        <v>44172</v>
      </c>
      <c r="Q261" s="172"/>
      <c r="R261" s="68"/>
      <c r="S261" s="69" t="s">
        <v>23</v>
      </c>
      <c r="T261" s="73"/>
    </row>
    <row r="262" spans="1:20" ht="33.75" customHeight="1" x14ac:dyDescent="0.3">
      <c r="A262" s="60" t="str">
        <f>IFERROR(VLOOKUP(Libromaestro[[#This Row],[MACROPROCESO]],Tabla1[],2,FALSE),"")</f>
        <v>Suministros</v>
      </c>
      <c r="B262" s="73" t="s">
        <v>45</v>
      </c>
      <c r="C262" s="64" t="s">
        <v>36</v>
      </c>
      <c r="D262" s="64" t="s">
        <v>16</v>
      </c>
      <c r="E26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26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62" s="64">
        <v>34</v>
      </c>
      <c r="H262" s="60" t="str">
        <f>_xlfn.CONCAT(Libromaestro[[#This Row],[SIGLAS]],"-",Libromaestro[[#This Row],[T. DOC]],"-",Libromaestro[[#This Row],[CONSECUTIVO]])</f>
        <v>S-FT-34</v>
      </c>
      <c r="I262" s="73" t="s">
        <v>504</v>
      </c>
      <c r="J262" s="64">
        <v>1</v>
      </c>
      <c r="K262" s="64" t="str">
        <f>_xlfn.XLOOKUP(Libromaestro[[#This Row],[CODIGO DEL DOCUMENTO]],Arreglo_Binaps[Codigo Documento],Arreglo_Binaps[Estado],"No creado",0)</f>
        <v>Aprobado</v>
      </c>
      <c r="L262" s="66" t="str">
        <f>_xlfn.XLOOKUP(Libromaestro[[#This Row],[CODIGO DEL DOCUMENTO]],Arreglo_Binaps[Codigo Documento],Arreglo_Binaps[Fecha de creación],"",0,1)</f>
        <v>2025-02-05</v>
      </c>
      <c r="M262" s="66">
        <v>45917</v>
      </c>
      <c r="N26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47013</v>
      </c>
      <c r="O26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47013</v>
      </c>
      <c r="P262" s="67">
        <f>_xlfn.LET(_xlpm.resultado,_xlfn.XLOOKUP(Libromaestro[[#This Row],[CODIGO DEL DOCUMENTO]],Arreglo_Binaps[Codigo Documento],Arreglo_Binaps[Fecha_Aprobacion],"",0,1),IF(_xlpm.resultado=0,"",_xlpm.resultado))</f>
        <v>45917</v>
      </c>
      <c r="Q262" s="172"/>
      <c r="R262" s="68"/>
      <c r="S262" s="69"/>
      <c r="T262" s="73"/>
    </row>
    <row r="263" spans="1:20" ht="33.75" customHeight="1" x14ac:dyDescent="0.3">
      <c r="A263" s="60" t="str">
        <f>IFERROR(VLOOKUP(Libromaestro[[#This Row],[MACROPROCESO]],Tabla1[],2,FALSE),"")</f>
        <v>Suministros</v>
      </c>
      <c r="B263" s="73" t="s">
        <v>45</v>
      </c>
      <c r="C263" s="64" t="s">
        <v>36</v>
      </c>
      <c r="D263" s="64" t="s">
        <v>16</v>
      </c>
      <c r="E26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26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63" s="64">
        <v>35</v>
      </c>
      <c r="H263" s="60" t="str">
        <f>_xlfn.CONCAT(Libromaestro[[#This Row],[SIGLAS]],"-",Libromaestro[[#This Row],[T. DOC]],"-",Libromaestro[[#This Row],[CONSECUTIVO]])</f>
        <v>S-FT-35</v>
      </c>
      <c r="I263" s="73" t="s">
        <v>506</v>
      </c>
      <c r="J263" s="64">
        <v>1</v>
      </c>
      <c r="K263" s="64" t="str">
        <f>_xlfn.XLOOKUP(Libromaestro[[#This Row],[CODIGO DEL DOCUMENTO]],Arreglo_Binaps[Codigo Documento],Arreglo_Binaps[Estado],"No creado",0)</f>
        <v>Aprobado</v>
      </c>
      <c r="L263" s="66" t="str">
        <f>_xlfn.XLOOKUP(Libromaestro[[#This Row],[CODIGO DEL DOCUMENTO]],Arreglo_Binaps[Codigo Documento],Arreglo_Binaps[Fecha de creación],"",0,1)</f>
        <v>2025-02-05</v>
      </c>
      <c r="M263" s="66">
        <v>45917</v>
      </c>
      <c r="N26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47013</v>
      </c>
      <c r="O26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47013</v>
      </c>
      <c r="P263" s="67">
        <f>_xlfn.LET(_xlpm.resultado,_xlfn.XLOOKUP(Libromaestro[[#This Row],[CODIGO DEL DOCUMENTO]],Arreglo_Binaps[Codigo Documento],Arreglo_Binaps[Fecha_Aprobacion],"",0,1),IF(_xlpm.resultado=0,"",_xlpm.resultado))</f>
        <v>45917</v>
      </c>
      <c r="Q263" s="177"/>
      <c r="R263" s="69"/>
      <c r="S263" s="85"/>
      <c r="T263" s="79"/>
    </row>
    <row r="264" spans="1:20" ht="33.75" customHeight="1" x14ac:dyDescent="0.3">
      <c r="A264" s="60" t="str">
        <f>IFERROR(VLOOKUP(Libromaestro[[#This Row],[MACROPROCESO]],Tabla1[],2,FALSE),"")</f>
        <v>Corportativa</v>
      </c>
      <c r="B264" s="73" t="s">
        <v>32</v>
      </c>
      <c r="C264" s="64" t="s">
        <v>59</v>
      </c>
      <c r="D264" s="64" t="s">
        <v>34</v>
      </c>
      <c r="E26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6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64" s="64">
        <v>9</v>
      </c>
      <c r="H264" s="60" t="str">
        <f>_xlfn.CONCAT(Libromaestro[[#This Row],[SIGLAS]],"-",Libromaestro[[#This Row],[T. DOC]],"-",Libromaestro[[#This Row],[CONSECUTIVO]])</f>
        <v>H-PR-9</v>
      </c>
      <c r="I264" s="73" t="s">
        <v>334</v>
      </c>
      <c r="J264" s="64">
        <v>2</v>
      </c>
      <c r="K264" s="64" t="str">
        <f>_xlfn.XLOOKUP(Libromaestro[[#This Row],[CODIGO DEL DOCUMENTO]],Arreglo_Binaps[Codigo Documento],Arreglo_Binaps[Estado],"No creado",0)</f>
        <v>Aprobado</v>
      </c>
      <c r="L264" s="66" t="str">
        <f>_xlfn.XLOOKUP(Libromaestro[[#This Row],[CODIGO DEL DOCUMENTO]],Arreglo_Binaps[Codigo Documento],Arreglo_Binaps[Fecha de creación],"",0,1)</f>
        <v>2025-05-29</v>
      </c>
      <c r="M264" s="66">
        <v>45805</v>
      </c>
      <c r="N26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46901</v>
      </c>
      <c r="O26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46901</v>
      </c>
      <c r="P264" s="67">
        <f>_xlfn.LET(_xlpm.resultado,_xlfn.XLOOKUP(Libromaestro[[#This Row],[CODIGO DEL DOCUMENTO]],Arreglo_Binaps[Codigo Documento],Arreglo_Binaps[Fecha_Aprobacion],"",0,1),IF(_xlpm.resultado=0,"",_xlpm.resultado))</f>
        <v>45877</v>
      </c>
      <c r="Q264" s="172"/>
      <c r="R264" s="68"/>
      <c r="S264" s="69"/>
      <c r="T264" s="73"/>
    </row>
    <row r="265" spans="1:20" ht="33.75" customHeight="1" x14ac:dyDescent="0.3">
      <c r="A265" s="60" t="str">
        <f>IFERROR(VLOOKUP(Libromaestro[[#This Row],[MACROPROCESO]],Tabla1[],2,FALSE),"")</f>
        <v>Corporativa</v>
      </c>
      <c r="B265" s="73" t="s">
        <v>13</v>
      </c>
      <c r="C265" s="64" t="s">
        <v>21</v>
      </c>
      <c r="D265" s="64" t="s">
        <v>16</v>
      </c>
      <c r="E26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26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65" s="64">
        <v>10</v>
      </c>
      <c r="H265" s="60" t="str">
        <f>_xlfn.CONCAT(Libromaestro[[#This Row],[SIGLAS]],"-",Libromaestro[[#This Row],[T. DOC]],"-",Libromaestro[[#This Row],[CONSECUTIVO]])</f>
        <v>D-FT-10</v>
      </c>
      <c r="I265" s="73" t="s">
        <v>339</v>
      </c>
      <c r="J265" s="64"/>
      <c r="K265" s="64" t="str">
        <f>_xlfn.XLOOKUP(Libromaestro[[#This Row],[CODIGO DEL DOCUMENTO]],Arreglo_Binaps[Codigo Documento],Arreglo_Binaps[Estado],"No creado",0)</f>
        <v>No creado</v>
      </c>
      <c r="L265" s="66" t="str">
        <f>_xlfn.XLOOKUP(Libromaestro[[#This Row],[CODIGO DEL DOCUMENTO]],Arreglo_Binaps[Codigo Documento],Arreglo_Binaps[Fecha de creación],"",0,1)</f>
        <v/>
      </c>
      <c r="M265" s="66"/>
      <c r="N265"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65"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65" s="67" t="str">
        <f>_xlfn.LET(_xlpm.resultado,_xlfn.XLOOKUP(Libromaestro[[#This Row],[CODIGO DEL DOCUMENTO]],Arreglo_Binaps[Codigo Documento],Arreglo_Binaps[Fecha_Aprobacion],"",0,1),IF(_xlpm.resultado=0,"",_xlpm.resultado))</f>
        <v/>
      </c>
      <c r="Q265" s="172"/>
      <c r="R265" s="68"/>
      <c r="S265" s="69"/>
      <c r="T265" s="73"/>
    </row>
    <row r="266" spans="1:20" ht="33.75" customHeight="1" x14ac:dyDescent="0.3">
      <c r="A266" s="60" t="str">
        <f>IFERROR(VLOOKUP(Libromaestro[[#This Row],[MACROPROCESO]],Tabla1[],2,FALSE),"")</f>
        <v>Alumbrado Público</v>
      </c>
      <c r="B266" s="73" t="s">
        <v>7</v>
      </c>
      <c r="C266" s="64" t="s">
        <v>56</v>
      </c>
      <c r="D266" s="64" t="s">
        <v>16</v>
      </c>
      <c r="E26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6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66" s="64">
        <v>10</v>
      </c>
      <c r="H266" s="60" t="str">
        <f>_xlfn.CONCAT(Libromaestro[[#This Row],[SIGLAS]],"-",Libromaestro[[#This Row],[T. DOC]],"-",Libromaestro[[#This Row],[CONSECUTIVO]])</f>
        <v>A-FT-10</v>
      </c>
      <c r="I266" s="73" t="s">
        <v>340</v>
      </c>
      <c r="J266" s="64">
        <v>1</v>
      </c>
      <c r="K266" s="64" t="str">
        <f>_xlfn.XLOOKUP(Libromaestro[[#This Row],[CODIGO DEL DOCUMENTO]],Arreglo_Binaps[Codigo Documento],Arreglo_Binaps[Estado],"No creado",0)</f>
        <v>Aprobado</v>
      </c>
      <c r="L266" s="66" t="str">
        <f>_xlfn.XLOOKUP(Libromaestro[[#This Row],[CODIGO DEL DOCUMENTO]],Arreglo_Binaps[Codigo Documento],Arreglo_Binaps[Fecha de creación],"",0,1)</f>
        <v>2023-04-26</v>
      </c>
      <c r="M266" s="66"/>
      <c r="N26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46138</v>
      </c>
      <c r="O26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46138</v>
      </c>
      <c r="P266" s="67">
        <f>_xlfn.LET(_xlpm.resultado,_xlfn.XLOOKUP(Libromaestro[[#This Row],[CODIGO DEL DOCUMENTO]],Arreglo_Binaps[Codigo Documento],Arreglo_Binaps[Fecha_Aprobacion],"",0,1),IF(_xlpm.resultado=0,"",_xlpm.resultado))</f>
        <v>45042</v>
      </c>
      <c r="Q266" s="172"/>
      <c r="R266" s="68"/>
      <c r="S266" s="69"/>
      <c r="T266" s="73"/>
    </row>
    <row r="267" spans="1:20" ht="33.75" customHeight="1" x14ac:dyDescent="0.3">
      <c r="A267" s="60" t="str">
        <f>IFERROR(VLOOKUP(Libromaestro[[#This Row],[MACROPROCESO]],Tabla1[],2,FALSE),"")</f>
        <v>Alumbrado Público</v>
      </c>
      <c r="B267" s="73" t="s">
        <v>7</v>
      </c>
      <c r="C267" s="64" t="s">
        <v>56</v>
      </c>
      <c r="D267" s="64" t="s">
        <v>22</v>
      </c>
      <c r="E26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6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267" s="64">
        <v>10</v>
      </c>
      <c r="H267" s="60" t="str">
        <f>_xlfn.CONCAT(Libromaestro[[#This Row],[SIGLAS]],"-",Libromaestro[[#This Row],[T. DOC]],"-",Libromaestro[[#This Row],[CONSECUTIVO]])</f>
        <v>A-GU-10</v>
      </c>
      <c r="I267" s="73" t="s">
        <v>341</v>
      </c>
      <c r="J267" s="64">
        <v>2</v>
      </c>
      <c r="K267" s="64" t="str">
        <f>_xlfn.XLOOKUP(Libromaestro[[#This Row],[CODIGO DEL DOCUMENTO]],Arreglo_Binaps[Codigo Documento],Arreglo_Binaps[Estado],"No creado",0)</f>
        <v>Aprobado</v>
      </c>
      <c r="L267" s="66" t="str">
        <f>_xlfn.XLOOKUP(Libromaestro[[#This Row],[CODIGO DEL DOCUMENTO]],Arreglo_Binaps[Codigo Documento],Arreglo_Binaps[Fecha de creación],"",0,1)</f>
        <v>2021-03-17</v>
      </c>
      <c r="M267" s="66">
        <v>45427</v>
      </c>
      <c r="N26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46522</v>
      </c>
      <c r="O26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46522</v>
      </c>
      <c r="P267" s="67">
        <f>_xlfn.LET(_xlpm.resultado,_xlfn.XLOOKUP(Libromaestro[[#This Row],[CODIGO DEL DOCUMENTO]],Arreglo_Binaps[Codigo Documento],Arreglo_Binaps[Fecha_Aprobacion],"",0,1),IF(_xlpm.resultado=0,"",_xlpm.resultado))</f>
        <v>45509</v>
      </c>
      <c r="Q267" s="172"/>
      <c r="R267" s="68"/>
      <c r="S267" s="69" t="s">
        <v>28</v>
      </c>
      <c r="T267" s="73"/>
    </row>
    <row r="268" spans="1:20" ht="33.75" customHeight="1" x14ac:dyDescent="0.3">
      <c r="A268" s="60" t="str">
        <f>IFERROR(VLOOKUP(Libromaestro[[#This Row],[MACROPROCESO]],Tabla1[],2,FALSE),"")</f>
        <v>Alumbrado Público</v>
      </c>
      <c r="B268" s="73" t="s">
        <v>7</v>
      </c>
      <c r="C268" s="64" t="s">
        <v>61</v>
      </c>
      <c r="D268" s="64" t="s">
        <v>34</v>
      </c>
      <c r="E26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6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68" s="64">
        <v>1</v>
      </c>
      <c r="H268" s="60" t="str">
        <f>_xlfn.CONCAT(Libromaestro[[#This Row],[SIGLAS]],"-",Libromaestro[[#This Row],[T. DOC]],"-",Libromaestro[[#This Row],[CONSECUTIVO]])</f>
        <v>A-PR-1</v>
      </c>
      <c r="I268" s="73" t="s">
        <v>342</v>
      </c>
      <c r="J268" s="64">
        <v>1</v>
      </c>
      <c r="K268" s="64" t="str">
        <f>_xlfn.XLOOKUP(Libromaestro[[#This Row],[CODIGO DEL DOCUMENTO]],Arreglo_Binaps[Codigo Documento],Arreglo_Binaps[Estado],"No creado",0)</f>
        <v>No creado</v>
      </c>
      <c r="L268" s="66" t="str">
        <f>_xlfn.XLOOKUP(Libromaestro[[#This Row],[CODIGO DEL DOCUMENTO]],Arreglo_Binaps[Codigo Documento],Arreglo_Binaps[Fecha de creación],"",0,1)</f>
        <v/>
      </c>
      <c r="M268" s="66"/>
      <c r="N268"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68"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68" s="67" t="str">
        <f>_xlfn.LET(_xlpm.resultado,_xlfn.XLOOKUP(Libromaestro[[#This Row],[CODIGO DEL DOCUMENTO]],Arreglo_Binaps[Codigo Documento],Arreglo_Binaps[Fecha_Aprobacion],"",0,1),IF(_xlpm.resultado=0,"",_xlpm.resultado))</f>
        <v/>
      </c>
      <c r="Q268" s="172"/>
      <c r="R268" s="68"/>
      <c r="S268" s="69"/>
      <c r="T268" s="73"/>
    </row>
    <row r="269" spans="1:20" ht="33.75" customHeight="1" x14ac:dyDescent="0.3">
      <c r="A269" s="60" t="str">
        <f>IFERROR(VLOOKUP(Libromaestro[[#This Row],[MACROPROCESO]],Tabla1[],2,FALSE),"")</f>
        <v>Alumbrado Público</v>
      </c>
      <c r="B269" s="73" t="s">
        <v>7</v>
      </c>
      <c r="C269" s="64" t="s">
        <v>56</v>
      </c>
      <c r="D269" s="64" t="s">
        <v>31</v>
      </c>
      <c r="E26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69" s="7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269" s="64">
        <v>10</v>
      </c>
      <c r="H269" s="60" t="str">
        <f>_xlfn.CONCAT(Libromaestro[[#This Row],[SIGLAS]],"-",Libromaestro[[#This Row],[T. DOC]],"-",Libromaestro[[#This Row],[CONSECUTIVO]])</f>
        <v>A-MA-10</v>
      </c>
      <c r="I269" s="73" t="s">
        <v>343</v>
      </c>
      <c r="J269" s="64">
        <v>1</v>
      </c>
      <c r="K269" s="64" t="str">
        <f>_xlfn.XLOOKUP(Libromaestro[[#This Row],[CODIGO DEL DOCUMENTO]],Arreglo_Binaps[Codigo Documento],Arreglo_Binaps[Estado],"No creado",0)</f>
        <v>Aprobado</v>
      </c>
      <c r="L269" s="66" t="str">
        <f>_xlfn.XLOOKUP(Libromaestro[[#This Row],[CODIGO DEL DOCUMENTO]],Arreglo_Binaps[Codigo Documento],Arreglo_Binaps[Fecha de creación],"",0,1)</f>
        <v>2025-01-23</v>
      </c>
      <c r="M269" s="66"/>
      <c r="N26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46775</v>
      </c>
      <c r="O26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46775</v>
      </c>
      <c r="P269" s="67">
        <f>_xlfn.LET(_xlpm.resultado,_xlfn.XLOOKUP(Libromaestro[[#This Row],[CODIGO DEL DOCUMENTO]],Arreglo_Binaps[Codigo Documento],Arreglo_Binaps[Fecha_Aprobacion],"",0,1),IF(_xlpm.resultado=0,"",_xlpm.resultado))</f>
        <v>45702</v>
      </c>
      <c r="Q269" s="172"/>
      <c r="R269" s="68"/>
      <c r="S269" s="69" t="s">
        <v>28</v>
      </c>
      <c r="T269" s="73"/>
    </row>
    <row r="270" spans="1:20" ht="33.75" customHeight="1" x14ac:dyDescent="0.3">
      <c r="A270" s="60" t="str">
        <f>IFERROR(VLOOKUP(Libromaestro[[#This Row],[MACROPROCESO]],Tabla1[],2,FALSE),"")</f>
        <v>Corportativa</v>
      </c>
      <c r="B270" s="61" t="s">
        <v>32</v>
      </c>
      <c r="C270" s="64" t="s">
        <v>57</v>
      </c>
      <c r="D270" s="64" t="s">
        <v>34</v>
      </c>
      <c r="E27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7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70" s="64">
        <v>12</v>
      </c>
      <c r="H270" s="60" t="str">
        <f>_xlfn.CONCAT(Libromaestro[[#This Row],[SIGLAS]],"-",Libromaestro[[#This Row],[T. DOC]],"-",Libromaestro[[#This Row],[CONSECUTIVO]])</f>
        <v>H-PR-12</v>
      </c>
      <c r="I270" s="73" t="s">
        <v>390</v>
      </c>
      <c r="J270" s="64">
        <v>2</v>
      </c>
      <c r="K270" s="64" t="str">
        <f>_xlfn.XLOOKUP(Libromaestro[[#This Row],[CODIGO DEL DOCUMENTO]],Arreglo_Binaps[Codigo Documento],Arreglo_Binaps[Estado],"No creado",0)</f>
        <v>Aprobado</v>
      </c>
      <c r="L270" s="66" t="str">
        <f>_xlfn.XLOOKUP(Libromaestro[[#This Row],[CODIGO DEL DOCUMENTO]],Arreglo_Binaps[Codigo Documento],Arreglo_Binaps[Fecha de creación],"",0,1)</f>
        <v>2020-01-20</v>
      </c>
      <c r="M270" s="66">
        <v>45448</v>
      </c>
      <c r="N27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46543</v>
      </c>
      <c r="O27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46543</v>
      </c>
      <c r="P270" s="67">
        <f>_xlfn.LET(_xlpm.resultado,_xlfn.XLOOKUP(Libromaestro[[#This Row],[CODIGO DEL DOCUMENTO]],Arreglo_Binaps[Codigo Documento],Arreglo_Binaps[Fecha_Aprobacion],"",0,1),IF(_xlpm.resultado=0,"",_xlpm.resultado))</f>
        <v>45877</v>
      </c>
      <c r="Q270" s="172"/>
      <c r="R270" s="68"/>
      <c r="S270" s="69"/>
      <c r="T270" s="73"/>
    </row>
    <row r="271" spans="1:20" ht="33.75" customHeight="1" x14ac:dyDescent="0.3">
      <c r="A271" s="60" t="str">
        <f>IFERROR(VLOOKUP(Libromaestro[[#This Row],[MACROPROCESO]],Tabla1[],2,FALSE),"")</f>
        <v>Electroingeniería</v>
      </c>
      <c r="B271" s="73" t="s">
        <v>29</v>
      </c>
      <c r="C271" s="64" t="s">
        <v>2255</v>
      </c>
      <c r="D271" s="64" t="s">
        <v>16</v>
      </c>
      <c r="E27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27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71" s="64">
        <v>10</v>
      </c>
      <c r="H271" s="60" t="str">
        <f>_xlfn.CONCAT(Libromaestro[[#This Row],[SIGLAS]],"-",Libromaestro[[#This Row],[T. DOC]],"-",Libromaestro[[#This Row],[CONSECUTIVO]])</f>
        <v>L-FT-10</v>
      </c>
      <c r="I271" s="267" t="s">
        <v>345</v>
      </c>
      <c r="J271" s="64">
        <v>1</v>
      </c>
      <c r="K271" s="64" t="str">
        <f>_xlfn.XLOOKUP(Libromaestro[[#This Row],[CODIGO DEL DOCUMENTO]],Arreglo_Binaps[Codigo Documento],Arreglo_Binaps[Estado],"No creado",0)</f>
        <v>Aprobado</v>
      </c>
      <c r="L271" s="66" t="str">
        <f>_xlfn.XLOOKUP(Libromaestro[[#This Row],[CODIGO DEL DOCUMENTO]],Arreglo_Binaps[Codigo Documento],Arreglo_Binaps[Fecha de creación],"",0,1)</f>
        <v>2024-05-03</v>
      </c>
      <c r="M271" s="66"/>
      <c r="N27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46510</v>
      </c>
      <c r="O27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46510</v>
      </c>
      <c r="P271" s="67">
        <f>_xlfn.LET(_xlpm.resultado,_xlfn.XLOOKUP(Libromaestro[[#This Row],[CODIGO DEL DOCUMENTO]],Arreglo_Binaps[Codigo Documento],Arreglo_Binaps[Fecha_Aprobacion],"",0,1),IF(_xlpm.resultado=0,"",_xlpm.resultado))</f>
        <v>45517</v>
      </c>
      <c r="Q271" s="172"/>
      <c r="R271" s="68"/>
      <c r="S271" s="69" t="s">
        <v>23</v>
      </c>
      <c r="T271" s="73"/>
    </row>
    <row r="272" spans="1:20" ht="33.75" customHeight="1" x14ac:dyDescent="0.3">
      <c r="A272" s="60" t="str">
        <f>IFERROR(VLOOKUP(Libromaestro[[#This Row],[MACROPROCESO]],Tabla1[],2,FALSE),"")</f>
        <v>Corportativa</v>
      </c>
      <c r="B272" s="73" t="s">
        <v>32</v>
      </c>
      <c r="C272" s="64" t="s">
        <v>51</v>
      </c>
      <c r="D272" s="64" t="s">
        <v>16</v>
      </c>
      <c r="E27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7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72" s="64">
        <v>10</v>
      </c>
      <c r="H272" s="60" t="str">
        <f>_xlfn.CONCAT(Libromaestro[[#This Row],[SIGLAS]],"-",Libromaestro[[#This Row],[T. DOC]],"-",Libromaestro[[#This Row],[CONSECUTIVO]])</f>
        <v>H-FT-10</v>
      </c>
      <c r="I272" s="73" t="s">
        <v>346</v>
      </c>
      <c r="J272" s="64">
        <v>2</v>
      </c>
      <c r="K272" s="64" t="str">
        <f>_xlfn.XLOOKUP(Libromaestro[[#This Row],[CODIGO DEL DOCUMENTO]],Arreglo_Binaps[Codigo Documento],Arreglo_Binaps[Estado],"No creado",0)</f>
        <v>Aprobado</v>
      </c>
      <c r="L272" s="66" t="str">
        <f>_xlfn.XLOOKUP(Libromaestro[[#This Row],[CODIGO DEL DOCUMENTO]],Arreglo_Binaps[Codigo Documento],Arreglo_Binaps[Fecha de creación],"",0,1)</f>
        <v>2019-11-16</v>
      </c>
      <c r="M272" s="66">
        <v>45463</v>
      </c>
      <c r="N27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46558</v>
      </c>
      <c r="O27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46558</v>
      </c>
      <c r="P272" s="67">
        <f>_xlfn.LET(_xlpm.resultado,_xlfn.XLOOKUP(Libromaestro[[#This Row],[CODIGO DEL DOCUMENTO]],Arreglo_Binaps[Codigo Documento],Arreglo_Binaps[Fecha_Aprobacion],"",0,1),IF(_xlpm.resultado=0,"",_xlpm.resultado))</f>
        <v>45463</v>
      </c>
      <c r="Q272" s="172"/>
      <c r="R272" s="68"/>
      <c r="S272" s="69" t="s">
        <v>11</v>
      </c>
      <c r="T272" s="73"/>
    </row>
    <row r="273" spans="1:20" ht="33.75" customHeight="1" x14ac:dyDescent="0.3">
      <c r="A273" s="60" t="str">
        <f>IFERROR(VLOOKUP(Libromaestro[[#This Row],[MACROPROCESO]],Tabla1[],2,FALSE),"")</f>
        <v>Corportativa</v>
      </c>
      <c r="B273" s="73" t="s">
        <v>32</v>
      </c>
      <c r="C273" s="64" t="s">
        <v>57</v>
      </c>
      <c r="D273" s="64" t="s">
        <v>27</v>
      </c>
      <c r="E27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7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273" s="64">
        <v>5</v>
      </c>
      <c r="H273" s="60" t="str">
        <f>_xlfn.CONCAT(Libromaestro[[#This Row],[SIGLAS]],"-",Libromaestro[[#This Row],[T. DOC]],"-",Libromaestro[[#This Row],[CONSECUTIVO]])</f>
        <v>H-IN-5</v>
      </c>
      <c r="I273" s="73" t="s">
        <v>347</v>
      </c>
      <c r="J273" s="64">
        <v>1</v>
      </c>
      <c r="K273" s="64" t="str">
        <f>_xlfn.XLOOKUP(Libromaestro[[#This Row],[CODIGO DEL DOCUMENTO]],Arreglo_Binaps[Codigo Documento],Arreglo_Binaps[Estado],"No creado",0)</f>
        <v>No creado</v>
      </c>
      <c r="L273" s="66" t="str">
        <f>_xlfn.XLOOKUP(Libromaestro[[#This Row],[CODIGO DEL DOCUMENTO]],Arreglo_Binaps[Codigo Documento],Arreglo_Binaps[Fecha de creación],"",0,1)</f>
        <v/>
      </c>
      <c r="M273" s="66"/>
      <c r="N273"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73"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73" s="67" t="str">
        <f>_xlfn.LET(_xlpm.resultado,_xlfn.XLOOKUP(Libromaestro[[#This Row],[CODIGO DEL DOCUMENTO]],Arreglo_Binaps[Codigo Documento],Arreglo_Binaps[Fecha_Aprobacion],"",0,1),IF(_xlpm.resultado=0,"",_xlpm.resultado))</f>
        <v/>
      </c>
      <c r="Q273" s="172"/>
      <c r="R273" s="68"/>
      <c r="S273" s="69"/>
      <c r="T273" s="73"/>
    </row>
    <row r="274" spans="1:20" ht="33.75" customHeight="1" x14ac:dyDescent="0.3">
      <c r="A274" s="60" t="str">
        <f>IFERROR(VLOOKUP(Libromaestro[[#This Row],[MACROPROCESO]],Tabla1[],2,FALSE),"")</f>
        <v>Corportativa</v>
      </c>
      <c r="B274" s="61" t="s">
        <v>32</v>
      </c>
      <c r="C274" s="64" t="s">
        <v>59</v>
      </c>
      <c r="D274" s="64" t="s">
        <v>16</v>
      </c>
      <c r="E27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7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74" s="64">
        <v>66</v>
      </c>
      <c r="H274" s="60" t="str">
        <f>_xlfn.CONCAT(Libromaestro[[#This Row],[SIGLAS]],"-",Libromaestro[[#This Row],[T. DOC]],"-",Libromaestro[[#This Row],[CONSECUTIVO]])</f>
        <v>H-FT-66</v>
      </c>
      <c r="I274" s="73" t="s">
        <v>348</v>
      </c>
      <c r="J274" s="64">
        <v>1</v>
      </c>
      <c r="K274" s="64" t="str">
        <f>_xlfn.XLOOKUP(Libromaestro[[#This Row],[CODIGO DEL DOCUMENTO]],Arreglo_Binaps[Codigo Documento],Arreglo_Binaps[Estado],"No creado",0)</f>
        <v>Aprobado</v>
      </c>
      <c r="L274" s="66" t="str">
        <f>_xlfn.XLOOKUP(Libromaestro[[#This Row],[CODIGO DEL DOCUMENTO]],Arreglo_Binaps[Codigo Documento],Arreglo_Binaps[Fecha de creación],"",0,1)</f>
        <v>2025-01-23</v>
      </c>
      <c r="M274" s="66">
        <v>45734</v>
      </c>
      <c r="N27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46830</v>
      </c>
      <c r="O27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46830</v>
      </c>
      <c r="P274" s="67">
        <f>_xlfn.LET(_xlpm.resultado,_xlfn.XLOOKUP(Libromaestro[[#This Row],[CODIGO DEL DOCUMENTO]],Arreglo_Binaps[Codigo Documento],Arreglo_Binaps[Fecha_Aprobacion],"",0,1),IF(_xlpm.resultado=0,"",_xlpm.resultado))</f>
        <v>45877</v>
      </c>
      <c r="Q274" s="172"/>
      <c r="R274" s="68"/>
      <c r="S274" s="69" t="s">
        <v>28</v>
      </c>
      <c r="T274" s="73"/>
    </row>
    <row r="275" spans="1:20" ht="33.75" customHeight="1" x14ac:dyDescent="0.3">
      <c r="A275" s="60" t="str">
        <f>IFERROR(VLOOKUP(Libromaestro[[#This Row],[MACROPROCESO]],Tabla1[],2,FALSE),"")</f>
        <v>Corportativa</v>
      </c>
      <c r="B275" s="73" t="s">
        <v>38</v>
      </c>
      <c r="C275" s="64" t="s">
        <v>39</v>
      </c>
      <c r="D275" s="64" t="s">
        <v>16</v>
      </c>
      <c r="E27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27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75" s="64">
        <v>10</v>
      </c>
      <c r="H275" s="60" t="str">
        <f>_xlfn.CONCAT(Libromaestro[[#This Row],[SIGLAS]],"-",Libromaestro[[#This Row],[T. DOC]],"-",Libromaestro[[#This Row],[CONSECUTIVO]])</f>
        <v>M-FT-10</v>
      </c>
      <c r="I275" s="101" t="s">
        <v>349</v>
      </c>
      <c r="J275" s="60">
        <v>1</v>
      </c>
      <c r="K275" s="64" t="str">
        <f>_xlfn.XLOOKUP(Libromaestro[[#This Row],[CODIGO DEL DOCUMENTO]],Arreglo_Binaps[Codigo Documento],Arreglo_Binaps[Estado],"No creado",0)</f>
        <v>Aprobado</v>
      </c>
      <c r="L275" s="66" t="str">
        <f>_xlfn.XLOOKUP(Libromaestro[[#This Row],[CODIGO DEL DOCUMENTO]],Arreglo_Binaps[Codigo Documento],Arreglo_Binaps[Fecha de creación],"",0,1)</f>
        <v>2025-05-15</v>
      </c>
      <c r="M275" s="66"/>
      <c r="N27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46888</v>
      </c>
      <c r="O27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46888</v>
      </c>
      <c r="P275" s="67">
        <f>_xlfn.LET(_xlpm.resultado,_xlfn.XLOOKUP(Libromaestro[[#This Row],[CODIGO DEL DOCUMENTO]],Arreglo_Binaps[Codigo Documento],Arreglo_Binaps[Fecha_Aprobacion],"",0,1),IF(_xlpm.resultado=0,"",_xlpm.resultado))</f>
        <v>45796</v>
      </c>
      <c r="Q275" s="172"/>
      <c r="R275" s="68"/>
      <c r="S275" s="69"/>
      <c r="T275" s="73"/>
    </row>
    <row r="276" spans="1:20" ht="33.75" customHeight="1" x14ac:dyDescent="0.3">
      <c r="A276" s="60" t="str">
        <f>IFERROR(VLOOKUP(Libromaestro[[#This Row],[MACROPROCESO]],Tabla1[],2,FALSE),"")</f>
        <v>Suministros</v>
      </c>
      <c r="B276" s="73" t="s">
        <v>45</v>
      </c>
      <c r="C276" s="64" t="s">
        <v>54</v>
      </c>
      <c r="D276" s="64" t="s">
        <v>16</v>
      </c>
      <c r="E27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27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76" s="64">
        <v>36</v>
      </c>
      <c r="H276" s="60" t="str">
        <f>_xlfn.CONCAT(Libromaestro[[#This Row],[SIGLAS]],"-",Libromaestro[[#This Row],[T. DOC]],"-",Libromaestro[[#This Row],[CONSECUTIVO]])</f>
        <v>S-FT-36</v>
      </c>
      <c r="I276" s="101" t="s">
        <v>508</v>
      </c>
      <c r="J276" s="64">
        <v>2</v>
      </c>
      <c r="K276" s="64" t="str">
        <f>_xlfn.XLOOKUP(Libromaestro[[#This Row],[CODIGO DEL DOCUMENTO]],Arreglo_Binaps[Codigo Documento],Arreglo_Binaps[Estado],"No creado",0)</f>
        <v>Aprobado</v>
      </c>
      <c r="L276" s="66" t="str">
        <f>_xlfn.XLOOKUP(Libromaestro[[#This Row],[CODIGO DEL DOCUMENTO]],Arreglo_Binaps[Codigo Documento],Arreglo_Binaps[Fecha de creación],"",0,1)</f>
        <v>2023-08-30</v>
      </c>
      <c r="M276" s="66">
        <v>45853</v>
      </c>
      <c r="N27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O27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46949</v>
      </c>
      <c r="P276" s="67">
        <f>_xlfn.LET(_xlpm.resultado,_xlfn.XLOOKUP(Libromaestro[[#This Row],[CODIGO DEL DOCUMENTO]],Arreglo_Binaps[Codigo Documento],Arreglo_Binaps[Fecha_Aprobacion],"",0,1),IF(_xlpm.resultado=0,"",_xlpm.resultado))</f>
        <v>45853</v>
      </c>
      <c r="Q276" s="177"/>
      <c r="R276" s="69"/>
      <c r="S276" s="85" t="s">
        <v>23</v>
      </c>
      <c r="T276" s="78" t="s">
        <v>435</v>
      </c>
    </row>
    <row r="277" spans="1:20" ht="33.75" customHeight="1" x14ac:dyDescent="0.3">
      <c r="A277" s="60" t="str">
        <f>IFERROR(VLOOKUP(Libromaestro[[#This Row],[MACROPROCESO]],Tabla1[],2,FALSE),"")</f>
        <v>Suministros</v>
      </c>
      <c r="B277" s="73" t="s">
        <v>45</v>
      </c>
      <c r="C277" s="64" t="s">
        <v>54</v>
      </c>
      <c r="D277" s="64" t="s">
        <v>16</v>
      </c>
      <c r="E27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27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77" s="64">
        <v>37</v>
      </c>
      <c r="H277" s="60" t="str">
        <f>_xlfn.CONCAT(Libromaestro[[#This Row],[SIGLAS]],"-",Libromaestro[[#This Row],[T. DOC]],"-",Libromaestro[[#This Row],[CONSECUTIVO]])</f>
        <v>S-FT-37</v>
      </c>
      <c r="I277" s="101" t="s">
        <v>510</v>
      </c>
      <c r="J277" s="64">
        <v>1</v>
      </c>
      <c r="K277" s="64" t="str">
        <f>_xlfn.XLOOKUP(Libromaestro[[#This Row],[CODIGO DEL DOCUMENTO]],Arreglo_Binaps[Codigo Documento],Arreglo_Binaps[Estado],"No creado",0)</f>
        <v>Aprobado</v>
      </c>
      <c r="L277" s="66" t="str">
        <f>_xlfn.XLOOKUP(Libromaestro[[#This Row],[CODIGO DEL DOCUMENTO]],Arreglo_Binaps[Codigo Documento],Arreglo_Binaps[Fecha de creación],"",0,1)</f>
        <v>2025-01-13</v>
      </c>
      <c r="M277" s="66"/>
      <c r="N27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46765</v>
      </c>
      <c r="O27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46765</v>
      </c>
      <c r="P277" s="67">
        <f>_xlfn.LET(_xlpm.resultado,_xlfn.XLOOKUP(Libromaestro[[#This Row],[CODIGO DEL DOCUMENTO]],Arreglo_Binaps[Codigo Documento],Arreglo_Binaps[Fecha_Aprobacion],"",0,1),IF(_xlpm.resultado=0,"",_xlpm.resultado))</f>
        <v>45882</v>
      </c>
      <c r="Q277" s="172"/>
      <c r="R277" s="68"/>
      <c r="S277" s="69" t="s">
        <v>23</v>
      </c>
      <c r="T277" s="82"/>
    </row>
    <row r="278" spans="1:20" ht="33.75" customHeight="1" x14ac:dyDescent="0.3">
      <c r="A278" s="60" t="str">
        <f>IFERROR(VLOOKUP(Libromaestro[[#This Row],[MACROPROCESO]],Tabla1[],2,FALSE),"")</f>
        <v>Suministros</v>
      </c>
      <c r="B278" s="73" t="s">
        <v>45</v>
      </c>
      <c r="C278" s="64" t="s">
        <v>54</v>
      </c>
      <c r="D278" s="64" t="s">
        <v>16</v>
      </c>
      <c r="E27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27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78" s="64">
        <v>38</v>
      </c>
      <c r="H278" s="60" t="str">
        <f>_xlfn.CONCAT(Libromaestro[[#This Row],[SIGLAS]],"-",Libromaestro[[#This Row],[T. DOC]],"-",Libromaestro[[#This Row],[CONSECUTIVO]])</f>
        <v>S-FT-38</v>
      </c>
      <c r="I278" s="73" t="s">
        <v>512</v>
      </c>
      <c r="J278" s="64">
        <v>1</v>
      </c>
      <c r="K278" s="64" t="str">
        <f>_xlfn.XLOOKUP(Libromaestro[[#This Row],[CODIGO DEL DOCUMENTO]],Arreglo_Binaps[Codigo Documento],Arreglo_Binaps[Estado],"No creado",0)</f>
        <v>Aprobado</v>
      </c>
      <c r="L278" s="66" t="str">
        <f>_xlfn.XLOOKUP(Libromaestro[[#This Row],[CODIGO DEL DOCUMENTO]],Arreglo_Binaps[Codigo Documento],Arreglo_Binaps[Fecha de creación],"",0,1)</f>
        <v>2023-08-30</v>
      </c>
      <c r="M278" s="66"/>
      <c r="N27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46264</v>
      </c>
      <c r="O27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46264</v>
      </c>
      <c r="P278" s="67">
        <f>_xlfn.LET(_xlpm.resultado,_xlfn.XLOOKUP(Libromaestro[[#This Row],[CODIGO DEL DOCUMENTO]],Arreglo_Binaps[Codigo Documento],Arreglo_Binaps[Fecha_Aprobacion],"",0,1),IF(_xlpm.resultado=0,"",_xlpm.resultado))</f>
        <v>45351</v>
      </c>
      <c r="Q278" s="172"/>
      <c r="R278" s="68"/>
      <c r="S278" s="69" t="s">
        <v>23</v>
      </c>
      <c r="T278" s="64" t="s">
        <v>435</v>
      </c>
    </row>
    <row r="279" spans="1:20" ht="33.75" customHeight="1" x14ac:dyDescent="0.3">
      <c r="A279" s="60" t="str">
        <f>IFERROR(VLOOKUP(Libromaestro[[#This Row],[MACROPROCESO]],Tabla1[],2,FALSE),"")</f>
        <v>Corporativa</v>
      </c>
      <c r="B279" s="70" t="s">
        <v>13</v>
      </c>
      <c r="C279" s="60" t="s">
        <v>60</v>
      </c>
      <c r="D279" s="60" t="s">
        <v>16</v>
      </c>
      <c r="E279"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279"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79" s="60">
        <v>11</v>
      </c>
      <c r="H279" s="60" t="str">
        <f>_xlfn.CONCAT(Libromaestro[[#This Row],[SIGLAS]],"-",Libromaestro[[#This Row],[T. DOC]],"-",Libromaestro[[#This Row],[CONSECUTIVO]])</f>
        <v>D-FT-11</v>
      </c>
      <c r="I279" s="63" t="s">
        <v>353</v>
      </c>
      <c r="J279" s="60">
        <v>1</v>
      </c>
      <c r="K279" s="64" t="str">
        <f>_xlfn.XLOOKUP(Libromaestro[[#This Row],[CODIGO DEL DOCUMENTO]],Arreglo_Binaps[Codigo Documento],Arreglo_Binaps[Estado],"No creado",0)</f>
        <v>Aprobado</v>
      </c>
      <c r="L279" s="66" t="str">
        <f>_xlfn.XLOOKUP(Libromaestro[[#This Row],[CODIGO DEL DOCUMENTO]],Arreglo_Binaps[Codigo Documento],Arreglo_Binaps[Fecha de creación],"",0,1)</f>
        <v>2022-05-09</v>
      </c>
      <c r="M279" s="66"/>
      <c r="N27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45786</v>
      </c>
      <c r="O27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45786</v>
      </c>
      <c r="P279" s="67">
        <f>_xlfn.LET(_xlpm.resultado,_xlfn.XLOOKUP(Libromaestro[[#This Row],[CODIGO DEL DOCUMENTO]],Arreglo_Binaps[Codigo Documento],Arreglo_Binaps[Fecha_Aprobacion],"",0,1),IF(_xlpm.resultado=0,"",_xlpm.resultado))</f>
        <v>44690</v>
      </c>
      <c r="Q279" s="172"/>
      <c r="R279" s="68"/>
      <c r="S279" s="69" t="s">
        <v>11</v>
      </c>
      <c r="T279" s="70"/>
    </row>
    <row r="280" spans="1:20" ht="33.75" customHeight="1" x14ac:dyDescent="0.3">
      <c r="A280" s="60" t="str">
        <f>IFERROR(VLOOKUP(Libromaestro[[#This Row],[MACROPROCESO]],Tabla1[],2,FALSE),"")</f>
        <v>Alumbrado Público</v>
      </c>
      <c r="B280" s="73" t="s">
        <v>7</v>
      </c>
      <c r="C280" s="64" t="s">
        <v>56</v>
      </c>
      <c r="D280" s="64" t="s">
        <v>22</v>
      </c>
      <c r="E28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8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280" s="64">
        <v>11</v>
      </c>
      <c r="H280" s="60" t="str">
        <f>_xlfn.CONCAT(Libromaestro[[#This Row],[SIGLAS]],"-",Libromaestro[[#This Row],[T. DOC]],"-",Libromaestro[[#This Row],[CONSECUTIVO]])</f>
        <v>A-GU-11</v>
      </c>
      <c r="I280" s="73" t="s">
        <v>354</v>
      </c>
      <c r="J280" s="64">
        <v>2</v>
      </c>
      <c r="K280" s="64" t="str">
        <f>_xlfn.XLOOKUP(Libromaestro[[#This Row],[CODIGO DEL DOCUMENTO]],Arreglo_Binaps[Codigo Documento],Arreglo_Binaps[Estado],"No creado",0)</f>
        <v>Aprobado</v>
      </c>
      <c r="L280" s="66" t="str">
        <f>_xlfn.XLOOKUP(Libromaestro[[#This Row],[CODIGO DEL DOCUMENTO]],Arreglo_Binaps[Codigo Documento],Arreglo_Binaps[Fecha de creación],"",0,1)</f>
        <v>2022-03-05</v>
      </c>
      <c r="M280" s="66">
        <v>45944</v>
      </c>
      <c r="N28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47040</v>
      </c>
      <c r="O280"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47040</v>
      </c>
      <c r="P280" s="74">
        <f>_xlfn.LET(_xlpm.resultado,_xlfn.XLOOKUP(Libromaestro[[#This Row],[CODIGO DEL DOCUMENTO]],Arreglo_Binaps[Codigo Documento],Arreglo_Binaps[Fecha_Aprobacion],"",0,1),IF(_xlpm.resultado=0,"",_xlpm.resultado))</f>
        <v>46154</v>
      </c>
      <c r="Q280" s="173"/>
      <c r="R280" s="75"/>
      <c r="S280" s="76" t="s">
        <v>28</v>
      </c>
      <c r="T280" s="73"/>
    </row>
    <row r="281" spans="1:20" ht="33.75" customHeight="1" x14ac:dyDescent="0.3">
      <c r="A281" s="60" t="str">
        <f>IFERROR(VLOOKUP(Libromaestro[[#This Row],[MACROPROCESO]],Tabla1[],2,FALSE),"")</f>
        <v>Alumbrado Público</v>
      </c>
      <c r="B281" s="73" t="s">
        <v>7</v>
      </c>
      <c r="C281" s="64" t="s">
        <v>61</v>
      </c>
      <c r="D281" s="64" t="s">
        <v>34</v>
      </c>
      <c r="E281"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81"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81" s="60">
        <v>2</v>
      </c>
      <c r="H281" s="60" t="str">
        <f>_xlfn.CONCAT(Libromaestro[[#This Row],[SIGLAS]],"-",Libromaestro[[#This Row],[T. DOC]],"-",Libromaestro[[#This Row],[CONSECUTIVO]])</f>
        <v>A-PR-2</v>
      </c>
      <c r="I281" s="73" t="s">
        <v>355</v>
      </c>
      <c r="J281" s="64">
        <v>1</v>
      </c>
      <c r="K281" s="64" t="str">
        <f>_xlfn.XLOOKUP(Libromaestro[[#This Row],[CODIGO DEL DOCUMENTO]],Arreglo_Binaps[Codigo Documento],Arreglo_Binaps[Estado],"No creado",0)</f>
        <v>No creado</v>
      </c>
      <c r="L281" s="66" t="str">
        <f>_xlfn.XLOOKUP(Libromaestro[[#This Row],[CODIGO DEL DOCUMENTO]],Arreglo_Binaps[Codigo Documento],Arreglo_Binaps[Fecha de creación],"",0,1)</f>
        <v/>
      </c>
      <c r="M281" s="66"/>
      <c r="N281"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81"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81" s="74" t="str">
        <f>_xlfn.LET(_xlpm.resultado,_xlfn.XLOOKUP(Libromaestro[[#This Row],[CODIGO DEL DOCUMENTO]],Arreglo_Binaps[Codigo Documento],Arreglo_Binaps[Fecha_Aprobacion],"",0,1),IF(_xlpm.resultado=0,"",_xlpm.resultado))</f>
        <v/>
      </c>
      <c r="Q281" s="173"/>
      <c r="R281" s="75"/>
      <c r="S281" s="76"/>
      <c r="T281" s="73"/>
    </row>
    <row r="282" spans="1:20" ht="33.75" customHeight="1" x14ac:dyDescent="0.3">
      <c r="A282" s="60" t="str">
        <f>IFERROR(VLOOKUP(Libromaestro[[#This Row],[MACROPROCESO]],Tabla1[],2,FALSE),"")</f>
        <v>Electroingeniería</v>
      </c>
      <c r="B282" s="70" t="s">
        <v>29</v>
      </c>
      <c r="C282" s="64" t="s">
        <v>2255</v>
      </c>
      <c r="D282" s="60" t="s">
        <v>16</v>
      </c>
      <c r="E282"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282"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82" s="60">
        <v>11</v>
      </c>
      <c r="H282" s="60" t="str">
        <f>_xlfn.CONCAT(Libromaestro[[#This Row],[SIGLAS]],"-",Libromaestro[[#This Row],[T. DOC]],"-",Libromaestro[[#This Row],[CONSECUTIVO]])</f>
        <v>L-FT-11</v>
      </c>
      <c r="I282" s="70" t="s">
        <v>356</v>
      </c>
      <c r="J282" s="60">
        <v>2</v>
      </c>
      <c r="K282" s="64" t="str">
        <f>_xlfn.XLOOKUP(Libromaestro[[#This Row],[CODIGO DEL DOCUMENTO]],Arreglo_Binaps[Codigo Documento],Arreglo_Binaps[Estado],"No creado",0)</f>
        <v>Aprobado</v>
      </c>
      <c r="L282" s="66" t="str">
        <f>_xlfn.XLOOKUP(Libromaestro[[#This Row],[CODIGO DEL DOCUMENTO]],Arreglo_Binaps[Codigo Documento],Arreglo_Binaps[Fecha de creación],"",0,1)</f>
        <v>2024-06-12</v>
      </c>
      <c r="M282" s="66">
        <v>45754</v>
      </c>
      <c r="N28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46850</v>
      </c>
      <c r="O28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46850</v>
      </c>
      <c r="P282" s="67">
        <f>_xlfn.LET(_xlpm.resultado,_xlfn.XLOOKUP(Libromaestro[[#This Row],[CODIGO DEL DOCUMENTO]],Arreglo_Binaps[Codigo Documento],Arreglo_Binaps[Fecha_Aprobacion],"",0,1),IF(_xlpm.resultado=0,"",_xlpm.resultado))</f>
        <v>45754</v>
      </c>
      <c r="Q282" s="172"/>
      <c r="R282" s="68"/>
      <c r="S282" s="69" t="s">
        <v>11</v>
      </c>
      <c r="T282" s="70"/>
    </row>
    <row r="283" spans="1:20" ht="33.75" customHeight="1" x14ac:dyDescent="0.3">
      <c r="A283" s="60" t="str">
        <f>IFERROR(VLOOKUP(Libromaestro[[#This Row],[MACROPROCESO]],Tabla1[],2,FALSE),"")</f>
        <v>Corportativa</v>
      </c>
      <c r="B283" s="73" t="s">
        <v>32</v>
      </c>
      <c r="C283" s="64" t="s">
        <v>51</v>
      </c>
      <c r="D283" s="64" t="s">
        <v>16</v>
      </c>
      <c r="E28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8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83" s="64">
        <v>11</v>
      </c>
      <c r="H283" s="60" t="str">
        <f>_xlfn.CONCAT(Libromaestro[[#This Row],[SIGLAS]],"-",Libromaestro[[#This Row],[T. DOC]],"-",Libromaestro[[#This Row],[CONSECUTIVO]])</f>
        <v>H-FT-11</v>
      </c>
      <c r="I283" s="73" t="s">
        <v>357</v>
      </c>
      <c r="J283" s="64">
        <v>2</v>
      </c>
      <c r="K283" s="64" t="str">
        <f>_xlfn.XLOOKUP(Libromaestro[[#This Row],[CODIGO DEL DOCUMENTO]],Arreglo_Binaps[Codigo Documento],Arreglo_Binaps[Estado],"No creado",0)</f>
        <v>Aprobado</v>
      </c>
      <c r="L283" s="66" t="str">
        <f>_xlfn.XLOOKUP(Libromaestro[[#This Row],[CODIGO DEL DOCUMENTO]],Arreglo_Binaps[Codigo Documento],Arreglo_Binaps[Fecha de creación],"",0,1)</f>
        <v>2022-05-06</v>
      </c>
      <c r="M283" s="66"/>
      <c r="N28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45783</v>
      </c>
      <c r="O283"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45783</v>
      </c>
      <c r="P283" s="74">
        <f>_xlfn.LET(_xlpm.resultado,_xlfn.XLOOKUP(Libromaestro[[#This Row],[CODIGO DEL DOCUMENTO]],Arreglo_Binaps[Codigo Documento],Arreglo_Binaps[Fecha_Aprobacion],"",0,1),IF(_xlpm.resultado=0,"",_xlpm.resultado))</f>
        <v>46093</v>
      </c>
      <c r="Q283" s="173"/>
      <c r="R283" s="75"/>
      <c r="S283" s="76"/>
      <c r="T283" s="73"/>
    </row>
    <row r="284" spans="1:20" ht="33.75" customHeight="1" x14ac:dyDescent="0.3">
      <c r="A284" s="60" t="str">
        <f>IFERROR(VLOOKUP(Libromaestro[[#This Row],[MACROPROCESO]],Tabla1[],2,FALSE),"")</f>
        <v>Corportativa</v>
      </c>
      <c r="B284" s="73" t="s">
        <v>32</v>
      </c>
      <c r="C284" s="64" t="s">
        <v>57</v>
      </c>
      <c r="D284" s="64" t="s">
        <v>27</v>
      </c>
      <c r="E28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8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284" s="64">
        <v>6</v>
      </c>
      <c r="H284" s="60" t="str">
        <f>_xlfn.CONCAT(Libromaestro[[#This Row],[SIGLAS]],"-",Libromaestro[[#This Row],[T. DOC]],"-",Libromaestro[[#This Row],[CONSECUTIVO]])</f>
        <v>H-IN-6</v>
      </c>
      <c r="I284" s="98" t="s">
        <v>358</v>
      </c>
      <c r="J284" s="64">
        <v>1</v>
      </c>
      <c r="K284" s="64" t="str">
        <f>_xlfn.XLOOKUP(Libromaestro[[#This Row],[CODIGO DEL DOCUMENTO]],Arreglo_Binaps[Codigo Documento],Arreglo_Binaps[Estado],"No creado",0)</f>
        <v>No creado</v>
      </c>
      <c r="L284" s="66" t="str">
        <f>_xlfn.XLOOKUP(Libromaestro[[#This Row],[CODIGO DEL DOCUMENTO]],Arreglo_Binaps[Codigo Documento],Arreglo_Binaps[Fecha de creación],"",0,1)</f>
        <v/>
      </c>
      <c r="M284" s="66"/>
      <c r="N284"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84"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84" s="74" t="str">
        <f>_xlfn.LET(_xlpm.resultado,_xlfn.XLOOKUP(Libromaestro[[#This Row],[CODIGO DEL DOCUMENTO]],Arreglo_Binaps[Codigo Documento],Arreglo_Binaps[Fecha_Aprobacion],"",0,1),IF(_xlpm.resultado=0,"",_xlpm.resultado))</f>
        <v/>
      </c>
      <c r="Q284" s="173"/>
      <c r="R284" s="75"/>
      <c r="S284" s="76"/>
      <c r="T284" s="80"/>
    </row>
    <row r="285" spans="1:20" ht="33.75" customHeight="1" x14ac:dyDescent="0.3">
      <c r="A285" s="60" t="str">
        <f>IFERROR(VLOOKUP(Libromaestro[[#This Row],[MACROPROCESO]],Tabla1[],2,FALSE),"")</f>
        <v>Corportativa</v>
      </c>
      <c r="B285" s="73" t="s">
        <v>32</v>
      </c>
      <c r="C285" s="60" t="s">
        <v>51</v>
      </c>
      <c r="D285" s="64" t="s">
        <v>34</v>
      </c>
      <c r="E28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8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85" s="60">
        <v>11</v>
      </c>
      <c r="H285" s="60" t="str">
        <f>_xlfn.CONCAT(Libromaestro[[#This Row],[SIGLAS]],"-",Libromaestro[[#This Row],[T. DOC]],"-",Libromaestro[[#This Row],[CONSECUTIVO]])</f>
        <v>H-PR-11</v>
      </c>
      <c r="I285" s="70" t="s">
        <v>359</v>
      </c>
      <c r="J285" s="60">
        <v>1</v>
      </c>
      <c r="K285" s="64" t="str">
        <f>_xlfn.XLOOKUP(Libromaestro[[#This Row],[CODIGO DEL DOCUMENTO]],Arreglo_Binaps[Codigo Documento],Arreglo_Binaps[Estado],"No creado",0)</f>
        <v>No creado</v>
      </c>
      <c r="L285" s="66" t="str">
        <f>_xlfn.XLOOKUP(Libromaestro[[#This Row],[CODIGO DEL DOCUMENTO]],Arreglo_Binaps[Codigo Documento],Arreglo_Binaps[Fecha de creación],"",0,1)</f>
        <v/>
      </c>
      <c r="M285" s="66"/>
      <c r="N285"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85"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85" s="67" t="str">
        <f>_xlfn.LET(_xlpm.resultado,_xlfn.XLOOKUP(Libromaestro[[#This Row],[CODIGO DEL DOCUMENTO]],Arreglo_Binaps[Codigo Documento],Arreglo_Binaps[Fecha_Aprobacion],"",0,1),IF(_xlpm.resultado=0,"",_xlpm.resultado))</f>
        <v/>
      </c>
      <c r="Q285" s="172"/>
      <c r="R285" s="68"/>
      <c r="S285" s="69"/>
      <c r="T285" s="70"/>
    </row>
    <row r="286" spans="1:20" ht="33.75" customHeight="1" x14ac:dyDescent="0.3">
      <c r="A286" s="60" t="str">
        <f>IFERROR(VLOOKUP(Libromaestro[[#This Row],[MACROPROCESO]],Tabla1[],2,FALSE),"")</f>
        <v>Corportativa</v>
      </c>
      <c r="B286" s="73" t="s">
        <v>38</v>
      </c>
      <c r="C286" s="64" t="s">
        <v>39</v>
      </c>
      <c r="D286" s="64" t="s">
        <v>16</v>
      </c>
      <c r="E28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28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86" s="64">
        <v>11</v>
      </c>
      <c r="H286" s="60" t="str">
        <f>_xlfn.CONCAT(Libromaestro[[#This Row],[SIGLAS]],"-",Libromaestro[[#This Row],[T. DOC]],"-",Libromaestro[[#This Row],[CONSECUTIVO]])</f>
        <v>M-FT-11</v>
      </c>
      <c r="I286" s="73" t="s">
        <v>360</v>
      </c>
      <c r="J286" s="64">
        <v>2</v>
      </c>
      <c r="K286" s="64" t="str">
        <f>_xlfn.XLOOKUP(Libromaestro[[#This Row],[CODIGO DEL DOCUMENTO]],Arreglo_Binaps[Codigo Documento],Arreglo_Binaps[Estado],"No creado",0)</f>
        <v>Aprobado</v>
      </c>
      <c r="L286" s="66" t="str">
        <f>_xlfn.XLOOKUP(Libromaestro[[#This Row],[CODIGO DEL DOCUMENTO]],Arreglo_Binaps[Codigo Documento],Arreglo_Binaps[Fecha de creación],"",0,1)</f>
        <v>2025-05-16</v>
      </c>
      <c r="M286" s="66">
        <v>45990</v>
      </c>
      <c r="N28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47086</v>
      </c>
      <c r="O286"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47086</v>
      </c>
      <c r="P286" s="74">
        <f>_xlfn.LET(_xlpm.resultado,_xlfn.XLOOKUP(Libromaestro[[#This Row],[CODIGO DEL DOCUMENTO]],Arreglo_Binaps[Codigo Documento],Arreglo_Binaps[Fecha_Aprobacion],"",0,1),IF(_xlpm.resultado=0,"",_xlpm.resultado))</f>
        <v>46083</v>
      </c>
      <c r="Q286" s="173"/>
      <c r="R286" s="75"/>
      <c r="S286" s="76"/>
      <c r="T286" s="73"/>
    </row>
    <row r="287" spans="1:20" ht="33.75" customHeight="1" x14ac:dyDescent="0.3">
      <c r="A287" s="60" t="str">
        <f>IFERROR(VLOOKUP(Libromaestro[[#This Row],[MACROPROCESO]],Tabla1[],2,FALSE),"")</f>
        <v>Proyectos</v>
      </c>
      <c r="B287" s="73" t="s">
        <v>41</v>
      </c>
      <c r="C287" s="64" t="s">
        <v>58</v>
      </c>
      <c r="D287" s="64" t="s">
        <v>16</v>
      </c>
      <c r="E28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28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87" s="76">
        <v>11</v>
      </c>
      <c r="H287" s="60" t="str">
        <f>_xlfn.CONCAT(Libromaestro[[#This Row],[SIGLAS]],"-",Libromaestro[[#This Row],[T. DOC]],"-",Libromaestro[[#This Row],[CONSECUTIVO]])</f>
        <v>P-FT-11</v>
      </c>
      <c r="I287" s="73" t="s">
        <v>361</v>
      </c>
      <c r="J287" s="64">
        <v>1</v>
      </c>
      <c r="K287" s="64" t="str">
        <f>_xlfn.XLOOKUP(Libromaestro[[#This Row],[CODIGO DEL DOCUMENTO]],Arreglo_Binaps[Codigo Documento],Arreglo_Binaps[Estado],"No creado",0)</f>
        <v>No creado</v>
      </c>
      <c r="L287" s="66" t="str">
        <f>_xlfn.XLOOKUP(Libromaestro[[#This Row],[CODIGO DEL DOCUMENTO]],Arreglo_Binaps[Codigo Documento],Arreglo_Binaps[Fecha de creación],"",0,1)</f>
        <v/>
      </c>
      <c r="M287" s="66"/>
      <c r="N287"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87"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87" s="74" t="str">
        <f>_xlfn.LET(_xlpm.resultado,_xlfn.XLOOKUP(Libromaestro[[#This Row],[CODIGO DEL DOCUMENTO]],Arreglo_Binaps[Codigo Documento],Arreglo_Binaps[Fecha_Aprobacion],"",0,1),IF(_xlpm.resultado=0,"",_xlpm.resultado))</f>
        <v/>
      </c>
      <c r="Q287" s="176"/>
      <c r="R287" s="76"/>
      <c r="S287" s="78"/>
      <c r="T287" s="79"/>
    </row>
    <row r="288" spans="1:20" ht="33.75" customHeight="1" x14ac:dyDescent="0.3">
      <c r="A288" s="195" t="str">
        <f>IFERROR(VLOOKUP(Libromaestro[[#This Row],[MACROPROCESO]],Tabla1[],2,FALSE),"")</f>
        <v>Suministros</v>
      </c>
      <c r="B288" s="73" t="s">
        <v>45</v>
      </c>
      <c r="C288" s="64" t="s">
        <v>36</v>
      </c>
      <c r="D288" s="187" t="s">
        <v>16</v>
      </c>
      <c r="E288" s="18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288" s="18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88" s="187">
        <v>39</v>
      </c>
      <c r="H288" s="195" t="str">
        <f>_xlfn.CONCAT(Libromaestro[[#This Row],[SIGLAS]],"-",Libromaestro[[#This Row],[T. DOC]],"-",Libromaestro[[#This Row],[CONSECUTIVO]])</f>
        <v>S-FT-39</v>
      </c>
      <c r="I288" s="186" t="s">
        <v>2526</v>
      </c>
      <c r="J288" s="187">
        <v>1</v>
      </c>
      <c r="K288" s="64" t="str">
        <f>_xlfn.XLOOKUP(Libromaestro[[#This Row],[CODIGO DEL DOCUMENTO]],Arreglo_Binaps[Codigo Documento],Arreglo_Binaps[Estado],"No creado",0)</f>
        <v>No creado</v>
      </c>
      <c r="L288" s="66" t="str">
        <f>_xlfn.XLOOKUP(Libromaestro[[#This Row],[CODIGO DEL DOCUMENTO]],Arreglo_Binaps[Codigo Documento],Arreglo_Binaps[Fecha de creación],"",0,1)</f>
        <v/>
      </c>
      <c r="M288" s="188"/>
      <c r="N288" s="216"/>
      <c r="O288" s="18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88" s="189" t="str">
        <f>_xlfn.LET(_xlpm.resultado,_xlfn.XLOOKUP(Libromaestro[[#This Row],[CODIGO DEL DOCUMENTO]],Arreglo_Binaps[Codigo Documento],Arreglo_Binaps[Fecha_Aprobacion],"",0,1),IF(_xlpm.resultado=0,"",_xlpm.resultado))</f>
        <v/>
      </c>
      <c r="Q288" s="190"/>
      <c r="R288" s="191"/>
      <c r="S288" s="192"/>
      <c r="T288" s="193"/>
    </row>
    <row r="289" spans="1:20" ht="33.75" customHeight="1" x14ac:dyDescent="0.3">
      <c r="A289" s="60" t="str">
        <f>IFERROR(VLOOKUP(Libromaestro[[#This Row],[MACROPROCESO]],Tabla1[],2,FALSE),"")</f>
        <v>Suministros</v>
      </c>
      <c r="B289" s="73" t="s">
        <v>45</v>
      </c>
      <c r="C289" s="60" t="s">
        <v>63</v>
      </c>
      <c r="D289" s="64" t="s">
        <v>22</v>
      </c>
      <c r="E28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28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289" s="76">
        <v>1</v>
      </c>
      <c r="H289" s="60" t="str">
        <f>_xlfn.CONCAT(Libromaestro[[#This Row],[SIGLAS]],"-",Libromaestro[[#This Row],[T. DOC]],"-",Libromaestro[[#This Row],[CONSECUTIVO]])</f>
        <v>S-GU-1</v>
      </c>
      <c r="I289" s="70" t="s">
        <v>132</v>
      </c>
      <c r="J289" s="64">
        <v>1</v>
      </c>
      <c r="K289" s="64" t="str">
        <f>_xlfn.XLOOKUP(Libromaestro[[#This Row],[CODIGO DEL DOCUMENTO]],Arreglo_Binaps[Codigo Documento],Arreglo_Binaps[Estado],"No creado",0)</f>
        <v>Aprobado</v>
      </c>
      <c r="L289" s="66" t="str">
        <f>_xlfn.XLOOKUP(Libromaestro[[#This Row],[CODIGO DEL DOCUMENTO]],Arreglo_Binaps[Codigo Documento],Arreglo_Binaps[Fecha de creación],"",0,1)</f>
        <v>2024-03-12</v>
      </c>
      <c r="M289" s="65"/>
      <c r="N28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46458</v>
      </c>
      <c r="O28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46458</v>
      </c>
      <c r="P289" s="67">
        <f>_xlfn.LET(_xlpm.resultado,_xlfn.XLOOKUP(Libromaestro[[#This Row],[CODIGO DEL DOCUMENTO]],Arreglo_Binaps[Codigo Documento],Arreglo_Binaps[Fecha_Aprobacion],"",0,1),IF(_xlpm.resultado=0,"",_xlpm.resultado))</f>
        <v>45498</v>
      </c>
      <c r="Q289" s="177"/>
      <c r="R289" s="69"/>
      <c r="S289" s="85" t="s">
        <v>23</v>
      </c>
      <c r="T289" s="86"/>
    </row>
    <row r="290" spans="1:20" ht="33.75" customHeight="1" x14ac:dyDescent="0.3">
      <c r="A290" s="60" t="str">
        <f>IFERROR(VLOOKUP(Libromaestro[[#This Row],[MACROPROCESO]],Tabla1[],2,FALSE),"")</f>
        <v>Corportativa</v>
      </c>
      <c r="B290" s="73" t="s">
        <v>32</v>
      </c>
      <c r="C290" s="60" t="s">
        <v>51</v>
      </c>
      <c r="D290" s="64" t="s">
        <v>34</v>
      </c>
      <c r="E29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9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90" s="64">
        <v>16</v>
      </c>
      <c r="H290" s="60" t="str">
        <f>_xlfn.CONCAT(Libromaestro[[#This Row],[SIGLAS]],"-",Libromaestro[[#This Row],[T. DOC]],"-",Libromaestro[[#This Row],[CONSECUTIVO]])</f>
        <v>H-PR-16</v>
      </c>
      <c r="I290" s="70" t="s">
        <v>412</v>
      </c>
      <c r="J290" s="64">
        <v>1</v>
      </c>
      <c r="K290" s="64" t="str">
        <f>_xlfn.XLOOKUP(Libromaestro[[#This Row],[CODIGO DEL DOCUMENTO]],Arreglo_Binaps[Codigo Documento],Arreglo_Binaps[Estado],"No creado",0)</f>
        <v>Aprobado</v>
      </c>
      <c r="L290" s="66" t="str">
        <f>_xlfn.XLOOKUP(Libromaestro[[#This Row],[CODIGO DEL DOCUMENTO]],Arreglo_Binaps[Codigo Documento],Arreglo_Binaps[Fecha de creación],"",0,1)</f>
        <v>2024-07-08</v>
      </c>
      <c r="M290" s="66"/>
      <c r="N29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46576</v>
      </c>
      <c r="O29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46576</v>
      </c>
      <c r="P290" s="67">
        <f>_xlfn.LET(_xlpm.resultado,_xlfn.XLOOKUP(Libromaestro[[#This Row],[CODIGO DEL DOCUMENTO]],Arreglo_Binaps[Codigo Documento],Arreglo_Binaps[Fecha_Aprobacion],"",0,1),IF(_xlpm.resultado=0,"",_xlpm.resultado))</f>
        <v>45509</v>
      </c>
      <c r="Q290" s="172"/>
      <c r="R290" s="68"/>
      <c r="S290" s="69" t="s">
        <v>28</v>
      </c>
      <c r="T290" s="70"/>
    </row>
    <row r="291" spans="1:20" ht="33.75" customHeight="1" x14ac:dyDescent="0.3">
      <c r="A291" s="60" t="str">
        <f>IFERROR(VLOOKUP(Libromaestro[[#This Row],[MACROPROCESO]],Tabla1[],2,FALSE),"")</f>
        <v>Corporativa</v>
      </c>
      <c r="B291" s="70" t="s">
        <v>13</v>
      </c>
      <c r="C291" s="60" t="s">
        <v>60</v>
      </c>
      <c r="D291" s="60" t="s">
        <v>16</v>
      </c>
      <c r="E291"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291"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91" s="60">
        <v>12</v>
      </c>
      <c r="H291" s="60" t="str">
        <f>_xlfn.CONCAT(Libromaestro[[#This Row],[SIGLAS]],"-",Libromaestro[[#This Row],[T. DOC]],"-",Libromaestro[[#This Row],[CONSECUTIVO]])</f>
        <v>D-FT-12</v>
      </c>
      <c r="I291" s="63" t="s">
        <v>365</v>
      </c>
      <c r="J291" s="60">
        <v>1</v>
      </c>
      <c r="K291" s="64" t="str">
        <f>_xlfn.XLOOKUP(Libromaestro[[#This Row],[CODIGO DEL DOCUMENTO]],Arreglo_Binaps[Codigo Documento],Arreglo_Binaps[Estado],"No creado",0)</f>
        <v>Aprobado</v>
      </c>
      <c r="L291" s="66" t="str">
        <f>_xlfn.XLOOKUP(Libromaestro[[#This Row],[CODIGO DEL DOCUMENTO]],Arreglo_Binaps[Codigo Documento],Arreglo_Binaps[Fecha de creación],"",0,1)</f>
        <v>2021-05-09</v>
      </c>
      <c r="M291" s="66"/>
      <c r="N29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45421</v>
      </c>
      <c r="O29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45421</v>
      </c>
      <c r="P291" s="67">
        <f>_xlfn.LET(_xlpm.resultado,_xlfn.XLOOKUP(Libromaestro[[#This Row],[CODIGO DEL DOCUMENTO]],Arreglo_Binaps[Codigo Documento],Arreglo_Binaps[Fecha_Aprobacion],"",0,1),IF(_xlpm.resultado=0,"",_xlpm.resultado))</f>
        <v>44325</v>
      </c>
      <c r="Q291" s="172"/>
      <c r="R291" s="68"/>
      <c r="S291" s="69" t="s">
        <v>11</v>
      </c>
      <c r="T291" s="70"/>
    </row>
    <row r="292" spans="1:20" ht="33.75" customHeight="1" x14ac:dyDescent="0.3">
      <c r="A292" s="60" t="str">
        <f>IFERROR(VLOOKUP(Libromaestro[[#This Row],[MACROPROCESO]],Tabla1[],2,FALSE),"")</f>
        <v>Alumbrado Público</v>
      </c>
      <c r="B292" s="73" t="s">
        <v>7</v>
      </c>
      <c r="C292" s="60" t="s">
        <v>56</v>
      </c>
      <c r="D292" s="64" t="s">
        <v>16</v>
      </c>
      <c r="E29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9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92" s="64">
        <v>12</v>
      </c>
      <c r="H292" s="60" t="str">
        <f>_xlfn.CONCAT(Libromaestro[[#This Row],[SIGLAS]],"-",Libromaestro[[#This Row],[T. DOC]],"-",Libromaestro[[#This Row],[CONSECUTIVO]])</f>
        <v>A-FT-12</v>
      </c>
      <c r="I292" s="70" t="s">
        <v>366</v>
      </c>
      <c r="J292" s="64">
        <v>1</v>
      </c>
      <c r="K292" s="64" t="str">
        <f>_xlfn.XLOOKUP(Libromaestro[[#This Row],[CODIGO DEL DOCUMENTO]],Arreglo_Binaps[Codigo Documento],Arreglo_Binaps[Estado],"No creado",0)</f>
        <v>Aprobado</v>
      </c>
      <c r="L292" s="66" t="str">
        <f>_xlfn.XLOOKUP(Libromaestro[[#This Row],[CODIGO DEL DOCUMENTO]],Arreglo_Binaps[Codigo Documento],Arreglo_Binaps[Fecha de creación],"",0,1)</f>
        <v>2023-12-11</v>
      </c>
      <c r="M292" s="65"/>
      <c r="N29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46367</v>
      </c>
      <c r="O29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46367</v>
      </c>
      <c r="P292" s="67">
        <f>_xlfn.LET(_xlpm.resultado,_xlfn.XLOOKUP(Libromaestro[[#This Row],[CODIGO DEL DOCUMENTO]],Arreglo_Binaps[Codigo Documento],Arreglo_Binaps[Fecha_Aprobacion],"",0,1),IF(_xlpm.resultado=0,"",_xlpm.resultado))</f>
        <v>45295</v>
      </c>
      <c r="Q292" s="172"/>
      <c r="R292" s="68"/>
      <c r="S292" s="69" t="s">
        <v>28</v>
      </c>
      <c r="T292" s="70"/>
    </row>
    <row r="293" spans="1:20" ht="33.75" customHeight="1" x14ac:dyDescent="0.3">
      <c r="A293" s="60" t="str">
        <f>IFERROR(VLOOKUP(Libromaestro[[#This Row],[MACROPROCESO]],Tabla1[],2,FALSE),"")</f>
        <v>Alumbrado Público</v>
      </c>
      <c r="B293" s="73" t="s">
        <v>7</v>
      </c>
      <c r="C293" s="60" t="s">
        <v>56</v>
      </c>
      <c r="D293" s="64" t="s">
        <v>22</v>
      </c>
      <c r="E29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29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293" s="64">
        <v>12</v>
      </c>
      <c r="H293" s="60" t="str">
        <f>_xlfn.CONCAT(Libromaestro[[#This Row],[SIGLAS]],"-",Libromaestro[[#This Row],[T. DOC]],"-",Libromaestro[[#This Row],[CONSECUTIVO]])</f>
        <v>A-GU-12</v>
      </c>
      <c r="I293" s="24" t="s">
        <v>367</v>
      </c>
      <c r="J293" s="64">
        <v>1</v>
      </c>
      <c r="K293" s="64" t="str">
        <f>_xlfn.XLOOKUP(Libromaestro[[#This Row],[CODIGO DEL DOCUMENTO]],Arreglo_Binaps[Codigo Documento],Arreglo_Binaps[Estado],"No creado",0)</f>
        <v>Aprobado</v>
      </c>
      <c r="L293" s="66" t="str">
        <f>_xlfn.XLOOKUP(Libromaestro[[#This Row],[CODIGO DEL DOCUMENTO]],Arreglo_Binaps[Codigo Documento],Arreglo_Binaps[Fecha de creación],"",0,1)</f>
        <v>2025-10-14</v>
      </c>
      <c r="M293" s="65"/>
      <c r="N29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47040</v>
      </c>
      <c r="O29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47040</v>
      </c>
      <c r="P293" s="67">
        <f>_xlfn.LET(_xlpm.resultado,_xlfn.XLOOKUP(Libromaestro[[#This Row],[CODIGO DEL DOCUMENTO]],Arreglo_Binaps[Codigo Documento],Arreglo_Binaps[Fecha_Aprobacion],"",0,1),IF(_xlpm.resultado=0,"",_xlpm.resultado))</f>
        <v>46154</v>
      </c>
      <c r="Q293" s="172"/>
      <c r="R293" s="68"/>
      <c r="S293" s="69"/>
      <c r="T293" s="70"/>
    </row>
    <row r="294" spans="1:20" ht="45.75" customHeight="1" x14ac:dyDescent="0.3">
      <c r="A294" s="60" t="str">
        <f>IFERROR(VLOOKUP(Libromaestro[[#This Row],[MACROPROCESO]],Tabla1[],2,FALSE),"")</f>
        <v>Corportativa</v>
      </c>
      <c r="B294" s="73" t="s">
        <v>32</v>
      </c>
      <c r="C294" s="60" t="s">
        <v>59</v>
      </c>
      <c r="D294" s="64" t="s">
        <v>34</v>
      </c>
      <c r="E29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9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294" s="64">
        <v>20</v>
      </c>
      <c r="H294" s="60" t="str">
        <f>_xlfn.CONCAT(Libromaestro[[#This Row],[SIGLAS]],"-",Libromaestro[[#This Row],[T. DOC]],"-",Libromaestro[[#This Row],[CONSECUTIVO]])</f>
        <v>H-PR-20</v>
      </c>
      <c r="I294" s="70" t="s">
        <v>439</v>
      </c>
      <c r="J294" s="64">
        <v>1</v>
      </c>
      <c r="K294" s="64" t="str">
        <f>_xlfn.XLOOKUP(Libromaestro[[#This Row],[CODIGO DEL DOCUMENTO]],Arreglo_Binaps[Codigo Documento],Arreglo_Binaps[Estado],"No creado",0)</f>
        <v>Aprobado</v>
      </c>
      <c r="L294" s="66" t="str">
        <f>_xlfn.XLOOKUP(Libromaestro[[#This Row],[CODIGO DEL DOCUMENTO]],Arreglo_Binaps[Codigo Documento],Arreglo_Binaps[Fecha de creación],"",0,1)</f>
        <v>2025-05-29</v>
      </c>
      <c r="M294" s="65"/>
      <c r="N29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O29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P294" s="67">
        <f>_xlfn.LET(_xlpm.resultado,_xlfn.XLOOKUP(Libromaestro[[#This Row],[CODIGO DEL DOCUMENTO]],Arreglo_Binaps[Codigo Documento],Arreglo_Binaps[Fecha_Aprobacion],"",0,1),IF(_xlpm.resultado=0,"",_xlpm.resultado))</f>
        <v>45877</v>
      </c>
      <c r="Q294" s="172"/>
      <c r="R294" s="68"/>
      <c r="S294" s="69"/>
      <c r="T294" s="70"/>
    </row>
    <row r="295" spans="1:20" ht="33.75" customHeight="1" x14ac:dyDescent="0.3">
      <c r="A295" s="60" t="str">
        <f>IFERROR(VLOOKUP(Libromaestro[[#This Row],[MACROPROCESO]],Tabla1[],2,FALSE),"")</f>
        <v>Electroingeniería</v>
      </c>
      <c r="B295" s="73" t="s">
        <v>29</v>
      </c>
      <c r="C295" s="64" t="s">
        <v>2255</v>
      </c>
      <c r="D295" s="64" t="s">
        <v>16</v>
      </c>
      <c r="E29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29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95" s="64">
        <v>12</v>
      </c>
      <c r="H295" s="60" t="str">
        <f>_xlfn.CONCAT(Libromaestro[[#This Row],[SIGLAS]],"-",Libromaestro[[#This Row],[T. DOC]],"-",Libromaestro[[#This Row],[CONSECUTIVO]])</f>
        <v>L-FT-12</v>
      </c>
      <c r="I295" s="70" t="s">
        <v>369</v>
      </c>
      <c r="J295" s="64">
        <v>2</v>
      </c>
      <c r="K295" s="64" t="str">
        <f>_xlfn.XLOOKUP(Libromaestro[[#This Row],[CODIGO DEL DOCUMENTO]],Arreglo_Binaps[Codigo Documento],Arreglo_Binaps[Estado],"No creado",0)</f>
        <v>Aprobado</v>
      </c>
      <c r="L295" s="66" t="str">
        <f>_xlfn.XLOOKUP(Libromaestro[[#This Row],[CODIGO DEL DOCUMENTO]],Arreglo_Binaps[Codigo Documento],Arreglo_Binaps[Fecha de creación],"",0,1)</f>
        <v>2024-06-24</v>
      </c>
      <c r="M295" s="65">
        <v>45754</v>
      </c>
      <c r="N29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46850</v>
      </c>
      <c r="O29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46850</v>
      </c>
      <c r="P295" s="67">
        <f>_xlfn.LET(_xlpm.resultado,_xlfn.XLOOKUP(Libromaestro[[#This Row],[CODIGO DEL DOCUMENTO]],Arreglo_Binaps[Codigo Documento],Arreglo_Binaps[Fecha_Aprobacion],"",0,1),IF(_xlpm.resultado=0,"",_xlpm.resultado))</f>
        <v>45894</v>
      </c>
      <c r="Q295" s="172"/>
      <c r="R295" s="68"/>
      <c r="S295" s="69" t="s">
        <v>11</v>
      </c>
      <c r="T295" s="70"/>
    </row>
    <row r="296" spans="1:20" ht="33.75" customHeight="1" x14ac:dyDescent="0.3">
      <c r="A296" s="60" t="str">
        <f>IFERROR(VLOOKUP(Libromaestro[[#This Row],[MACROPROCESO]],Tabla1[],2,FALSE),"")</f>
        <v>Corportativa</v>
      </c>
      <c r="B296" s="73" t="s">
        <v>32</v>
      </c>
      <c r="C296" s="60" t="s">
        <v>57</v>
      </c>
      <c r="D296" s="64" t="s">
        <v>16</v>
      </c>
      <c r="E29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9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96" s="64">
        <v>12</v>
      </c>
      <c r="H296" s="60" t="str">
        <f>_xlfn.CONCAT(Libromaestro[[#This Row],[SIGLAS]],"-",Libromaestro[[#This Row],[T. DOC]],"-",Libromaestro[[#This Row],[CONSECUTIVO]])</f>
        <v>H-FT-12</v>
      </c>
      <c r="I296" s="70" t="s">
        <v>370</v>
      </c>
      <c r="J296" s="64">
        <v>2</v>
      </c>
      <c r="K296" s="64" t="str">
        <f>_xlfn.XLOOKUP(Libromaestro[[#This Row],[CODIGO DEL DOCUMENTO]],Arreglo_Binaps[Codigo Documento],Arreglo_Binaps[Estado],"No creado",0)</f>
        <v>Aprobado</v>
      </c>
      <c r="L296" s="66" t="str">
        <f>_xlfn.XLOOKUP(Libromaestro[[#This Row],[CODIGO DEL DOCUMENTO]],Arreglo_Binaps[Codigo Documento],Arreglo_Binaps[Fecha de creación],"",0,1)</f>
        <v>2019-11-22</v>
      </c>
      <c r="M296" s="65">
        <v>44949</v>
      </c>
      <c r="N29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46045</v>
      </c>
      <c r="O29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46045</v>
      </c>
      <c r="P296" s="67">
        <f>_xlfn.LET(_xlpm.resultado,_xlfn.XLOOKUP(Libromaestro[[#This Row],[CODIGO DEL DOCUMENTO]],Arreglo_Binaps[Codigo Documento],Arreglo_Binaps[Fecha_Aprobacion],"",0,1),IF(_xlpm.resultado=0,"",_xlpm.resultado))</f>
        <v>43791</v>
      </c>
      <c r="Q296" s="179" t="s">
        <v>371</v>
      </c>
      <c r="R296" s="68"/>
      <c r="S296" s="69" t="s">
        <v>11</v>
      </c>
      <c r="T296" s="70"/>
    </row>
    <row r="297" spans="1:20" ht="33.75" customHeight="1" x14ac:dyDescent="0.3">
      <c r="A297" s="60" t="str">
        <f>IFERROR(VLOOKUP(Libromaestro[[#This Row],[MACROPROCESO]],Tabla1[],2,FALSE),"")</f>
        <v>Corportativa</v>
      </c>
      <c r="B297" s="73" t="s">
        <v>32</v>
      </c>
      <c r="C297" s="60" t="s">
        <v>57</v>
      </c>
      <c r="D297" s="64" t="s">
        <v>27</v>
      </c>
      <c r="E29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9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297" s="64">
        <v>7</v>
      </c>
      <c r="H297" s="60" t="str">
        <f>_xlfn.CONCAT(Libromaestro[[#This Row],[SIGLAS]],"-",Libromaestro[[#This Row],[T. DOC]],"-",Libromaestro[[#This Row],[CONSECUTIVO]])</f>
        <v>H-IN-7</v>
      </c>
      <c r="I297" s="70" t="s">
        <v>372</v>
      </c>
      <c r="J297" s="64">
        <v>1</v>
      </c>
      <c r="K297" s="64" t="str">
        <f>_xlfn.XLOOKUP(Libromaestro[[#This Row],[CODIGO DEL DOCUMENTO]],Arreglo_Binaps[Codigo Documento],Arreglo_Binaps[Estado],"No creado",0)</f>
        <v>No creado</v>
      </c>
      <c r="L297" s="66" t="str">
        <f>_xlfn.XLOOKUP(Libromaestro[[#This Row],[CODIGO DEL DOCUMENTO]],Arreglo_Binaps[Codigo Documento],Arreglo_Binaps[Fecha de creación],"",0,1)</f>
        <v/>
      </c>
      <c r="M297" s="65"/>
      <c r="N297"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97"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97" s="67" t="str">
        <f>_xlfn.LET(_xlpm.resultado,_xlfn.XLOOKUP(Libromaestro[[#This Row],[CODIGO DEL DOCUMENTO]],Arreglo_Binaps[Codigo Documento],Arreglo_Binaps[Fecha_Aprobacion],"",0,1),IF(_xlpm.resultado=0,"",_xlpm.resultado))</f>
        <v/>
      </c>
      <c r="Q297" s="172"/>
      <c r="R297" s="68"/>
      <c r="S297" s="69"/>
      <c r="T297" s="87"/>
    </row>
    <row r="298" spans="1:20" ht="33.75" customHeight="1" x14ac:dyDescent="0.3">
      <c r="A298" s="60" t="str">
        <f>IFERROR(VLOOKUP(Libromaestro[[#This Row],[MACROPROCESO]],Tabla1[],2,FALSE),"")</f>
        <v>Corportativa</v>
      </c>
      <c r="B298" s="73" t="s">
        <v>32</v>
      </c>
      <c r="C298" s="60" t="s">
        <v>57</v>
      </c>
      <c r="D298" s="64" t="s">
        <v>27</v>
      </c>
      <c r="E29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29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298" s="64">
        <v>8</v>
      </c>
      <c r="H298" s="60" t="str">
        <f>_xlfn.CONCAT(Libromaestro[[#This Row],[SIGLAS]],"-",Libromaestro[[#This Row],[T. DOC]],"-",Libromaestro[[#This Row],[CONSECUTIVO]])</f>
        <v>H-IN-8</v>
      </c>
      <c r="I298" s="70" t="s">
        <v>373</v>
      </c>
      <c r="J298" s="64">
        <v>1</v>
      </c>
      <c r="K298" s="64" t="str">
        <f>_xlfn.XLOOKUP(Libromaestro[[#This Row],[CODIGO DEL DOCUMENTO]],Arreglo_Binaps[Codigo Documento],Arreglo_Binaps[Estado],"No creado",0)</f>
        <v>No creado</v>
      </c>
      <c r="L298" s="66" t="str">
        <f>_xlfn.XLOOKUP(Libromaestro[[#This Row],[CODIGO DEL DOCUMENTO]],Arreglo_Binaps[Codigo Documento],Arreglo_Binaps[Fecha de creación],"",0,1)</f>
        <v/>
      </c>
      <c r="M298" s="65"/>
      <c r="N298"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298"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298" s="67" t="str">
        <f>_xlfn.LET(_xlpm.resultado,_xlfn.XLOOKUP(Libromaestro[[#This Row],[CODIGO DEL DOCUMENTO]],Arreglo_Binaps[Codigo Documento],Arreglo_Binaps[Fecha_Aprobacion],"",0,1),IF(_xlpm.resultado=0,"",_xlpm.resultado))</f>
        <v/>
      </c>
      <c r="Q298" s="172"/>
      <c r="R298" s="68"/>
      <c r="S298" s="69"/>
      <c r="T298" s="87"/>
    </row>
    <row r="299" spans="1:20" ht="33.75" customHeight="1" x14ac:dyDescent="0.3">
      <c r="A299" s="60" t="str">
        <f>IFERROR(VLOOKUP(Libromaestro[[#This Row],[MACROPROCESO]],Tabla1[],2,FALSE),"")</f>
        <v>Corportativa</v>
      </c>
      <c r="B299" s="26" t="s">
        <v>38</v>
      </c>
      <c r="C299" s="27" t="s">
        <v>39</v>
      </c>
      <c r="D299" s="45" t="s">
        <v>16</v>
      </c>
      <c r="E299" s="45"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299" s="45"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299" s="45">
        <v>12</v>
      </c>
      <c r="H299" s="60" t="str">
        <f>_xlfn.CONCAT(Libromaestro[[#This Row],[SIGLAS]],"-",Libromaestro[[#This Row],[T. DOC]],"-",Libromaestro[[#This Row],[CONSECUTIVO]])</f>
        <v>M-FT-12</v>
      </c>
      <c r="I299" s="101" t="s">
        <v>374</v>
      </c>
      <c r="J299" s="45">
        <v>1</v>
      </c>
      <c r="K299" s="64" t="str">
        <f>_xlfn.XLOOKUP(Libromaestro[[#This Row],[CODIGO DEL DOCUMENTO]],Arreglo_Binaps[Codigo Documento],Arreglo_Binaps[Estado],"No creado",0)</f>
        <v>Aprobado</v>
      </c>
      <c r="L299" s="66" t="str">
        <f>_xlfn.XLOOKUP(Libromaestro[[#This Row],[CODIGO DEL DOCUMENTO]],Arreglo_Binaps[Codigo Documento],Arreglo_Binaps[Fecha de creación],"",0,1)</f>
        <v>2025-11-07</v>
      </c>
      <c r="M299" s="33"/>
      <c r="N29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47064</v>
      </c>
      <c r="O29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47064</v>
      </c>
      <c r="P299" s="34">
        <f>_xlfn.LET(_xlpm.resultado,_xlfn.XLOOKUP(Libromaestro[[#This Row],[CODIGO DEL DOCUMENTO]],Arreglo_Binaps[Codigo Documento],Arreglo_Binaps[Fecha_Aprobacion],"",0,1),IF(_xlpm.resultado=0,"",_xlpm.resultado))</f>
        <v>46083</v>
      </c>
      <c r="Q299" s="180"/>
      <c r="R299" s="35"/>
      <c r="S299" s="36"/>
      <c r="T299" s="24"/>
    </row>
    <row r="300" spans="1:20" ht="33.75" customHeight="1" x14ac:dyDescent="0.3">
      <c r="A300" s="60" t="str">
        <f>IFERROR(VLOOKUP(Libromaestro[[#This Row],[MACROPROCESO]],Tabla1[],2,FALSE),"")</f>
        <v>Suministros</v>
      </c>
      <c r="B300" s="73" t="s">
        <v>45</v>
      </c>
      <c r="C300" s="60" t="s">
        <v>54</v>
      </c>
      <c r="D300" s="64" t="s">
        <v>22</v>
      </c>
      <c r="E30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0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300" s="64">
        <v>2</v>
      </c>
      <c r="H300" s="60" t="str">
        <f>_xlfn.CONCAT(Libromaestro[[#This Row],[SIGLAS]],"-",Libromaestro[[#This Row],[T. DOC]],"-",Libromaestro[[#This Row],[CONSECUTIVO]])</f>
        <v>S-GU-2</v>
      </c>
      <c r="I300" s="70" t="s">
        <v>175</v>
      </c>
      <c r="J300" s="64">
        <v>1</v>
      </c>
      <c r="K300" s="64" t="str">
        <f>_xlfn.XLOOKUP(Libromaestro[[#This Row],[CODIGO DEL DOCUMENTO]],Arreglo_Binaps[Codigo Documento],Arreglo_Binaps[Estado],"No creado",0)</f>
        <v>Aprobado</v>
      </c>
      <c r="L300" s="66" t="str">
        <f>_xlfn.XLOOKUP(Libromaestro[[#This Row],[CODIGO DEL DOCUMENTO]],Arreglo_Binaps[Codigo Documento],Arreglo_Binaps[Fecha de creación],"",0,1)</f>
        <v>2025-05-27</v>
      </c>
      <c r="M300" s="197">
        <v>46176</v>
      </c>
      <c r="N30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O30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300" s="67">
        <f>_xlfn.LET(_xlpm.resultado,_xlfn.XLOOKUP(Libromaestro[[#This Row],[CODIGO DEL DOCUMENTO]],Arreglo_Binaps[Codigo Documento],Arreglo_Binaps[Fecha_Aprobacion],"",0,1),IF(_xlpm.resultado=0,"",_xlpm.resultado))</f>
        <v>46218</v>
      </c>
      <c r="Q300" s="172"/>
      <c r="R300" s="68"/>
      <c r="S300" s="69"/>
      <c r="T300" s="88"/>
    </row>
    <row r="301" spans="1:20" ht="33.75" customHeight="1" x14ac:dyDescent="0.3">
      <c r="A301" s="60" t="str">
        <f>IFERROR(VLOOKUP(Libromaestro[[#This Row],[MACROPROCESO]],Tabla1[],2,FALSE),"")</f>
        <v>Suministros</v>
      </c>
      <c r="B301" s="73" t="s">
        <v>45</v>
      </c>
      <c r="C301" s="60" t="s">
        <v>54</v>
      </c>
      <c r="D301" s="64" t="s">
        <v>22</v>
      </c>
      <c r="E30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0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301" s="64">
        <v>3</v>
      </c>
      <c r="H301" s="60" t="str">
        <f>_xlfn.CONCAT(Libromaestro[[#This Row],[SIGLAS]],"-",Libromaestro[[#This Row],[T. DOC]],"-",Libromaestro[[#This Row],[CONSECUTIVO]])</f>
        <v>S-GU-3</v>
      </c>
      <c r="I301" s="70" t="s">
        <v>207</v>
      </c>
      <c r="J301" s="64">
        <v>1</v>
      </c>
      <c r="K301" s="64" t="str">
        <f>_xlfn.XLOOKUP(Libromaestro[[#This Row],[CODIGO DEL DOCUMENTO]],Arreglo_Binaps[Codigo Documento],Arreglo_Binaps[Estado],"No creado",0)</f>
        <v>No creado</v>
      </c>
      <c r="L301" s="66" t="str">
        <f>_xlfn.XLOOKUP(Libromaestro[[#This Row],[CODIGO DEL DOCUMENTO]],Arreglo_Binaps[Codigo Documento],Arreglo_Binaps[Fecha de creación],"",0,1)</f>
        <v/>
      </c>
      <c r="M301" s="65"/>
      <c r="N301"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301"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301" s="67" t="str">
        <f>_xlfn.LET(_xlpm.resultado,_xlfn.XLOOKUP(Libromaestro[[#This Row],[CODIGO DEL DOCUMENTO]],Arreglo_Binaps[Codigo Documento],Arreglo_Binaps[Fecha_Aprobacion],"",0,1),IF(_xlpm.resultado=0,"",_xlpm.resultado))</f>
        <v/>
      </c>
      <c r="Q301" s="172"/>
      <c r="R301" s="68"/>
      <c r="S301" s="69"/>
      <c r="T301" s="88"/>
    </row>
    <row r="302" spans="1:20" ht="33.75" customHeight="1" x14ac:dyDescent="0.3">
      <c r="A302" s="60" t="str">
        <f>IFERROR(VLOOKUP(Libromaestro[[#This Row],[MACROPROCESO]],Tabla1[],2,FALSE),"")</f>
        <v>Corporativa</v>
      </c>
      <c r="B302" s="73" t="s">
        <v>13</v>
      </c>
      <c r="C302" s="60" t="s">
        <v>82</v>
      </c>
      <c r="D302" s="64" t="s">
        <v>16</v>
      </c>
      <c r="E30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30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02" s="64">
        <v>13</v>
      </c>
      <c r="H302" s="60" t="str">
        <f>_xlfn.CONCAT(Libromaestro[[#This Row],[SIGLAS]],"-",Libromaestro[[#This Row],[T. DOC]],"-",Libromaestro[[#This Row],[CONSECUTIVO]])</f>
        <v>D-FT-13</v>
      </c>
      <c r="I302" s="63" t="s">
        <v>377</v>
      </c>
      <c r="J302" s="64">
        <v>2</v>
      </c>
      <c r="K302" s="64" t="str">
        <f>_xlfn.XLOOKUP(Libromaestro[[#This Row],[CODIGO DEL DOCUMENTO]],Arreglo_Binaps[Codigo Documento],Arreglo_Binaps[Estado],"No creado",0)</f>
        <v>Aprobado</v>
      </c>
      <c r="L302" s="66" t="str">
        <f>_xlfn.XLOOKUP(Libromaestro[[#This Row],[CODIGO DEL DOCUMENTO]],Arreglo_Binaps[Codigo Documento],Arreglo_Binaps[Fecha de creación],"",0,1)</f>
        <v>2022-04-09</v>
      </c>
      <c r="M302" s="65">
        <v>45888</v>
      </c>
      <c r="N30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46984</v>
      </c>
      <c r="O30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46984</v>
      </c>
      <c r="P302" s="67">
        <f>_xlfn.LET(_xlpm.resultado,_xlfn.XLOOKUP(Libromaestro[[#This Row],[CODIGO DEL DOCUMENTO]],Arreglo_Binaps[Codigo Documento],Arreglo_Binaps[Fecha_Aprobacion],"",0,1),IF(_xlpm.resultado=0,"",_xlpm.resultado))</f>
        <v>46083</v>
      </c>
      <c r="Q302" s="172"/>
      <c r="R302" s="68"/>
      <c r="S302" s="69" t="s">
        <v>28</v>
      </c>
      <c r="T302" s="70"/>
    </row>
    <row r="303" spans="1:20" ht="33.75" customHeight="1" x14ac:dyDescent="0.3">
      <c r="A303" s="60" t="str">
        <f>IFERROR(VLOOKUP(Libromaestro[[#This Row],[MACROPROCESO]],Tabla1[],2,FALSE),"")</f>
        <v>Alumbrado Público</v>
      </c>
      <c r="B303" s="73" t="s">
        <v>7</v>
      </c>
      <c r="C303" s="60" t="s">
        <v>56</v>
      </c>
      <c r="D303" s="64" t="s">
        <v>16</v>
      </c>
      <c r="E30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30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03" s="64">
        <v>13</v>
      </c>
      <c r="H303" s="60" t="str">
        <f>_xlfn.CONCAT(Libromaestro[[#This Row],[SIGLAS]],"-",Libromaestro[[#This Row],[T. DOC]],"-",Libromaestro[[#This Row],[CONSECUTIVO]])</f>
        <v>A-FT-13</v>
      </c>
      <c r="I303" s="70" t="s">
        <v>378</v>
      </c>
      <c r="J303" s="64">
        <v>1</v>
      </c>
      <c r="K303" s="64" t="str">
        <f>_xlfn.XLOOKUP(Libromaestro[[#This Row],[CODIGO DEL DOCUMENTO]],Arreglo_Binaps[Codigo Documento],Arreglo_Binaps[Estado],"No creado",0)</f>
        <v>Aprobado</v>
      </c>
      <c r="L303" s="66" t="str">
        <f>_xlfn.XLOOKUP(Libromaestro[[#This Row],[CODIGO DEL DOCUMENTO]],Arreglo_Binaps[Codigo Documento],Arreglo_Binaps[Fecha de creación],"",0,1)</f>
        <v>2024-05-16</v>
      </c>
      <c r="M303" s="65"/>
      <c r="N30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46523</v>
      </c>
      <c r="O30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46523</v>
      </c>
      <c r="P303" s="67">
        <f>_xlfn.LET(_xlpm.resultado,_xlfn.XLOOKUP(Libromaestro[[#This Row],[CODIGO DEL DOCUMENTO]],Arreglo_Binaps[Codigo Documento],Arreglo_Binaps[Fecha_Aprobacion],"",0,1),IF(_xlpm.resultado=0,"",_xlpm.resultado))</f>
        <v>45509</v>
      </c>
      <c r="Q303" s="172"/>
      <c r="R303" s="68"/>
      <c r="S303" s="69" t="s">
        <v>11</v>
      </c>
      <c r="T303" s="70"/>
    </row>
    <row r="304" spans="1:20" ht="33.75" customHeight="1" x14ac:dyDescent="0.3">
      <c r="A304" s="60" t="str">
        <f>IFERROR(VLOOKUP(Libromaestro[[#This Row],[MACROPROCESO]],Tabla1[],2,FALSE),"")</f>
        <v>Alumbrado Público</v>
      </c>
      <c r="B304" s="73" t="s">
        <v>7</v>
      </c>
      <c r="C304" s="60" t="s">
        <v>56</v>
      </c>
      <c r="D304" s="64" t="s">
        <v>34</v>
      </c>
      <c r="E30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30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304" s="64">
        <v>13</v>
      </c>
      <c r="H304" s="60" t="str">
        <f>_xlfn.CONCAT(Libromaestro[[#This Row],[SIGLAS]],"-",Libromaestro[[#This Row],[T. DOC]],"-",Libromaestro[[#This Row],[CONSECUTIVO]])</f>
        <v>A-PR-13</v>
      </c>
      <c r="I304" s="70" t="s">
        <v>379</v>
      </c>
      <c r="J304" s="64">
        <v>2</v>
      </c>
      <c r="K304" s="64" t="str">
        <f>_xlfn.XLOOKUP(Libromaestro[[#This Row],[CODIGO DEL DOCUMENTO]],Arreglo_Binaps[Codigo Documento],Arreglo_Binaps[Estado],"No creado",0)</f>
        <v>Aprobado</v>
      </c>
      <c r="L304" s="66" t="str">
        <f>_xlfn.XLOOKUP(Libromaestro[[#This Row],[CODIGO DEL DOCUMENTO]],Arreglo_Binaps[Codigo Documento],Arreglo_Binaps[Fecha de creación],"",0,1)</f>
        <v>2021-06-16</v>
      </c>
      <c r="M304" s="65">
        <v>45944</v>
      </c>
      <c r="N30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47040</v>
      </c>
      <c r="O30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47040</v>
      </c>
      <c r="P304" s="67">
        <f>_xlfn.LET(_xlpm.resultado,_xlfn.XLOOKUP(Libromaestro[[#This Row],[CODIGO DEL DOCUMENTO]],Arreglo_Binaps[Codigo Documento],Arreglo_Binaps[Fecha_Aprobacion],"",0,1),IF(_xlpm.resultado=0,"",_xlpm.resultado))</f>
        <v>46154</v>
      </c>
      <c r="Q304" s="172"/>
      <c r="R304" s="68"/>
      <c r="S304" s="69"/>
      <c r="T304" s="70"/>
    </row>
    <row r="305" spans="1:20" ht="33.75" customHeight="1" x14ac:dyDescent="0.3">
      <c r="A305" s="60" t="str">
        <f>IFERROR(VLOOKUP(Libromaestro[[#This Row],[MACROPROCESO]],Tabla1[],2,FALSE),"")</f>
        <v>Electroingeniería</v>
      </c>
      <c r="B305" s="73" t="s">
        <v>29</v>
      </c>
      <c r="C305" s="64" t="s">
        <v>2255</v>
      </c>
      <c r="D305" s="64" t="s">
        <v>22</v>
      </c>
      <c r="E30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30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305" s="64">
        <v>1</v>
      </c>
      <c r="H305" s="60" t="str">
        <f>_xlfn.CONCAT(Libromaestro[[#This Row],[SIGLAS]],"-",Libromaestro[[#This Row],[T. DOC]],"-",Libromaestro[[#This Row],[CONSECUTIVO]])</f>
        <v>L-GU-1</v>
      </c>
      <c r="I305" s="70" t="s">
        <v>380</v>
      </c>
      <c r="J305" s="64">
        <v>2</v>
      </c>
      <c r="K305" s="64" t="str">
        <f>_xlfn.XLOOKUP(Libromaestro[[#This Row],[CODIGO DEL DOCUMENTO]],Arreglo_Binaps[Codigo Documento],Arreglo_Binaps[Estado],"No creado",0)</f>
        <v>Aprobado</v>
      </c>
      <c r="L305" s="66" t="str">
        <f>_xlfn.XLOOKUP(Libromaestro[[#This Row],[CODIGO DEL DOCUMENTO]],Arreglo_Binaps[Codigo Documento],Arreglo_Binaps[Fecha de creación],"",0,1)</f>
        <v>2024-07-02</v>
      </c>
      <c r="M305" s="65">
        <v>45896</v>
      </c>
      <c r="N30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46992</v>
      </c>
      <c r="O30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46992</v>
      </c>
      <c r="P305" s="67">
        <f>_xlfn.LET(_xlpm.resultado,_xlfn.XLOOKUP(Libromaestro[[#This Row],[CODIGO DEL DOCUMENTO]],Arreglo_Binaps[Codigo Documento],Arreglo_Binaps[Fecha_Aprobacion],"",0,1),IF(_xlpm.resultado=0,"",_xlpm.resultado))</f>
        <v>46083</v>
      </c>
      <c r="Q305" s="172"/>
      <c r="R305" s="68"/>
      <c r="S305" s="69" t="s">
        <v>28</v>
      </c>
      <c r="T305" s="70"/>
    </row>
    <row r="306" spans="1:20" ht="33.75" customHeight="1" x14ac:dyDescent="0.3">
      <c r="A306" s="60" t="str">
        <f>IFERROR(VLOOKUP(Libromaestro[[#This Row],[MACROPROCESO]],Tabla1[],2,FALSE),"")</f>
        <v>Corportativa</v>
      </c>
      <c r="B306" s="73" t="s">
        <v>32</v>
      </c>
      <c r="C306" s="60" t="s">
        <v>51</v>
      </c>
      <c r="D306" s="64" t="s">
        <v>16</v>
      </c>
      <c r="E30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0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06" s="64">
        <v>13</v>
      </c>
      <c r="H306" s="60" t="str">
        <f>_xlfn.CONCAT(Libromaestro[[#This Row],[SIGLAS]],"-",Libromaestro[[#This Row],[T. DOC]],"-",Libromaestro[[#This Row],[CONSECUTIVO]])</f>
        <v>H-FT-13</v>
      </c>
      <c r="I306" s="70" t="s">
        <v>381</v>
      </c>
      <c r="J306" s="64">
        <v>1</v>
      </c>
      <c r="K306" s="64" t="str">
        <f>_xlfn.XLOOKUP(Libromaestro[[#This Row],[CODIGO DEL DOCUMENTO]],Arreglo_Binaps[Codigo Documento],Arreglo_Binaps[Estado],"No creado",0)</f>
        <v>No creado</v>
      </c>
      <c r="L306" s="66" t="str">
        <f>_xlfn.XLOOKUP(Libromaestro[[#This Row],[CODIGO DEL DOCUMENTO]],Arreglo_Binaps[Codigo Documento],Arreglo_Binaps[Fecha de creación],"",0,1)</f>
        <v/>
      </c>
      <c r="M306" s="65"/>
      <c r="N306"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306"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306" s="67" t="str">
        <f>_xlfn.LET(_xlpm.resultado,_xlfn.XLOOKUP(Libromaestro[[#This Row],[CODIGO DEL DOCUMENTO]],Arreglo_Binaps[Codigo Documento],Arreglo_Binaps[Fecha_Aprobacion],"",0,1),IF(_xlpm.resultado=0,"",_xlpm.resultado))</f>
        <v/>
      </c>
      <c r="Q306" s="172"/>
      <c r="R306" s="68"/>
      <c r="S306" s="69"/>
      <c r="T306" s="70"/>
    </row>
    <row r="307" spans="1:20" ht="33.75" customHeight="1" x14ac:dyDescent="0.3">
      <c r="A307" s="60" t="str">
        <f>IFERROR(VLOOKUP(Libromaestro[[#This Row],[MACROPROCESO]],Tabla1[],2,FALSE),"")</f>
        <v>Corportativa</v>
      </c>
      <c r="B307" s="73" t="s">
        <v>32</v>
      </c>
      <c r="C307" s="60" t="s">
        <v>57</v>
      </c>
      <c r="D307" s="64" t="s">
        <v>27</v>
      </c>
      <c r="E30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0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07" s="64">
        <v>9</v>
      </c>
      <c r="H307" s="60" t="str">
        <f>_xlfn.CONCAT(Libromaestro[[#This Row],[SIGLAS]],"-",Libromaestro[[#This Row],[T. DOC]],"-",Libromaestro[[#This Row],[CONSECUTIVO]])</f>
        <v>H-IN-9</v>
      </c>
      <c r="I307" s="70" t="s">
        <v>382</v>
      </c>
      <c r="J307" s="64">
        <v>1</v>
      </c>
      <c r="K307" s="64" t="str">
        <f>_xlfn.XLOOKUP(Libromaestro[[#This Row],[CODIGO DEL DOCUMENTO]],Arreglo_Binaps[Codigo Documento],Arreglo_Binaps[Estado],"No creado",0)</f>
        <v>No creado</v>
      </c>
      <c r="L307" s="66" t="str">
        <f>_xlfn.XLOOKUP(Libromaestro[[#This Row],[CODIGO DEL DOCUMENTO]],Arreglo_Binaps[Codigo Documento],Arreglo_Binaps[Fecha de creación],"",0,1)</f>
        <v/>
      </c>
      <c r="M307" s="65"/>
      <c r="N307"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307"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307" s="67" t="str">
        <f>_xlfn.LET(_xlpm.resultado,_xlfn.XLOOKUP(Libromaestro[[#This Row],[CODIGO DEL DOCUMENTO]],Arreglo_Binaps[Codigo Documento],Arreglo_Binaps[Fecha_Aprobacion],"",0,1),IF(_xlpm.resultado=0,"",_xlpm.resultado))</f>
        <v/>
      </c>
      <c r="Q307" s="172"/>
      <c r="R307" s="68"/>
      <c r="S307" s="69"/>
      <c r="T307" s="87"/>
    </row>
    <row r="308" spans="1:20" ht="33.75" customHeight="1" x14ac:dyDescent="0.3">
      <c r="A308" s="60" t="str">
        <f>IFERROR(VLOOKUP(Libromaestro[[#This Row],[MACROPROCESO]],Tabla1[],2,FALSE),"")</f>
        <v>Corportativa</v>
      </c>
      <c r="B308" s="73" t="s">
        <v>32</v>
      </c>
      <c r="C308" s="64" t="s">
        <v>51</v>
      </c>
      <c r="D308" s="64" t="s">
        <v>34</v>
      </c>
      <c r="E30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0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308" s="64">
        <v>13</v>
      </c>
      <c r="H308" s="60" t="str">
        <f>_xlfn.CONCAT(Libromaestro[[#This Row],[SIGLAS]],"-",Libromaestro[[#This Row],[T. DOC]],"-",Libromaestro[[#This Row],[CONSECUTIVO]])</f>
        <v>H-PR-13</v>
      </c>
      <c r="I308" s="70" t="s">
        <v>383</v>
      </c>
      <c r="J308" s="60">
        <v>1</v>
      </c>
      <c r="K308" s="64" t="str">
        <f>_xlfn.XLOOKUP(Libromaestro[[#This Row],[CODIGO DEL DOCUMENTO]],Arreglo_Binaps[Codigo Documento],Arreglo_Binaps[Estado],"No creado",0)</f>
        <v>No creado</v>
      </c>
      <c r="L308" s="66" t="str">
        <f>_xlfn.XLOOKUP(Libromaestro[[#This Row],[CODIGO DEL DOCUMENTO]],Arreglo_Binaps[Codigo Documento],Arreglo_Binaps[Fecha de creación],"",0,1)</f>
        <v/>
      </c>
      <c r="M308" s="66"/>
      <c r="N308"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308"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308" s="74" t="str">
        <f>_xlfn.LET(_xlpm.resultado,_xlfn.XLOOKUP(Libromaestro[[#This Row],[CODIGO DEL DOCUMENTO]],Arreglo_Binaps[Codigo Documento],Arreglo_Binaps[Fecha_Aprobacion],"",0,1),IF(_xlpm.resultado=0,"",_xlpm.resultado))</f>
        <v/>
      </c>
      <c r="Q308" s="173"/>
      <c r="R308" s="75"/>
      <c r="S308" s="76"/>
      <c r="T308" s="73"/>
    </row>
    <row r="309" spans="1:20" ht="33.75" customHeight="1" x14ac:dyDescent="0.3">
      <c r="A309" s="60" t="str">
        <f>IFERROR(VLOOKUP(Libromaestro[[#This Row],[MACROPROCESO]],Tabla1[],2,FALSE),"")</f>
        <v>Corportativa</v>
      </c>
      <c r="B309" s="73" t="s">
        <v>38</v>
      </c>
      <c r="C309" s="64" t="s">
        <v>39</v>
      </c>
      <c r="D309" s="64" t="s">
        <v>16</v>
      </c>
      <c r="E30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30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09" s="64">
        <v>13</v>
      </c>
      <c r="H309" s="60" t="str">
        <f>_xlfn.CONCAT(Libromaestro[[#This Row],[SIGLAS]],"-",Libromaestro[[#This Row],[T. DOC]],"-",Libromaestro[[#This Row],[CONSECUTIVO]])</f>
        <v>M-FT-13</v>
      </c>
      <c r="I309" s="73" t="s">
        <v>384</v>
      </c>
      <c r="J309" s="64">
        <v>1</v>
      </c>
      <c r="K309" s="64" t="str">
        <f>_xlfn.XLOOKUP(Libromaestro[[#This Row],[CODIGO DEL DOCUMENTO]],Arreglo_Binaps[Codigo Documento],Arreglo_Binaps[Estado],"No creado",0)</f>
        <v>No creado</v>
      </c>
      <c r="L309" s="66" t="str">
        <f>_xlfn.XLOOKUP(Libromaestro[[#This Row],[CODIGO DEL DOCUMENTO]],Arreglo_Binaps[Codigo Documento],Arreglo_Binaps[Fecha de creación],"",0,1)</f>
        <v/>
      </c>
      <c r="M309" s="66"/>
      <c r="N309"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309"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309" s="74" t="str">
        <f>_xlfn.LET(_xlpm.resultado,_xlfn.XLOOKUP(Libromaestro[[#This Row],[CODIGO DEL DOCUMENTO]],Arreglo_Binaps[Codigo Documento],Arreglo_Binaps[Fecha_Aprobacion],"",0,1),IF(_xlpm.resultado=0,"",_xlpm.resultado))</f>
        <v/>
      </c>
      <c r="Q309" s="173"/>
      <c r="R309" s="75"/>
      <c r="S309" s="76"/>
      <c r="T309" s="73"/>
    </row>
    <row r="310" spans="1:20" ht="33.75" customHeight="1" x14ac:dyDescent="0.3">
      <c r="A310" s="60" t="str">
        <f>IFERROR(VLOOKUP(Libromaestro[[#This Row],[MACROPROCESO]],Tabla1[],2,FALSE),"")</f>
        <v>Suministros</v>
      </c>
      <c r="B310" s="73" t="s">
        <v>45</v>
      </c>
      <c r="C310" s="64" t="s">
        <v>63</v>
      </c>
      <c r="D310" s="64" t="s">
        <v>22</v>
      </c>
      <c r="E31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1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310" s="64">
        <v>4</v>
      </c>
      <c r="H310" s="60" t="str">
        <f>_xlfn.CONCAT(Libromaestro[[#This Row],[SIGLAS]],"-",Libromaestro[[#This Row],[T. DOC]],"-",Libromaestro[[#This Row],[CONSECUTIVO]])</f>
        <v>S-GU-4</v>
      </c>
      <c r="I310" s="97" t="s">
        <v>235</v>
      </c>
      <c r="J310" s="64">
        <v>1</v>
      </c>
      <c r="K310" s="64" t="str">
        <f>_xlfn.XLOOKUP(Libromaestro[[#This Row],[CODIGO DEL DOCUMENTO]],Arreglo_Binaps[Codigo Documento],Arreglo_Binaps[Estado],"No creado",0)</f>
        <v>No creado</v>
      </c>
      <c r="L310" s="66" t="str">
        <f>_xlfn.XLOOKUP(Libromaestro[[#This Row],[CODIGO DEL DOCUMENTO]],Arreglo_Binaps[Codigo Documento],Arreglo_Binaps[Fecha de creación],"",0,1)</f>
        <v/>
      </c>
      <c r="M310" s="66"/>
      <c r="N310"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310"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310" s="74" t="str">
        <f>_xlfn.LET(_xlpm.resultado,_xlfn.XLOOKUP(Libromaestro[[#This Row],[CODIGO DEL DOCUMENTO]],Arreglo_Binaps[Codigo Documento],Arreglo_Binaps[Fecha_Aprobacion],"",0,1),IF(_xlpm.resultado=0,"",_xlpm.resultado))</f>
        <v/>
      </c>
      <c r="Q310" s="173"/>
      <c r="R310" s="75"/>
      <c r="S310" s="76"/>
      <c r="T310" s="73"/>
    </row>
    <row r="311" spans="1:20" ht="33.75" customHeight="1" x14ac:dyDescent="0.3">
      <c r="A311" s="60" t="str">
        <f>IFERROR(VLOOKUP(Libromaestro[[#This Row],[MACROPROCESO]],Tabla1[],2,FALSE),"")</f>
        <v>Suministros</v>
      </c>
      <c r="B311" s="73" t="s">
        <v>45</v>
      </c>
      <c r="C311" s="64" t="s">
        <v>54</v>
      </c>
      <c r="D311" s="64" t="s">
        <v>22</v>
      </c>
      <c r="E31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1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311" s="64">
        <v>5</v>
      </c>
      <c r="H311" s="60" t="str">
        <f>_xlfn.CONCAT(Libromaestro[[#This Row],[SIGLAS]],"-",Libromaestro[[#This Row],[T. DOC]],"-",Libromaestro[[#This Row],[CONSECUTIVO]])</f>
        <v>S-GU-5</v>
      </c>
      <c r="I311" s="73" t="s">
        <v>606</v>
      </c>
      <c r="J311" s="64">
        <v>1</v>
      </c>
      <c r="K311" s="64" t="str">
        <f>_xlfn.XLOOKUP(Libromaestro[[#This Row],[CODIGO DEL DOCUMENTO]],Arreglo_Binaps[Codigo Documento],Arreglo_Binaps[Estado],"No creado",0)</f>
        <v>No creado</v>
      </c>
      <c r="L311" s="66" t="str">
        <f>_xlfn.XLOOKUP(Libromaestro[[#This Row],[CODIGO DEL DOCUMENTO]],Arreglo_Binaps[Codigo Documento],Arreglo_Binaps[Fecha de creación],"",0,1)</f>
        <v/>
      </c>
      <c r="M311" s="66"/>
      <c r="N311" s="65"/>
      <c r="O311"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311" s="74" t="str">
        <f>_xlfn.LET(_xlpm.resultado,_xlfn.XLOOKUP(Libromaestro[[#This Row],[CODIGO DEL DOCUMENTO]],Arreglo_Binaps[Codigo Documento],Arreglo_Binaps[Fecha_Aprobacion],"",0,1),IF(_xlpm.resultado=0,"",_xlpm.resultado))</f>
        <v/>
      </c>
      <c r="Q311" s="173"/>
      <c r="R311" s="75"/>
      <c r="S311" s="76"/>
      <c r="T311" s="80"/>
    </row>
    <row r="312" spans="1:20" ht="33.75" customHeight="1" x14ac:dyDescent="0.3">
      <c r="A312" s="60" t="str">
        <f>IFERROR(VLOOKUP(Libromaestro[[#This Row],[MACROPROCESO]],Tabla1[],2,FALSE),"")</f>
        <v>Corporativa</v>
      </c>
      <c r="B312" s="48" t="s">
        <v>13</v>
      </c>
      <c r="C312" s="39" t="s">
        <v>55</v>
      </c>
      <c r="D312" s="64" t="s">
        <v>16</v>
      </c>
      <c r="E31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31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12" s="64">
        <v>31</v>
      </c>
      <c r="H312" s="60" t="str">
        <f>_xlfn.CONCAT(Libromaestro[[#This Row],[SIGLAS]],"-",Libromaestro[[#This Row],[T. DOC]],"-",Libromaestro[[#This Row],[CONSECUTIVO]])</f>
        <v>D-FT-31</v>
      </c>
      <c r="I312" s="46" t="s">
        <v>387</v>
      </c>
      <c r="J312" s="64"/>
      <c r="K312" s="64" t="str">
        <f>_xlfn.XLOOKUP(Libromaestro[[#This Row],[CODIGO DEL DOCUMENTO]],Arreglo_Binaps[Codigo Documento],Arreglo_Binaps[Estado],"No creado",0)</f>
        <v>No creado</v>
      </c>
      <c r="L312" s="66" t="str">
        <f>_xlfn.XLOOKUP(Libromaestro[[#This Row],[CODIGO DEL DOCUMENTO]],Arreglo_Binaps[Codigo Documento],Arreglo_Binaps[Fecha de creación],"",0,1)</f>
        <v/>
      </c>
      <c r="M312" s="66"/>
      <c r="N312" s="65"/>
      <c r="O312"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312" s="74" t="str">
        <f>_xlfn.LET(_xlpm.resultado,_xlfn.XLOOKUP(Libromaestro[[#This Row],[CODIGO DEL DOCUMENTO]],Arreglo_Binaps[Codigo Documento],Arreglo_Binaps[Fecha_Aprobacion],"",0,1),IF(_xlpm.resultado=0,"",_xlpm.resultado))</f>
        <v/>
      </c>
      <c r="Q312" s="173"/>
      <c r="R312" s="75"/>
      <c r="S312" s="76"/>
      <c r="T312" s="80"/>
    </row>
    <row r="313" spans="1:20" ht="33.75" customHeight="1" x14ac:dyDescent="0.3">
      <c r="A313" s="60" t="str">
        <f>IFERROR(VLOOKUP(Libromaestro[[#This Row],[MACROPROCESO]],Tabla1[],2,FALSE),"")</f>
        <v>Electroingeniería</v>
      </c>
      <c r="B313" s="73" t="s">
        <v>29</v>
      </c>
      <c r="C313" s="64" t="s">
        <v>2255</v>
      </c>
      <c r="D313" s="64" t="s">
        <v>22</v>
      </c>
      <c r="E31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31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313" s="64">
        <v>2</v>
      </c>
      <c r="H313" s="60" t="str">
        <f>_xlfn.CONCAT(Libromaestro[[#This Row],[SIGLAS]],"-",Libromaestro[[#This Row],[T. DOC]],"-",Libromaestro[[#This Row],[CONSECUTIVO]])</f>
        <v>L-GU-2</v>
      </c>
      <c r="I313" s="70" t="s">
        <v>388</v>
      </c>
      <c r="J313" s="60">
        <v>1</v>
      </c>
      <c r="K313" s="64" t="str">
        <f>_xlfn.XLOOKUP(Libromaestro[[#This Row],[CODIGO DEL DOCUMENTO]],Arreglo_Binaps[Codigo Documento],Arreglo_Binaps[Estado],"No creado",0)</f>
        <v>Aprobado</v>
      </c>
      <c r="L313" s="66" t="str">
        <f>_xlfn.XLOOKUP(Libromaestro[[#This Row],[CODIGO DEL DOCUMENTO]],Arreglo_Binaps[Codigo Documento],Arreglo_Binaps[Fecha de creación],"",0,1)</f>
        <v>2023-10-23</v>
      </c>
      <c r="M313" s="66"/>
      <c r="N31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46318</v>
      </c>
      <c r="O313"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46318</v>
      </c>
      <c r="P313" s="74">
        <f>_xlfn.LET(_xlpm.resultado,_xlfn.XLOOKUP(Libromaestro[[#This Row],[CODIGO DEL DOCUMENTO]],Arreglo_Binaps[Codigo Documento],Arreglo_Binaps[Fecha_Aprobacion],"",0,1),IF(_xlpm.resultado=0,"",_xlpm.resultado))</f>
        <v>45517</v>
      </c>
      <c r="Q313" s="173"/>
      <c r="R313" s="75"/>
      <c r="S313" s="76" t="s">
        <v>28</v>
      </c>
      <c r="T313" s="73"/>
    </row>
    <row r="314" spans="1:20" ht="33.75" customHeight="1" x14ac:dyDescent="0.3">
      <c r="A314" s="60" t="str">
        <f>IFERROR(VLOOKUP(Libromaestro[[#This Row],[MACROPROCESO]],Tabla1[],2,FALSE),"")</f>
        <v>Corportativa</v>
      </c>
      <c r="B314" s="73" t="s">
        <v>32</v>
      </c>
      <c r="C314" s="60" t="s">
        <v>51</v>
      </c>
      <c r="D314" s="64" t="s">
        <v>16</v>
      </c>
      <c r="E31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1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14" s="64">
        <v>14</v>
      </c>
      <c r="H314" s="60" t="str">
        <f>_xlfn.CONCAT(Libromaestro[[#This Row],[SIGLAS]],"-",Libromaestro[[#This Row],[T. DOC]],"-",Libromaestro[[#This Row],[CONSECUTIVO]])</f>
        <v>H-FT-14</v>
      </c>
      <c r="I314" s="73" t="s">
        <v>389</v>
      </c>
      <c r="J314" s="64">
        <v>2</v>
      </c>
      <c r="K314" s="64" t="str">
        <f>_xlfn.XLOOKUP(Libromaestro[[#This Row],[CODIGO DEL DOCUMENTO]],Arreglo_Binaps[Codigo Documento],Arreglo_Binaps[Estado],"No creado",0)</f>
        <v>Aprobado</v>
      </c>
      <c r="L314" s="66" t="str">
        <f>_xlfn.XLOOKUP(Libromaestro[[#This Row],[CODIGO DEL DOCUMENTO]],Arreglo_Binaps[Codigo Documento],Arreglo_Binaps[Fecha de creación],"",0,1)</f>
        <v>2022-05-05</v>
      </c>
      <c r="M314" s="66">
        <v>45397</v>
      </c>
      <c r="N31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46492</v>
      </c>
      <c r="O31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46492</v>
      </c>
      <c r="P314" s="67">
        <f>_xlfn.LET(_xlpm.resultado,_xlfn.XLOOKUP(Libromaestro[[#This Row],[CODIGO DEL DOCUMENTO]],Arreglo_Binaps[Codigo Documento],Arreglo_Binaps[Fecha_Aprobacion],"",0,1),IF(_xlpm.resultado=0,"",_xlpm.resultado))</f>
        <v>45405</v>
      </c>
      <c r="Q314" s="174" t="s">
        <v>113</v>
      </c>
      <c r="R314" s="68"/>
      <c r="S314" s="69" t="s">
        <v>11</v>
      </c>
      <c r="T314" s="70"/>
    </row>
    <row r="315" spans="1:20" ht="33.75" customHeight="1" x14ac:dyDescent="0.3">
      <c r="A315" s="60" t="str">
        <f>IFERROR(VLOOKUP(Libromaestro[[#This Row],[MACROPROCESO]],Tabla1[],2,FALSE),"")</f>
        <v>Corportativa</v>
      </c>
      <c r="B315" s="61" t="s">
        <v>32</v>
      </c>
      <c r="C315" s="60" t="s">
        <v>59</v>
      </c>
      <c r="D315" s="60" t="s">
        <v>34</v>
      </c>
      <c r="E315"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15"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315" s="60">
        <v>21</v>
      </c>
      <c r="H315" s="60" t="str">
        <f>_xlfn.CONCAT(Libromaestro[[#This Row],[SIGLAS]],"-",Libromaestro[[#This Row],[T. DOC]],"-",Libromaestro[[#This Row],[CONSECUTIVO]])</f>
        <v>H-PR-21</v>
      </c>
      <c r="I315" s="70" t="s">
        <v>446</v>
      </c>
      <c r="J315" s="60">
        <v>1</v>
      </c>
      <c r="K315" s="64" t="str">
        <f>_xlfn.XLOOKUP(Libromaestro[[#This Row],[CODIGO DEL DOCUMENTO]],Arreglo_Binaps[Codigo Documento],Arreglo_Binaps[Estado],"No creado",0)</f>
        <v>Aprobado</v>
      </c>
      <c r="L315" s="66" t="str">
        <f>_xlfn.XLOOKUP(Libromaestro[[#This Row],[CODIGO DEL DOCUMENTO]],Arreglo_Binaps[Codigo Documento],Arreglo_Binaps[Fecha de creación],"",0,1)</f>
        <v>2025-06-12</v>
      </c>
      <c r="M315" s="66"/>
      <c r="N31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46916</v>
      </c>
      <c r="O31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46916</v>
      </c>
      <c r="P315" s="67">
        <f>_xlfn.LET(_xlpm.resultado,_xlfn.XLOOKUP(Libromaestro[[#This Row],[CODIGO DEL DOCUMENTO]],Arreglo_Binaps[Codigo Documento],Arreglo_Binaps[Fecha_Aprobacion],"",0,1),IF(_xlpm.resultado=0,"",_xlpm.resultado))</f>
        <v>46093</v>
      </c>
      <c r="Q315" s="172"/>
      <c r="R315" s="68"/>
      <c r="S315" s="69"/>
      <c r="T315" s="70"/>
    </row>
    <row r="316" spans="1:20" ht="33.75" customHeight="1" x14ac:dyDescent="0.3">
      <c r="A316" s="60" t="str">
        <f>IFERROR(VLOOKUP(Libromaestro[[#This Row],[MACROPROCESO]],Tabla1[],2,FALSE),"")</f>
        <v>Corportativa</v>
      </c>
      <c r="B316" s="70" t="s">
        <v>32</v>
      </c>
      <c r="C316" s="60" t="s">
        <v>59</v>
      </c>
      <c r="D316" s="60" t="s">
        <v>16</v>
      </c>
      <c r="E316"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16"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16" s="60">
        <v>71</v>
      </c>
      <c r="H316" s="60" t="str">
        <f>_xlfn.CONCAT(Libromaestro[[#This Row],[SIGLAS]],"-",Libromaestro[[#This Row],[T. DOC]],"-",Libromaestro[[#This Row],[CONSECUTIVO]])</f>
        <v>H-FT-71</v>
      </c>
      <c r="I316" s="70" t="s">
        <v>391</v>
      </c>
      <c r="J316" s="60">
        <v>1</v>
      </c>
      <c r="K316" s="64" t="str">
        <f>_xlfn.XLOOKUP(Libromaestro[[#This Row],[CODIGO DEL DOCUMENTO]],Arreglo_Binaps[Codigo Documento],Arreglo_Binaps[Estado],"No creado",0)</f>
        <v>Rechazado</v>
      </c>
      <c r="L316" s="66" t="str">
        <f>_xlfn.XLOOKUP(Libromaestro[[#This Row],[CODIGO DEL DOCUMENTO]],Arreglo_Binaps[Codigo Documento],Arreglo_Binaps[Fecha de creación],"",0,1)</f>
        <v>2024-09-04</v>
      </c>
      <c r="M316" s="66"/>
      <c r="N31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46634</v>
      </c>
      <c r="O31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46634</v>
      </c>
      <c r="P316" s="67" t="str">
        <f>_xlfn.LET(_xlpm.resultado,_xlfn.XLOOKUP(Libromaestro[[#This Row],[CODIGO DEL DOCUMENTO]],Arreglo_Binaps[Codigo Documento],Arreglo_Binaps[Fecha_Aprobacion],"",0,1),IF(_xlpm.resultado=0,"",_xlpm.resultado))</f>
        <v/>
      </c>
      <c r="Q316" s="172"/>
      <c r="R316" s="68"/>
      <c r="S316" s="69" t="s">
        <v>28</v>
      </c>
      <c r="T316" s="70"/>
    </row>
    <row r="317" spans="1:20" ht="33.75" customHeight="1" x14ac:dyDescent="0.3">
      <c r="A317" s="204" t="str">
        <f>IFERROR(VLOOKUP(Libromaestro[[#This Row],[MACROPROCESO]],Tabla1[],2,FALSE),"")</f>
        <v>Suministros</v>
      </c>
      <c r="B317" s="207" t="s">
        <v>45</v>
      </c>
      <c r="C317" s="196" t="s">
        <v>54</v>
      </c>
      <c r="D317" s="196" t="s">
        <v>22</v>
      </c>
      <c r="E317" s="196"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17" s="196"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317" s="196">
        <v>6</v>
      </c>
      <c r="H317" s="204" t="str">
        <f>_xlfn.CONCAT(Libromaestro[[#This Row],[SIGLAS]],"-",Libromaestro[[#This Row],[T. DOC]],"-",Libromaestro[[#This Row],[CONSECUTIVO]])</f>
        <v>S-GU-6</v>
      </c>
      <c r="I317" s="199" t="s">
        <v>2529</v>
      </c>
      <c r="J317" s="196">
        <v>1</v>
      </c>
      <c r="K317" s="64" t="str">
        <f>_xlfn.XLOOKUP(Libromaestro[[#This Row],[CODIGO DEL DOCUMENTO]],Arreglo_Binaps[Codigo Documento],Arreglo_Binaps[Estado],"No creado",0)</f>
        <v>Aprobado</v>
      </c>
      <c r="L317" s="66" t="str">
        <f>_xlfn.XLOOKUP(Libromaestro[[#This Row],[CODIGO DEL DOCUMENTO]],Arreglo_Binaps[Codigo Documento],Arreglo_Binaps[Fecha de creación],"",0,1)</f>
        <v>2026-06-03</v>
      </c>
      <c r="M317" s="197">
        <v>46176</v>
      </c>
      <c r="N317" s="215"/>
      <c r="O317" s="198">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317" s="198">
        <f>_xlfn.LET(_xlpm.resultado,_xlfn.XLOOKUP(Libromaestro[[#This Row],[CODIGO DEL DOCUMENTO]],Arreglo_Binaps[Codigo Documento],Arreglo_Binaps[Fecha_Aprobacion],"",0,1),IF(_xlpm.resultado=0,"",_xlpm.resultado))</f>
        <v>46218</v>
      </c>
      <c r="Q317" s="200"/>
      <c r="R317" s="201"/>
      <c r="S317" s="202"/>
      <c r="T317" s="203"/>
    </row>
    <row r="318" spans="1:20" ht="33.75" customHeight="1" x14ac:dyDescent="0.3">
      <c r="A318" s="204" t="str">
        <f>IFERROR(VLOOKUP(Libromaestro[[#This Row],[MACROPROCESO]],Tabla1[],2,FALSE),"")</f>
        <v>Suministros</v>
      </c>
      <c r="B318" s="199" t="s">
        <v>45</v>
      </c>
      <c r="C318" s="196" t="s">
        <v>54</v>
      </c>
      <c r="D318" s="196" t="s">
        <v>22</v>
      </c>
      <c r="E318" s="196"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18" s="196"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318" s="196">
        <v>7</v>
      </c>
      <c r="H318" s="204" t="str">
        <f>_xlfn.CONCAT(Libromaestro[[#This Row],[SIGLAS]],"-",Libromaestro[[#This Row],[T. DOC]],"-",Libromaestro[[#This Row],[CONSECUTIVO]])</f>
        <v>S-GU-7</v>
      </c>
      <c r="I318" s="199" t="s">
        <v>2531</v>
      </c>
      <c r="J318" s="196">
        <v>1</v>
      </c>
      <c r="K318" s="64" t="str">
        <f>_xlfn.XLOOKUP(Libromaestro[[#This Row],[CODIGO DEL DOCUMENTO]],Arreglo_Binaps[Codigo Documento],Arreglo_Binaps[Estado],"No creado",0)</f>
        <v>Aprobado</v>
      </c>
      <c r="L318" s="66" t="str">
        <f>_xlfn.XLOOKUP(Libromaestro[[#This Row],[CODIGO DEL DOCUMENTO]],Arreglo_Binaps[Codigo Documento],Arreglo_Binaps[Fecha de creación],"",0,1)</f>
        <v>2026-06-03</v>
      </c>
      <c r="M318" s="197"/>
      <c r="N318" s="215"/>
      <c r="O318" s="198">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318" s="198">
        <f>_xlfn.LET(_xlpm.resultado,_xlfn.XLOOKUP(Libromaestro[[#This Row],[CODIGO DEL DOCUMENTO]],Arreglo_Binaps[Codigo Documento],Arreglo_Binaps[Fecha_Aprobacion],"",0,1),IF(_xlpm.resultado=0,"",_xlpm.resultado))</f>
        <v>46218</v>
      </c>
      <c r="Q318" s="200"/>
      <c r="R318" s="201"/>
      <c r="S318" s="202"/>
      <c r="T318" s="203"/>
    </row>
    <row r="319" spans="1:20" ht="33.75" customHeight="1" x14ac:dyDescent="0.3">
      <c r="A319" s="60" t="str">
        <f>IFERROR(VLOOKUP(Libromaestro[[#This Row],[MACROPROCESO]],Tabla1[],2,FALSE),"")</f>
        <v>Suministros</v>
      </c>
      <c r="B319" s="61" t="s">
        <v>45</v>
      </c>
      <c r="C319" s="64" t="s">
        <v>54</v>
      </c>
      <c r="D319" s="60" t="s">
        <v>27</v>
      </c>
      <c r="E31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1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19" s="69">
        <v>1</v>
      </c>
      <c r="H319" s="60" t="str">
        <f>_xlfn.CONCAT(Libromaestro[[#This Row],[SIGLAS]],"-",Libromaestro[[#This Row],[T. DOC]],"-",Libromaestro[[#This Row],[CONSECUTIVO]])</f>
        <v>S-IN-1</v>
      </c>
      <c r="I319" s="24" t="s">
        <v>133</v>
      </c>
      <c r="J319" s="60">
        <v>1</v>
      </c>
      <c r="K319" s="64" t="str">
        <f>_xlfn.XLOOKUP(Libromaestro[[#This Row],[CODIGO DEL DOCUMENTO]],Arreglo_Binaps[Codigo Documento],Arreglo_Binaps[Estado],"No creado",0)</f>
        <v>No creado</v>
      </c>
      <c r="L319" s="66" t="str">
        <f>_xlfn.XLOOKUP(Libromaestro[[#This Row],[CODIGO DEL DOCUMENTO]],Arreglo_Binaps[Codigo Documento],Arreglo_Binaps[Fecha de creación],"",0,1)</f>
        <v/>
      </c>
      <c r="M319" s="66"/>
      <c r="N319"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319"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319" s="67" t="str">
        <f>_xlfn.LET(_xlpm.resultado,_xlfn.XLOOKUP(Libromaestro[[#This Row],[CODIGO DEL DOCUMENTO]],Arreglo_Binaps[Codigo Documento],Arreglo_Binaps[Fecha_Aprobacion],"",0,1),IF(_xlpm.resultado=0,"",_xlpm.resultado))</f>
        <v/>
      </c>
      <c r="Q319" s="177"/>
      <c r="R319" s="69"/>
      <c r="S319" s="85"/>
      <c r="T319" s="100"/>
    </row>
    <row r="320" spans="1:20" ht="33.75" customHeight="1" x14ac:dyDescent="0.3">
      <c r="A320" s="60" t="str">
        <f>IFERROR(VLOOKUP(Libromaestro[[#This Row],[MACROPROCESO]],Tabla1[],2,FALSE),"")</f>
        <v>Corporativa</v>
      </c>
      <c r="B320" s="73" t="s">
        <v>13</v>
      </c>
      <c r="C320" s="60" t="s">
        <v>55</v>
      </c>
      <c r="D320" s="64" t="s">
        <v>16</v>
      </c>
      <c r="E320"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320"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20" s="60">
        <v>15</v>
      </c>
      <c r="H320" s="60" t="str">
        <f>_xlfn.CONCAT(Libromaestro[[#This Row],[SIGLAS]],"-",Libromaestro[[#This Row],[T. DOC]],"-",Libromaestro[[#This Row],[CONSECUTIVO]])</f>
        <v>D-FT-15</v>
      </c>
      <c r="I320" s="63" t="s">
        <v>395</v>
      </c>
      <c r="J320" s="60">
        <v>1</v>
      </c>
      <c r="K320" s="64" t="str">
        <f>_xlfn.XLOOKUP(Libromaestro[[#This Row],[CODIGO DEL DOCUMENTO]],Arreglo_Binaps[Codigo Documento],Arreglo_Binaps[Estado],"No creado",0)</f>
        <v>Aprobado</v>
      </c>
      <c r="L320" s="66" t="str">
        <f>_xlfn.XLOOKUP(Libromaestro[[#This Row],[CODIGO DEL DOCUMENTO]],Arreglo_Binaps[Codigo Documento],Arreglo_Binaps[Fecha de creación],"",0,1)</f>
        <v>2023-02-06</v>
      </c>
      <c r="M320" s="66"/>
      <c r="N32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46059</v>
      </c>
      <c r="O32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46059</v>
      </c>
      <c r="P320" s="67">
        <f>_xlfn.LET(_xlpm.resultado,_xlfn.XLOOKUP(Libromaestro[[#This Row],[CODIGO DEL DOCUMENTO]],Arreglo_Binaps[Codigo Documento],Arreglo_Binaps[Fecha_Aprobacion],"",0,1),IF(_xlpm.resultado=0,"",_xlpm.resultado))</f>
        <v>44963</v>
      </c>
      <c r="Q320" s="172"/>
      <c r="R320" s="68"/>
      <c r="S320" s="69" t="s">
        <v>17</v>
      </c>
      <c r="T320" s="70"/>
    </row>
    <row r="321" spans="1:20" ht="33.75" customHeight="1" x14ac:dyDescent="0.3">
      <c r="A321" s="60" t="str">
        <f>IFERROR(VLOOKUP(Libromaestro[[#This Row],[MACROPROCESO]],Tabla1[],2,FALSE),"")</f>
        <v>Alumbrado Público</v>
      </c>
      <c r="B321" s="70" t="s">
        <v>7</v>
      </c>
      <c r="C321" s="60" t="s">
        <v>15</v>
      </c>
      <c r="D321" s="60" t="s">
        <v>16</v>
      </c>
      <c r="E321"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321"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21" s="60">
        <v>15</v>
      </c>
      <c r="H321" s="60" t="str">
        <f>_xlfn.CONCAT(Libromaestro[[#This Row],[SIGLAS]],"-",Libromaestro[[#This Row],[T. DOC]],"-",Libromaestro[[#This Row],[CONSECUTIVO]])</f>
        <v>A-FT-15</v>
      </c>
      <c r="I321" s="73" t="s">
        <v>396</v>
      </c>
      <c r="J321" s="60">
        <v>1</v>
      </c>
      <c r="K321" s="64" t="str">
        <f>_xlfn.XLOOKUP(Libromaestro[[#This Row],[CODIGO DEL DOCUMENTO]],Arreglo_Binaps[Codigo Documento],Arreglo_Binaps[Estado],"No creado",0)</f>
        <v>Aprobado</v>
      </c>
      <c r="L321" s="66" t="str">
        <f>_xlfn.XLOOKUP(Libromaestro[[#This Row],[CODIGO DEL DOCUMENTO]],Arreglo_Binaps[Codigo Documento],Arreglo_Binaps[Fecha de creación],"",0,1)</f>
        <v>2021-06-11</v>
      </c>
      <c r="M321" s="66">
        <v>45681</v>
      </c>
      <c r="N32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46776</v>
      </c>
      <c r="O32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46776</v>
      </c>
      <c r="P321" s="67">
        <f>_xlfn.LET(_xlpm.resultado,_xlfn.XLOOKUP(Libromaestro[[#This Row],[CODIGO DEL DOCUMENTO]],Arreglo_Binaps[Codigo Documento],Arreglo_Binaps[Fecha_Aprobacion],"",0,1),IF(_xlpm.resultado=0,"",_xlpm.resultado))</f>
        <v>44358</v>
      </c>
      <c r="Q321" s="172" t="s">
        <v>397</v>
      </c>
      <c r="R321" s="68"/>
      <c r="S321" s="69" t="s">
        <v>28</v>
      </c>
      <c r="T321" s="70"/>
    </row>
    <row r="322" spans="1:20" ht="33.75" customHeight="1" x14ac:dyDescent="0.3">
      <c r="A322" s="60" t="str">
        <f>IFERROR(VLOOKUP(Libromaestro[[#This Row],[MACROPROCESO]],Tabla1[],2,FALSE),"")</f>
        <v>Electroingeniería</v>
      </c>
      <c r="B322" s="73" t="s">
        <v>29</v>
      </c>
      <c r="C322" s="64" t="s">
        <v>2255</v>
      </c>
      <c r="D322" s="64" t="s">
        <v>22</v>
      </c>
      <c r="E32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32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322" s="64">
        <v>5</v>
      </c>
      <c r="H322" s="60" t="str">
        <f>_xlfn.CONCAT(Libromaestro[[#This Row],[SIGLAS]],"-",Libromaestro[[#This Row],[T. DOC]],"-",Libromaestro[[#This Row],[CONSECUTIVO]])</f>
        <v>L-GU-5</v>
      </c>
      <c r="I322" s="73" t="s">
        <v>398</v>
      </c>
      <c r="J322" s="60">
        <v>1</v>
      </c>
      <c r="K322" s="64" t="str">
        <f>_xlfn.XLOOKUP(Libromaestro[[#This Row],[CODIGO DEL DOCUMENTO]],Arreglo_Binaps[Codigo Documento],Arreglo_Binaps[Estado],"No creado",0)</f>
        <v>Aprobado</v>
      </c>
      <c r="L322" s="66" t="str">
        <f>_xlfn.XLOOKUP(Libromaestro[[#This Row],[CODIGO DEL DOCUMENTO]],Arreglo_Binaps[Codigo Documento],Arreglo_Binaps[Fecha de creación],"",0,1)</f>
        <v>2025-02-27</v>
      </c>
      <c r="M322" s="66">
        <v>45881</v>
      </c>
      <c r="N32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46977</v>
      </c>
      <c r="O32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46977</v>
      </c>
      <c r="P322" s="67">
        <f>_xlfn.LET(_xlpm.resultado,_xlfn.XLOOKUP(Libromaestro[[#This Row],[CODIGO DEL DOCUMENTO]],Arreglo_Binaps[Codigo Documento],Arreglo_Binaps[Fecha_Aprobacion],"",0,1),IF(_xlpm.resultado=0,"",_xlpm.resultado))</f>
        <v>45881</v>
      </c>
      <c r="Q322" s="172"/>
      <c r="R322" s="68"/>
      <c r="S322" s="69" t="s">
        <v>28</v>
      </c>
      <c r="T322" s="70"/>
    </row>
    <row r="323" spans="1:20" ht="33.75" customHeight="1" x14ac:dyDescent="0.3">
      <c r="A323" s="60" t="str">
        <f>IFERROR(VLOOKUP(Libromaestro[[#This Row],[MACROPROCESO]],Tabla1[],2,FALSE),"")</f>
        <v>Corportativa</v>
      </c>
      <c r="B323" s="70" t="s">
        <v>32</v>
      </c>
      <c r="C323" s="60" t="s">
        <v>51</v>
      </c>
      <c r="D323" s="60" t="s">
        <v>16</v>
      </c>
      <c r="E323"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23"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23" s="60">
        <v>15</v>
      </c>
      <c r="H323" s="60" t="str">
        <f>_xlfn.CONCAT(Libromaestro[[#This Row],[SIGLAS]],"-",Libromaestro[[#This Row],[T. DOC]],"-",Libromaestro[[#This Row],[CONSECUTIVO]])</f>
        <v>H-FT-15</v>
      </c>
      <c r="I323" s="73" t="s">
        <v>399</v>
      </c>
      <c r="J323" s="60">
        <v>1</v>
      </c>
      <c r="K323" s="64" t="str">
        <f>_xlfn.XLOOKUP(Libromaestro[[#This Row],[CODIGO DEL DOCUMENTO]],Arreglo_Binaps[Codigo Documento],Arreglo_Binaps[Estado],"No creado",0)</f>
        <v>Aprobado</v>
      </c>
      <c r="L323" s="66" t="str">
        <f>_xlfn.XLOOKUP(Libromaestro[[#This Row],[CODIGO DEL DOCUMENTO]],Arreglo_Binaps[Codigo Documento],Arreglo_Binaps[Fecha de creación],"",0,1)</f>
        <v>2022-05-06</v>
      </c>
      <c r="M323" s="66"/>
      <c r="N32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45783</v>
      </c>
      <c r="O32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45783</v>
      </c>
      <c r="P323" s="67">
        <f>_xlfn.LET(_xlpm.resultado,_xlfn.XLOOKUP(Libromaestro[[#This Row],[CODIGO DEL DOCUMENTO]],Arreglo_Binaps[Codigo Documento],Arreglo_Binaps[Fecha_Aprobacion],"",0,1),IF(_xlpm.resultado=0,"",_xlpm.resultado))</f>
        <v>44687</v>
      </c>
      <c r="Q323" s="179" t="s">
        <v>400</v>
      </c>
      <c r="R323" s="68"/>
      <c r="S323" s="69" t="s">
        <v>11</v>
      </c>
      <c r="T323" s="70"/>
    </row>
    <row r="324" spans="1:20" ht="33.75" customHeight="1" x14ac:dyDescent="0.3">
      <c r="A324" s="60" t="str">
        <f>IFERROR(VLOOKUP(Libromaestro[[#This Row],[MACROPROCESO]],Tabla1[],2,FALSE),"")</f>
        <v>Corportativa</v>
      </c>
      <c r="B324" s="73" t="s">
        <v>32</v>
      </c>
      <c r="C324" s="60" t="s">
        <v>59</v>
      </c>
      <c r="D324" s="60" t="s">
        <v>16</v>
      </c>
      <c r="E324"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24"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24" s="60">
        <v>75</v>
      </c>
      <c r="H324" s="60" t="str">
        <f>_xlfn.CONCAT(Libromaestro[[#This Row],[SIGLAS]],"-",Libromaestro[[#This Row],[T. DOC]],"-",Libromaestro[[#This Row],[CONSECUTIVO]])</f>
        <v>H-FT-75</v>
      </c>
      <c r="I324" s="73" t="s">
        <v>401</v>
      </c>
      <c r="J324" s="60">
        <v>1</v>
      </c>
      <c r="K324" s="64" t="str">
        <f>_xlfn.XLOOKUP(Libromaestro[[#This Row],[CODIGO DEL DOCUMENTO]],Arreglo_Binaps[Codigo Documento],Arreglo_Binaps[Estado],"No creado",0)</f>
        <v>Aprobado</v>
      </c>
      <c r="L324" s="66" t="str">
        <f>_xlfn.XLOOKUP(Libromaestro[[#This Row],[CODIGO DEL DOCUMENTO]],Arreglo_Binaps[Codigo Documento],Arreglo_Binaps[Fecha de creación],"",0,1)</f>
        <v>2025-02-14</v>
      </c>
      <c r="M324" s="66"/>
      <c r="N32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46797</v>
      </c>
      <c r="O32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46797</v>
      </c>
      <c r="P324" s="67">
        <f>_xlfn.LET(_xlpm.resultado,_xlfn.XLOOKUP(Libromaestro[[#This Row],[CODIGO DEL DOCUMENTO]],Arreglo_Binaps[Codigo Documento],Arreglo_Binaps[Fecha_Aprobacion],"",0,1),IF(_xlpm.resultado=0,"",_xlpm.resultado))</f>
        <v>45877</v>
      </c>
      <c r="Q324" s="172"/>
      <c r="R324" s="68"/>
      <c r="S324" s="69"/>
      <c r="T324" s="70"/>
    </row>
    <row r="325" spans="1:20" ht="33.75" customHeight="1" x14ac:dyDescent="0.3">
      <c r="A325" s="60" t="str">
        <f>IFERROR(VLOOKUP(Libromaestro[[#This Row],[MACROPROCESO]],Tabla1[],2,FALSE),"")</f>
        <v>Corportativa</v>
      </c>
      <c r="B325" s="73" t="s">
        <v>38</v>
      </c>
      <c r="C325" s="64" t="s">
        <v>26</v>
      </c>
      <c r="D325" s="64" t="s">
        <v>16</v>
      </c>
      <c r="E32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32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25" s="64">
        <v>15</v>
      </c>
      <c r="H325" s="60" t="str">
        <f>_xlfn.CONCAT(Libromaestro[[#This Row],[SIGLAS]],"-",Libromaestro[[#This Row],[T. DOC]],"-",Libromaestro[[#This Row],[CONSECUTIVO]])</f>
        <v>M-FT-15</v>
      </c>
      <c r="I325" s="73" t="s">
        <v>402</v>
      </c>
      <c r="J325" s="64">
        <v>1</v>
      </c>
      <c r="K325" s="64" t="str">
        <f>_xlfn.XLOOKUP(Libromaestro[[#This Row],[CODIGO DEL DOCUMENTO]],Arreglo_Binaps[Codigo Documento],Arreglo_Binaps[Estado],"No creado",0)</f>
        <v>Aprobado</v>
      </c>
      <c r="L325" s="66" t="str">
        <f>_xlfn.XLOOKUP(Libromaestro[[#This Row],[CODIGO DEL DOCUMENTO]],Arreglo_Binaps[Codigo Documento],Arreglo_Binaps[Fecha de creación],"",0,1)</f>
        <v>2024-07-26</v>
      </c>
      <c r="M325" s="66"/>
      <c r="N32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46594</v>
      </c>
      <c r="O325"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46594</v>
      </c>
      <c r="P325" s="74">
        <f>_xlfn.LET(_xlpm.resultado,_xlfn.XLOOKUP(Libromaestro[[#This Row],[CODIGO DEL DOCUMENTO]],Arreglo_Binaps[Codigo Documento],Arreglo_Binaps[Fecha_Aprobacion],"",0,1),IF(_xlpm.resultado=0,"",_xlpm.resultado))</f>
        <v>45509</v>
      </c>
      <c r="Q325" s="173"/>
      <c r="R325" s="75"/>
      <c r="S325" s="76" t="s">
        <v>28</v>
      </c>
      <c r="T325" s="73"/>
    </row>
    <row r="326" spans="1:20" ht="33.75" customHeight="1" x14ac:dyDescent="0.3">
      <c r="A326" s="60" t="str">
        <f>IFERROR(VLOOKUP(Libromaestro[[#This Row],[MACROPROCESO]],Tabla1[],2,FALSE),"")</f>
        <v>Suministros</v>
      </c>
      <c r="B326" s="73" t="s">
        <v>45</v>
      </c>
      <c r="C326" s="60" t="s">
        <v>54</v>
      </c>
      <c r="D326" s="60" t="s">
        <v>27</v>
      </c>
      <c r="E326"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26"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26" s="69">
        <v>2</v>
      </c>
      <c r="H326" s="60" t="str">
        <f>_xlfn.CONCAT(Libromaestro[[#This Row],[SIGLAS]],"-",Libromaestro[[#This Row],[T. DOC]],"-",Libromaestro[[#This Row],[CONSECUTIVO]])</f>
        <v>S-IN-2</v>
      </c>
      <c r="I326" s="70" t="s">
        <v>176</v>
      </c>
      <c r="J326" s="60">
        <v>1</v>
      </c>
      <c r="K326" s="64" t="str">
        <f>_xlfn.XLOOKUP(Libromaestro[[#This Row],[CODIGO DEL DOCUMENTO]],Arreglo_Binaps[Codigo Documento],Arreglo_Binaps[Estado],"No creado",0)</f>
        <v>Aprobado</v>
      </c>
      <c r="L326" s="66" t="str">
        <f>_xlfn.XLOOKUP(Libromaestro[[#This Row],[CODIGO DEL DOCUMENTO]],Arreglo_Binaps[Codigo Documento],Arreglo_Binaps[Fecha de creación],"",0,1)</f>
        <v>2024-05-20</v>
      </c>
      <c r="M326" s="66">
        <v>45080</v>
      </c>
      <c r="N32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46176</v>
      </c>
      <c r="O32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46176</v>
      </c>
      <c r="P326" s="67">
        <f>_xlfn.LET(_xlpm.resultado,_xlfn.XLOOKUP(Libromaestro[[#This Row],[CODIGO DEL DOCUMENTO]],Arreglo_Binaps[Codigo Documento],Arreglo_Binaps[Fecha_Aprobacion],"",0,1),IF(_xlpm.resultado=0,"",_xlpm.resultado))</f>
        <v>46218</v>
      </c>
      <c r="Q326" s="177"/>
      <c r="R326" s="69"/>
      <c r="S326" s="85"/>
      <c r="T326" s="100"/>
    </row>
    <row r="327" spans="1:20" ht="33.75" customHeight="1" x14ac:dyDescent="0.3">
      <c r="A327" s="60" t="str">
        <f>IFERROR(VLOOKUP(Libromaestro[[#This Row],[MACROPROCESO]],Tabla1[],2,FALSE),"")</f>
        <v>Suministros</v>
      </c>
      <c r="B327" s="73" t="s">
        <v>45</v>
      </c>
      <c r="C327" s="64" t="s">
        <v>36</v>
      </c>
      <c r="D327" s="64" t="s">
        <v>27</v>
      </c>
      <c r="E32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2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27" s="76">
        <v>3</v>
      </c>
      <c r="H327" s="60" t="str">
        <f>_xlfn.CONCAT(Libromaestro[[#This Row],[SIGLAS]],"-",Libromaestro[[#This Row],[T. DOC]],"-",Libromaestro[[#This Row],[CONSECUTIVO]])</f>
        <v>S-IN-3</v>
      </c>
      <c r="I327" s="26" t="s">
        <v>208</v>
      </c>
      <c r="J327" s="64">
        <v>1</v>
      </c>
      <c r="K327" s="64" t="str">
        <f>_xlfn.XLOOKUP(Libromaestro[[#This Row],[CODIGO DEL DOCUMENTO]],Arreglo_Binaps[Codigo Documento],Arreglo_Binaps[Estado],"No creado",0)</f>
        <v>No creado</v>
      </c>
      <c r="L327" s="66" t="str">
        <f>_xlfn.XLOOKUP(Libromaestro[[#This Row],[CODIGO DEL DOCUMENTO]],Arreglo_Binaps[Codigo Documento],Arreglo_Binaps[Fecha de creación],"",0,1)</f>
        <v/>
      </c>
      <c r="M327" s="66"/>
      <c r="N327"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327"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327" s="74" t="str">
        <f>_xlfn.LET(_xlpm.resultado,_xlfn.XLOOKUP(Libromaestro[[#This Row],[CODIGO DEL DOCUMENTO]],Arreglo_Binaps[Codigo Documento],Arreglo_Binaps[Fecha_Aprobacion],"",0,1),IF(_xlpm.resultado=0,"",_xlpm.resultado))</f>
        <v/>
      </c>
      <c r="Q327" s="176"/>
      <c r="R327" s="76"/>
      <c r="S327" s="78"/>
      <c r="T327" s="79"/>
    </row>
    <row r="328" spans="1:20" ht="33.75" customHeight="1" x14ac:dyDescent="0.3">
      <c r="A328" s="60" t="str">
        <f>IFERROR(VLOOKUP(Libromaestro[[#This Row],[MACROPROCESO]],Tabla1[],2,FALSE),"")</f>
        <v>Corportativa</v>
      </c>
      <c r="B328" s="73" t="s">
        <v>32</v>
      </c>
      <c r="C328" s="64" t="s">
        <v>51</v>
      </c>
      <c r="D328" s="64" t="s">
        <v>34</v>
      </c>
      <c r="E32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2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328" s="64">
        <v>26</v>
      </c>
      <c r="H328" s="60" t="str">
        <f>_xlfn.CONCAT(Libromaestro[[#This Row],[SIGLAS]],"-",Libromaestro[[#This Row],[T. DOC]],"-",Libromaestro[[#This Row],[CONSECUTIVO]])</f>
        <v>H-PR-26</v>
      </c>
      <c r="I328" s="73" t="s">
        <v>478</v>
      </c>
      <c r="J328" s="64">
        <v>1</v>
      </c>
      <c r="K328" s="64" t="str">
        <f>_xlfn.XLOOKUP(Libromaestro[[#This Row],[CODIGO DEL DOCUMENTO]],Arreglo_Binaps[Codigo Documento],Arreglo_Binaps[Estado],"No creado",0)</f>
        <v>Aprobado</v>
      </c>
      <c r="L328" s="66" t="str">
        <f>_xlfn.XLOOKUP(Libromaestro[[#This Row],[CODIGO DEL DOCUMENTO]],Arreglo_Binaps[Codigo Documento],Arreglo_Binaps[Fecha de creación],"",0,1)</f>
        <v>2023-09-11</v>
      </c>
      <c r="M328" s="66"/>
      <c r="N32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46276</v>
      </c>
      <c r="O328"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46276</v>
      </c>
      <c r="P328" s="74">
        <f>_xlfn.LET(_xlpm.resultado,_xlfn.XLOOKUP(Libromaestro[[#This Row],[CODIGO DEL DOCUMENTO]],Arreglo_Binaps[Codigo Documento],Arreglo_Binaps[Fecha_Aprobacion],"",0,1),IF(_xlpm.resultado=0,"",_xlpm.resultado))</f>
        <v>45180</v>
      </c>
      <c r="Q328" s="173"/>
      <c r="R328" s="75"/>
      <c r="S328" s="76" t="s">
        <v>28</v>
      </c>
      <c r="T328" s="73"/>
    </row>
    <row r="329" spans="1:20" ht="33.75" customHeight="1" x14ac:dyDescent="0.3">
      <c r="A329" s="60" t="str">
        <f>IFERROR(VLOOKUP(Libromaestro[[#This Row],[MACROPROCESO]],Tabla1[],2,FALSE),"")</f>
        <v>Corporativa</v>
      </c>
      <c r="B329" s="73" t="s">
        <v>13</v>
      </c>
      <c r="C329" s="64" t="s">
        <v>50</v>
      </c>
      <c r="D329" s="64" t="s">
        <v>16</v>
      </c>
      <c r="E32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32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29" s="64">
        <v>16</v>
      </c>
      <c r="H329" s="60" t="str">
        <f>_xlfn.CONCAT(Libromaestro[[#This Row],[SIGLAS]],"-",Libromaestro[[#This Row],[T. DOC]],"-",Libromaestro[[#This Row],[CONSECUTIVO]])</f>
        <v>D-FT-16</v>
      </c>
      <c r="I329" s="73" t="s">
        <v>406</v>
      </c>
      <c r="J329" s="64">
        <v>1</v>
      </c>
      <c r="K329" s="64" t="str">
        <f>_xlfn.XLOOKUP(Libromaestro[[#This Row],[CODIGO DEL DOCUMENTO]],Arreglo_Binaps[Codigo Documento],Arreglo_Binaps[Estado],"No creado",0)</f>
        <v>En Elaboracion</v>
      </c>
      <c r="L329" s="66" t="str">
        <f>_xlfn.XLOOKUP(Libromaestro[[#This Row],[CODIGO DEL DOCUMENTO]],Arreglo_Binaps[Codigo Documento],Arreglo_Binaps[Fecha de creación],"",0,1)</f>
        <v>2026-02-11</v>
      </c>
      <c r="M329" s="66"/>
      <c r="N32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47160</v>
      </c>
      <c r="O329"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47160</v>
      </c>
      <c r="P329" s="74" t="str">
        <f>_xlfn.LET(_xlpm.resultado,_xlfn.XLOOKUP(Libromaestro[[#This Row],[CODIGO DEL DOCUMENTO]],Arreglo_Binaps[Codigo Documento],Arreglo_Binaps[Fecha_Aprobacion],"",0,1),IF(_xlpm.resultado=0,"",_xlpm.resultado))</f>
        <v/>
      </c>
      <c r="Q329" s="173"/>
      <c r="R329" s="75"/>
      <c r="S329" s="76" t="s">
        <v>11</v>
      </c>
      <c r="T329" s="73"/>
    </row>
    <row r="330" spans="1:20" ht="33.75" customHeight="1" x14ac:dyDescent="0.3">
      <c r="A330" s="60" t="str">
        <f>IFERROR(VLOOKUP(Libromaestro[[#This Row],[MACROPROCESO]],Tabla1[],2,FALSE),"")</f>
        <v>Alumbrado Público</v>
      </c>
      <c r="B330" s="73" t="s">
        <v>7</v>
      </c>
      <c r="C330" s="64" t="s">
        <v>15</v>
      </c>
      <c r="D330" s="64" t="s">
        <v>16</v>
      </c>
      <c r="E33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33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30" s="64">
        <v>16</v>
      </c>
      <c r="H330" s="60" t="str">
        <f>_xlfn.CONCAT(Libromaestro[[#This Row],[SIGLAS]],"-",Libromaestro[[#This Row],[T. DOC]],"-",Libromaestro[[#This Row],[CONSECUTIVO]])</f>
        <v>A-FT-16</v>
      </c>
      <c r="I330" s="73" t="s">
        <v>407</v>
      </c>
      <c r="J330" s="64">
        <v>1</v>
      </c>
      <c r="K330" s="64" t="str">
        <f>_xlfn.XLOOKUP(Libromaestro[[#This Row],[CODIGO DEL DOCUMENTO]],Arreglo_Binaps[Codigo Documento],Arreglo_Binaps[Estado],"No creado",0)</f>
        <v>Aprobado</v>
      </c>
      <c r="L330" s="66" t="str">
        <f>_xlfn.XLOOKUP(Libromaestro[[#This Row],[CODIGO DEL DOCUMENTO]],Arreglo_Binaps[Codigo Documento],Arreglo_Binaps[Fecha de creación],"",0,1)</f>
        <v>2024-01-10</v>
      </c>
      <c r="M330" s="66"/>
      <c r="N33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46397</v>
      </c>
      <c r="O330"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46397</v>
      </c>
      <c r="P330" s="74">
        <f>_xlfn.LET(_xlpm.resultado,_xlfn.XLOOKUP(Libromaestro[[#This Row],[CODIGO DEL DOCUMENTO]],Arreglo_Binaps[Codigo Documento],Arreglo_Binaps[Fecha_Aprobacion],"",0,1),IF(_xlpm.resultado=0,"",_xlpm.resultado))</f>
        <v>45414</v>
      </c>
      <c r="Q330" s="173"/>
      <c r="R330" s="75"/>
      <c r="S330" s="76" t="s">
        <v>28</v>
      </c>
      <c r="T330" s="73" t="s">
        <v>90</v>
      </c>
    </row>
    <row r="331" spans="1:20" ht="33.75" customHeight="1" x14ac:dyDescent="0.3">
      <c r="A331" s="60" t="str">
        <f>IFERROR(VLOOKUP(Libromaestro[[#This Row],[MACROPROCESO]],Tabla1[],2,FALSE),"")</f>
        <v>Alumbrado Público</v>
      </c>
      <c r="B331" s="98" t="s">
        <v>7</v>
      </c>
      <c r="C331" s="103" t="s">
        <v>56</v>
      </c>
      <c r="D331" s="103" t="s">
        <v>34</v>
      </c>
      <c r="E331"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331"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331" s="103">
        <v>16</v>
      </c>
      <c r="H331" s="60" t="str">
        <f>_xlfn.CONCAT(Libromaestro[[#This Row],[SIGLAS]],"-",Libromaestro[[#This Row],[T. DOC]],"-",Libromaestro[[#This Row],[CONSECUTIVO]])</f>
        <v>A-PR-16</v>
      </c>
      <c r="I331" s="98" t="s">
        <v>408</v>
      </c>
      <c r="J331" s="103">
        <v>2</v>
      </c>
      <c r="K331" s="64" t="str">
        <f>_xlfn.XLOOKUP(Libromaestro[[#This Row],[CODIGO DEL DOCUMENTO]],Arreglo_Binaps[Codigo Documento],Arreglo_Binaps[Estado],"No creado",0)</f>
        <v>Aprobado</v>
      </c>
      <c r="L331" s="66" t="str">
        <f>_xlfn.XLOOKUP(Libromaestro[[#This Row],[CODIGO DEL DOCUMENTO]],Arreglo_Binaps[Codigo Documento],Arreglo_Binaps[Fecha de creación],"",0,1)</f>
        <v>2022-08-17</v>
      </c>
      <c r="M331" s="93">
        <v>45944</v>
      </c>
      <c r="N33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47040</v>
      </c>
      <c r="O331"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47040</v>
      </c>
      <c r="P331" s="104">
        <f>_xlfn.LET(_xlpm.resultado,_xlfn.XLOOKUP(Libromaestro[[#This Row],[CODIGO DEL DOCUMENTO]],Arreglo_Binaps[Codigo Documento],Arreglo_Binaps[Fecha_Aprobacion],"",0,1),IF(_xlpm.resultado=0,"",_xlpm.resultado))</f>
        <v>46154</v>
      </c>
      <c r="Q331" s="181"/>
      <c r="R331" s="105"/>
      <c r="S331" s="106"/>
      <c r="T331" s="98"/>
    </row>
    <row r="332" spans="1:20" ht="33.75" customHeight="1" x14ac:dyDescent="0.3">
      <c r="A332" s="60" t="str">
        <f>IFERROR(VLOOKUP(Libromaestro[[#This Row],[MACROPROCESO]],Tabla1[],2,FALSE),"")</f>
        <v>Electroingeniería</v>
      </c>
      <c r="B332" s="73" t="s">
        <v>29</v>
      </c>
      <c r="C332" s="64" t="s">
        <v>2255</v>
      </c>
      <c r="D332" s="64" t="s">
        <v>22</v>
      </c>
      <c r="E33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33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332" s="64">
        <v>6</v>
      </c>
      <c r="H332" s="60" t="str">
        <f>_xlfn.CONCAT(Libromaestro[[#This Row],[SIGLAS]],"-",Libromaestro[[#This Row],[T. DOC]],"-",Libromaestro[[#This Row],[CONSECUTIVO]])</f>
        <v>L-GU-6</v>
      </c>
      <c r="I332" s="42" t="s">
        <v>409</v>
      </c>
      <c r="J332" s="64">
        <v>1</v>
      </c>
      <c r="K332" s="64" t="str">
        <f>_xlfn.XLOOKUP(Libromaestro[[#This Row],[CODIGO DEL DOCUMENTO]],Arreglo_Binaps[Codigo Documento],Arreglo_Binaps[Estado],"No creado",0)</f>
        <v>No creado</v>
      </c>
      <c r="L332" s="66" t="str">
        <f>_xlfn.XLOOKUP(Libromaestro[[#This Row],[CODIGO DEL DOCUMENTO]],Arreglo_Binaps[Codigo Documento],Arreglo_Binaps[Fecha de creación],"",0,1)</f>
        <v/>
      </c>
      <c r="M332" s="66"/>
      <c r="N332"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332"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332" s="74" t="str">
        <f>_xlfn.LET(_xlpm.resultado,_xlfn.XLOOKUP(Libromaestro[[#This Row],[CODIGO DEL DOCUMENTO]],Arreglo_Binaps[Codigo Documento],Arreglo_Binaps[Fecha_Aprobacion],"",0,1),IF(_xlpm.resultado=0,"",_xlpm.resultado))</f>
        <v/>
      </c>
      <c r="Q332" s="173"/>
      <c r="R332" s="75"/>
      <c r="S332" s="76" t="s">
        <v>28</v>
      </c>
      <c r="T332" s="73"/>
    </row>
    <row r="333" spans="1:20" ht="33.75" customHeight="1" x14ac:dyDescent="0.3">
      <c r="A333" s="60" t="str">
        <f>IFERROR(VLOOKUP(Libromaestro[[#This Row],[MACROPROCESO]],Tabla1[],2,FALSE),"")</f>
        <v>Corportativa</v>
      </c>
      <c r="B333" s="73" t="s">
        <v>32</v>
      </c>
      <c r="C333" s="64" t="s">
        <v>59</v>
      </c>
      <c r="D333" s="64" t="s">
        <v>16</v>
      </c>
      <c r="E33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3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33" s="64">
        <v>16</v>
      </c>
      <c r="H333" s="60" t="str">
        <f>_xlfn.CONCAT(Libromaestro[[#This Row],[SIGLAS]],"-",Libromaestro[[#This Row],[T. DOC]],"-",Libromaestro[[#This Row],[CONSECUTIVO]])</f>
        <v>H-FT-16</v>
      </c>
      <c r="I333" s="73" t="s">
        <v>410</v>
      </c>
      <c r="J333" s="64">
        <v>2</v>
      </c>
      <c r="K333" s="64" t="str">
        <f>_xlfn.XLOOKUP(Libromaestro[[#This Row],[CODIGO DEL DOCUMENTO]],Arreglo_Binaps[Codigo Documento],Arreglo_Binaps[Estado],"No creado",0)</f>
        <v>Aprobado</v>
      </c>
      <c r="L333" s="66" t="str">
        <f>_xlfn.XLOOKUP(Libromaestro[[#This Row],[CODIGO DEL DOCUMENTO]],Arreglo_Binaps[Codigo Documento],Arreglo_Binaps[Fecha de creación],"",0,1)</f>
        <v>2019-12-03</v>
      </c>
      <c r="M333" s="66">
        <v>45455</v>
      </c>
      <c r="N33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46550</v>
      </c>
      <c r="O333"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46550</v>
      </c>
      <c r="P333" s="74">
        <f>_xlfn.LET(_xlpm.resultado,_xlfn.XLOOKUP(Libromaestro[[#This Row],[CODIGO DEL DOCUMENTO]],Arreglo_Binaps[Codigo Documento],Arreglo_Binaps[Fecha_Aprobacion],"",0,1),IF(_xlpm.resultado=0,"",_xlpm.resultado))</f>
        <v>45463</v>
      </c>
      <c r="Q333" s="173" t="s">
        <v>411</v>
      </c>
      <c r="R333" s="75"/>
      <c r="S333" s="76" t="s">
        <v>11</v>
      </c>
      <c r="T333" s="73"/>
    </row>
    <row r="334" spans="1:20" ht="33.75" customHeight="1" x14ac:dyDescent="0.3">
      <c r="A334" s="60" t="str">
        <f>IFERROR(VLOOKUP(Libromaestro[[#This Row],[MACROPROCESO]],Tabla1[],2,FALSE),"")</f>
        <v>Corportativa</v>
      </c>
      <c r="B334" s="73" t="s">
        <v>32</v>
      </c>
      <c r="C334" s="64" t="s">
        <v>51</v>
      </c>
      <c r="D334" s="64" t="s">
        <v>34</v>
      </c>
      <c r="E33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3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334" s="64">
        <v>27</v>
      </c>
      <c r="H334" s="60" t="str">
        <f>_xlfn.CONCAT(Libromaestro[[#This Row],[SIGLAS]],"-",Libromaestro[[#This Row],[T. DOC]],"-",Libromaestro[[#This Row],[CONSECUTIVO]])</f>
        <v>H-PR-27</v>
      </c>
      <c r="I334" s="73" t="s">
        <v>483</v>
      </c>
      <c r="J334" s="64">
        <v>1</v>
      </c>
      <c r="K334" s="64" t="str">
        <f>_xlfn.XLOOKUP(Libromaestro[[#This Row],[CODIGO DEL DOCUMENTO]],Arreglo_Binaps[Codigo Documento],Arreglo_Binaps[Estado],"No creado",0)</f>
        <v>Aprobado</v>
      </c>
      <c r="L334" s="66" t="str">
        <f>_xlfn.XLOOKUP(Libromaestro[[#This Row],[CODIGO DEL DOCUMENTO]],Arreglo_Binaps[Codigo Documento],Arreglo_Binaps[Fecha de creación],"",0,1)</f>
        <v>2023-09-11</v>
      </c>
      <c r="M334" s="66"/>
      <c r="N33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46276</v>
      </c>
      <c r="O334"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46276</v>
      </c>
      <c r="P334" s="74">
        <f>_xlfn.LET(_xlpm.resultado,_xlfn.XLOOKUP(Libromaestro[[#This Row],[CODIGO DEL DOCUMENTO]],Arreglo_Binaps[Codigo Documento],Arreglo_Binaps[Fecha_Aprobacion],"",0,1),IF(_xlpm.resultado=0,"",_xlpm.resultado))</f>
        <v>45180</v>
      </c>
      <c r="Q334" s="173"/>
      <c r="R334" s="75"/>
      <c r="S334" s="76" t="s">
        <v>28</v>
      </c>
      <c r="T334" s="73"/>
    </row>
    <row r="335" spans="1:20" ht="33.75" customHeight="1" x14ac:dyDescent="0.3">
      <c r="A335" s="60" t="str">
        <f>IFERROR(VLOOKUP(Libromaestro[[#This Row],[MACROPROCESO]],Tabla1[],2,FALSE),"")</f>
        <v>Corportativa</v>
      </c>
      <c r="B335" s="73" t="s">
        <v>38</v>
      </c>
      <c r="C335" s="64" t="s">
        <v>26</v>
      </c>
      <c r="D335" s="64" t="s">
        <v>16</v>
      </c>
      <c r="E33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33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35" s="64">
        <v>16</v>
      </c>
      <c r="H335" s="60" t="str">
        <f>_xlfn.CONCAT(Libromaestro[[#This Row],[SIGLAS]],"-",Libromaestro[[#This Row],[T. DOC]],"-",Libromaestro[[#This Row],[CONSECUTIVO]])</f>
        <v>M-FT-16</v>
      </c>
      <c r="I335" s="73" t="s">
        <v>413</v>
      </c>
      <c r="J335" s="64">
        <v>1</v>
      </c>
      <c r="K335" s="64" t="str">
        <f>_xlfn.XLOOKUP(Libromaestro[[#This Row],[CODIGO DEL DOCUMENTO]],Arreglo_Binaps[Codigo Documento],Arreglo_Binaps[Estado],"No creado",0)</f>
        <v>No creado</v>
      </c>
      <c r="L335" s="66" t="str">
        <f>_xlfn.XLOOKUP(Libromaestro[[#This Row],[CODIGO DEL DOCUMENTO]],Arreglo_Binaps[Codigo Documento],Arreglo_Binaps[Fecha de creación],"",0,1)</f>
        <v/>
      </c>
      <c r="M335" s="66"/>
      <c r="N335"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335"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335" s="74" t="str">
        <f>_xlfn.LET(_xlpm.resultado,_xlfn.XLOOKUP(Libromaestro[[#This Row],[CODIGO DEL DOCUMENTO]],Arreglo_Binaps[Codigo Documento],Arreglo_Binaps[Fecha_Aprobacion],"",0,1),IF(_xlpm.resultado=0,"",_xlpm.resultado))</f>
        <v/>
      </c>
      <c r="Q335" s="173"/>
      <c r="R335" s="75"/>
      <c r="S335" s="76"/>
      <c r="T335" s="73"/>
    </row>
    <row r="336" spans="1:20" ht="33.75" customHeight="1" x14ac:dyDescent="0.3">
      <c r="A336" s="60" t="str">
        <f>IFERROR(VLOOKUP(Libromaestro[[#This Row],[MACROPROCESO]],Tabla1[],2,FALSE),"")</f>
        <v>Suministros</v>
      </c>
      <c r="B336" s="73" t="s">
        <v>45</v>
      </c>
      <c r="C336" s="64" t="s">
        <v>54</v>
      </c>
      <c r="D336" s="64" t="s">
        <v>27</v>
      </c>
      <c r="E33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3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36" s="76">
        <v>4</v>
      </c>
      <c r="H336" s="60" t="str">
        <f>_xlfn.CONCAT(Libromaestro[[#This Row],[SIGLAS]],"-",Libromaestro[[#This Row],[T. DOC]],"-",Libromaestro[[#This Row],[CONSECUTIVO]])</f>
        <v>S-IN-4</v>
      </c>
      <c r="I336" s="73" t="s">
        <v>236</v>
      </c>
      <c r="J336" s="64">
        <v>2</v>
      </c>
      <c r="K336" s="64" t="str">
        <f>_xlfn.XLOOKUP(Libromaestro[[#This Row],[CODIGO DEL DOCUMENTO]],Arreglo_Binaps[Codigo Documento],Arreglo_Binaps[Estado],"No creado",0)</f>
        <v>Aprobado</v>
      </c>
      <c r="L336" s="66" t="str">
        <f>_xlfn.XLOOKUP(Libromaestro[[#This Row],[CODIGO DEL DOCUMENTO]],Arreglo_Binaps[Codigo Documento],Arreglo_Binaps[Fecha de creación],"",0,1)</f>
        <v>2024-06-20</v>
      </c>
      <c r="M336" s="66">
        <v>45463</v>
      </c>
      <c r="N33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46558</v>
      </c>
      <c r="O336"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46558</v>
      </c>
      <c r="P336" s="74">
        <f>_xlfn.LET(_xlpm.resultado,_xlfn.XLOOKUP(Libromaestro[[#This Row],[CODIGO DEL DOCUMENTO]],Arreglo_Binaps[Codigo Documento],Arreglo_Binaps[Fecha_Aprobacion],"",0,1),IF(_xlpm.resultado=0,"",_xlpm.resultado))</f>
        <v>45630</v>
      </c>
      <c r="Q336" s="176"/>
      <c r="R336" s="76"/>
      <c r="S336" s="78"/>
      <c r="T336" s="83"/>
    </row>
    <row r="337" spans="1:20" ht="33.75" customHeight="1" x14ac:dyDescent="0.3">
      <c r="A337" s="60" t="str">
        <f>IFERROR(VLOOKUP(Libromaestro[[#This Row],[MACROPROCESO]],Tabla1[],2,FALSE),"")</f>
        <v>Suministros</v>
      </c>
      <c r="B337" s="73" t="s">
        <v>45</v>
      </c>
      <c r="C337" s="64" t="s">
        <v>54</v>
      </c>
      <c r="D337" s="64" t="s">
        <v>27</v>
      </c>
      <c r="E33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3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37" s="76">
        <v>5</v>
      </c>
      <c r="H337" s="60" t="str">
        <f>_xlfn.CONCAT(Libromaestro[[#This Row],[SIGLAS]],"-",Libromaestro[[#This Row],[T. DOC]],"-",Libromaestro[[#This Row],[CONSECUTIVO]])</f>
        <v>S-IN-5</v>
      </c>
      <c r="I337" s="73" t="s">
        <v>259</v>
      </c>
      <c r="J337" s="64">
        <v>2</v>
      </c>
      <c r="K337" s="64" t="str">
        <f>_xlfn.XLOOKUP(Libromaestro[[#This Row],[CODIGO DEL DOCUMENTO]],Arreglo_Binaps[Codigo Documento],Arreglo_Binaps[Estado],"No creado",0)</f>
        <v>Aprobado</v>
      </c>
      <c r="L337" s="66" t="str">
        <f>_xlfn.XLOOKUP(Libromaestro[[#This Row],[CODIGO DEL DOCUMENTO]],Arreglo_Binaps[Codigo Documento],Arreglo_Binaps[Fecha de creación],"",0,1)</f>
        <v>2024-06-24</v>
      </c>
      <c r="M337" s="66">
        <v>45467</v>
      </c>
      <c r="N33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46562</v>
      </c>
      <c r="O33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46562</v>
      </c>
      <c r="P337" s="67">
        <f>_xlfn.LET(_xlpm.resultado,_xlfn.XLOOKUP(Libromaestro[[#This Row],[CODIGO DEL DOCUMENTO]],Arreglo_Binaps[Codigo Documento],Arreglo_Binaps[Fecha_Aprobacion],"",0,1),IF(_xlpm.resultado=0,"",_xlpm.resultado))</f>
        <v>45630</v>
      </c>
      <c r="Q337" s="177"/>
      <c r="R337" s="69"/>
      <c r="S337" s="85"/>
      <c r="T337" s="100"/>
    </row>
    <row r="338" spans="1:20" ht="33.75" customHeight="1" x14ac:dyDescent="0.3">
      <c r="A338" s="60" t="str">
        <f>IFERROR(VLOOKUP(Libromaestro[[#This Row],[MACROPROCESO]],Tabla1[],2,FALSE),"")</f>
        <v>Electroingeniería</v>
      </c>
      <c r="B338" s="98" t="s">
        <v>29</v>
      </c>
      <c r="C338" s="64" t="s">
        <v>2255</v>
      </c>
      <c r="D338" s="103" t="s">
        <v>31</v>
      </c>
      <c r="E338"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338"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338" s="103">
        <v>1</v>
      </c>
      <c r="H338" s="60" t="str">
        <f>_xlfn.CONCAT(Libromaestro[[#This Row],[SIGLAS]],"-",Libromaestro[[#This Row],[T. DOC]],"-",Libromaestro[[#This Row],[CONSECUTIVO]])</f>
        <v>L-MA-1</v>
      </c>
      <c r="I338" s="98" t="s">
        <v>416</v>
      </c>
      <c r="J338" s="103">
        <v>3</v>
      </c>
      <c r="K338" s="64" t="str">
        <f>_xlfn.XLOOKUP(Libromaestro[[#This Row],[CODIGO DEL DOCUMENTO]],Arreglo_Binaps[Codigo Documento],Arreglo_Binaps[Estado],"No creado",0)</f>
        <v>Aprobado</v>
      </c>
      <c r="L338" s="66" t="str">
        <f>_xlfn.XLOOKUP(Libromaestro[[#This Row],[CODIGO DEL DOCUMENTO]],Arreglo_Binaps[Codigo Documento],Arreglo_Binaps[Fecha de creación],"",0,1)</f>
        <v>2022-06-13</v>
      </c>
      <c r="M338" s="93">
        <v>45896</v>
      </c>
      <c r="N33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46992</v>
      </c>
      <c r="O338"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46992</v>
      </c>
      <c r="P338" s="104">
        <f>_xlfn.LET(_xlpm.resultado,_xlfn.XLOOKUP(Libromaestro[[#This Row],[CODIGO DEL DOCUMENTO]],Arreglo_Binaps[Codigo Documento],Arreglo_Binaps[Fecha_Aprobacion],"",0,1),IF(_xlpm.resultado=0,"",_xlpm.resultado))</f>
        <v>46091</v>
      </c>
      <c r="Q338" s="181"/>
      <c r="R338" s="105"/>
      <c r="S338" s="106"/>
      <c r="T338" s="98"/>
    </row>
    <row r="339" spans="1:20" ht="33.75" customHeight="1" x14ac:dyDescent="0.3">
      <c r="A339" s="60" t="str">
        <f>IFERROR(VLOOKUP(Libromaestro[[#This Row],[MACROPROCESO]],Tabla1[],2,FALSE),"")</f>
        <v>Corportativa</v>
      </c>
      <c r="B339" s="98" t="s">
        <v>32</v>
      </c>
      <c r="C339" s="103" t="s">
        <v>59</v>
      </c>
      <c r="D339" s="103" t="s">
        <v>16</v>
      </c>
      <c r="E339"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39"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39" s="103">
        <v>17</v>
      </c>
      <c r="H339" s="60" t="str">
        <f>_xlfn.CONCAT(Libromaestro[[#This Row],[SIGLAS]],"-",Libromaestro[[#This Row],[T. DOC]],"-",Libromaestro[[#This Row],[CONSECUTIVO]])</f>
        <v>H-FT-17</v>
      </c>
      <c r="I339" s="98" t="s">
        <v>417</v>
      </c>
      <c r="J339" s="103">
        <v>1</v>
      </c>
      <c r="K339" s="64" t="str">
        <f>_xlfn.XLOOKUP(Libromaestro[[#This Row],[CODIGO DEL DOCUMENTO]],Arreglo_Binaps[Codigo Documento],Arreglo_Binaps[Estado],"No creado",0)</f>
        <v>Aprobado</v>
      </c>
      <c r="L339" s="66" t="str">
        <f>_xlfn.XLOOKUP(Libromaestro[[#This Row],[CODIGO DEL DOCUMENTO]],Arreglo_Binaps[Codigo Documento],Arreglo_Binaps[Fecha de creación],"",0,1)</f>
        <v>2024-02-08</v>
      </c>
      <c r="M339" s="93"/>
      <c r="N33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46426</v>
      </c>
      <c r="O339"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46426</v>
      </c>
      <c r="P339" s="104">
        <f>_xlfn.LET(_xlpm.resultado,_xlfn.XLOOKUP(Libromaestro[[#This Row],[CODIGO DEL DOCUMENTO]],Arreglo_Binaps[Codigo Documento],Arreglo_Binaps[Fecha_Aprobacion],"",0,1),IF(_xlpm.resultado=0,"",_xlpm.resultado))</f>
        <v>45351</v>
      </c>
      <c r="Q339" s="181"/>
      <c r="R339" s="105"/>
      <c r="S339" s="106" t="s">
        <v>28</v>
      </c>
      <c r="T339" s="98"/>
    </row>
    <row r="340" spans="1:20" ht="33.75" customHeight="1" x14ac:dyDescent="0.3">
      <c r="A340" s="60" t="str">
        <f>IFERROR(VLOOKUP(Libromaestro[[#This Row],[MACROPROCESO]],Tabla1[],2,FALSE),"")</f>
        <v>Corportativa</v>
      </c>
      <c r="B340" s="73" t="s">
        <v>32</v>
      </c>
      <c r="C340" s="64" t="s">
        <v>59</v>
      </c>
      <c r="D340" s="64" t="s">
        <v>16</v>
      </c>
      <c r="E34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4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40" s="64">
        <v>76</v>
      </c>
      <c r="H340" s="60" t="str">
        <f>_xlfn.CONCAT(Libromaestro[[#This Row],[SIGLAS]],"-",Libromaestro[[#This Row],[T. DOC]],"-",Libromaestro[[#This Row],[CONSECUTIVO]])</f>
        <v>H-FT-76</v>
      </c>
      <c r="I340" s="73" t="s">
        <v>418</v>
      </c>
      <c r="J340" s="64">
        <v>1</v>
      </c>
      <c r="K340" s="64" t="str">
        <f>_xlfn.XLOOKUP(Libromaestro[[#This Row],[CODIGO DEL DOCUMENTO]],Arreglo_Binaps[Codigo Documento],Arreglo_Binaps[Estado],"No creado",0)</f>
        <v>Rechazado</v>
      </c>
      <c r="L340" s="66" t="str">
        <f>_xlfn.XLOOKUP(Libromaestro[[#This Row],[CODIGO DEL DOCUMENTO]],Arreglo_Binaps[Codigo Documento],Arreglo_Binaps[Fecha de creación],"",0,1)</f>
        <v>2025-03-18</v>
      </c>
      <c r="M340" s="66">
        <v>45734</v>
      </c>
      <c r="N34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46830</v>
      </c>
      <c r="O340"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46830</v>
      </c>
      <c r="P340" s="74" t="str">
        <f>_xlfn.LET(_xlpm.resultado,_xlfn.XLOOKUP(Libromaestro[[#This Row],[CODIGO DEL DOCUMENTO]],Arreglo_Binaps[Codigo Documento],Arreglo_Binaps[Fecha_Aprobacion],"",0,1),IF(_xlpm.resultado=0,"",_xlpm.resultado))</f>
        <v/>
      </c>
      <c r="Q340" s="173"/>
      <c r="R340" s="75"/>
      <c r="S340" s="76"/>
      <c r="T340" s="73"/>
    </row>
    <row r="341" spans="1:20" ht="33.75" customHeight="1" x14ac:dyDescent="0.3">
      <c r="A341" s="60" t="str">
        <f>IFERROR(VLOOKUP(Libromaestro[[#This Row],[MACROPROCESO]],Tabla1[],2,FALSE),"")</f>
        <v>Suministros</v>
      </c>
      <c r="B341" s="98" t="s">
        <v>45</v>
      </c>
      <c r="C341" s="103" t="s">
        <v>30</v>
      </c>
      <c r="D341" s="103" t="s">
        <v>27</v>
      </c>
      <c r="E341"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41"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41" s="106">
        <v>6</v>
      </c>
      <c r="H341" s="60" t="str">
        <f>_xlfn.CONCAT(Libromaestro[[#This Row],[SIGLAS]],"-",Libromaestro[[#This Row],[T. DOC]],"-",Libromaestro[[#This Row],[CONSECUTIVO]])</f>
        <v>S-IN-6</v>
      </c>
      <c r="I341" s="210" t="s">
        <v>283</v>
      </c>
      <c r="J341" s="103">
        <v>1</v>
      </c>
      <c r="K341" s="64" t="str">
        <f>_xlfn.XLOOKUP(Libromaestro[[#This Row],[CODIGO DEL DOCUMENTO]],Arreglo_Binaps[Codigo Documento],Arreglo_Binaps[Estado],"No creado",0)</f>
        <v>Aprobado</v>
      </c>
      <c r="L341" s="66" t="str">
        <f>_xlfn.XLOOKUP(Libromaestro[[#This Row],[CODIGO DEL DOCUMENTO]],Arreglo_Binaps[Codigo Documento],Arreglo_Binaps[Fecha de creación],"",0,1)</f>
        <v>2024-10-08</v>
      </c>
      <c r="M341" s="93"/>
      <c r="N34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46668</v>
      </c>
      <c r="O341"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46668</v>
      </c>
      <c r="P341" s="104">
        <f>_xlfn.LET(_xlpm.resultado,_xlfn.XLOOKUP(Libromaestro[[#This Row],[CODIGO DEL DOCUMENTO]],Arreglo_Binaps[Codigo Documento],Arreglo_Binaps[Fecha_Aprobacion],"",0,1),IF(_xlpm.resultado=0,"",_xlpm.resultado))</f>
        <v>45630</v>
      </c>
      <c r="Q341" s="221"/>
      <c r="R341" s="106"/>
      <c r="S341" s="53"/>
      <c r="T341" s="59"/>
    </row>
    <row r="342" spans="1:20" ht="33.75" customHeight="1" x14ac:dyDescent="0.3">
      <c r="A342" s="60" t="str">
        <f>IFERROR(VLOOKUP(Libromaestro[[#This Row],[MACROPROCESO]],Tabla1[],2,FALSE),"")</f>
        <v>Suministros</v>
      </c>
      <c r="B342" s="98" t="s">
        <v>45</v>
      </c>
      <c r="C342" s="103" t="s">
        <v>54</v>
      </c>
      <c r="D342" s="103" t="s">
        <v>27</v>
      </c>
      <c r="E342"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42"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42" s="106">
        <v>7</v>
      </c>
      <c r="H342" s="60" t="str">
        <f>_xlfn.CONCAT(Libromaestro[[#This Row],[SIGLAS]],"-",Libromaestro[[#This Row],[T. DOC]],"-",Libromaestro[[#This Row],[CONSECUTIVO]])</f>
        <v>S-IN-7</v>
      </c>
      <c r="I342" s="98" t="s">
        <v>302</v>
      </c>
      <c r="J342" s="103">
        <v>1</v>
      </c>
      <c r="K342" s="64" t="str">
        <f>_xlfn.XLOOKUP(Libromaestro[[#This Row],[CODIGO DEL DOCUMENTO]],Arreglo_Binaps[Codigo Documento],Arreglo_Binaps[Estado],"No creado",0)</f>
        <v>Aprobado</v>
      </c>
      <c r="L342" s="66" t="str">
        <f>_xlfn.XLOOKUP(Libromaestro[[#This Row],[CODIGO DEL DOCUMENTO]],Arreglo_Binaps[Codigo Documento],Arreglo_Binaps[Fecha de creación],"",0,1)</f>
        <v>2024-05-17</v>
      </c>
      <c r="M342" s="93"/>
      <c r="N34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46524</v>
      </c>
      <c r="O342"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46524</v>
      </c>
      <c r="P342" s="104">
        <f>_xlfn.LET(_xlpm.resultado,_xlfn.XLOOKUP(Libromaestro[[#This Row],[CODIGO DEL DOCUMENTO]],Arreglo_Binaps[Codigo Documento],Arreglo_Binaps[Fecha_Aprobacion],"",0,1),IF(_xlpm.resultado=0,"",_xlpm.resultado))</f>
        <v>45630</v>
      </c>
      <c r="Q342" s="221"/>
      <c r="R342" s="106"/>
      <c r="S342" s="53"/>
      <c r="T342" s="238"/>
    </row>
    <row r="343" spans="1:20" ht="33.75" customHeight="1" x14ac:dyDescent="0.3">
      <c r="A343" s="60" t="str">
        <f>IFERROR(VLOOKUP(Libromaestro[[#This Row],[MACROPROCESO]],Tabla1[],2,FALSE),"")</f>
        <v>Corporativa</v>
      </c>
      <c r="B343" s="98" t="s">
        <v>13</v>
      </c>
      <c r="C343" s="103" t="s">
        <v>50</v>
      </c>
      <c r="D343" s="103" t="s">
        <v>16</v>
      </c>
      <c r="E343"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343"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43" s="103">
        <v>18</v>
      </c>
      <c r="H343" s="60" t="str">
        <f>_xlfn.CONCAT(Libromaestro[[#This Row],[SIGLAS]],"-",Libromaestro[[#This Row],[T. DOC]],"-",Libromaestro[[#This Row],[CONSECUTIVO]])</f>
        <v>D-FT-18</v>
      </c>
      <c r="I343" s="98" t="s">
        <v>421</v>
      </c>
      <c r="J343" s="103">
        <v>2</v>
      </c>
      <c r="K343" s="64" t="str">
        <f>_xlfn.XLOOKUP(Libromaestro[[#This Row],[CODIGO DEL DOCUMENTO]],Arreglo_Binaps[Codigo Documento],Arreglo_Binaps[Estado],"No creado",0)</f>
        <v>Aprobado</v>
      </c>
      <c r="L343" s="66" t="str">
        <f>_xlfn.XLOOKUP(Libromaestro[[#This Row],[CODIGO DEL DOCUMENTO]],Arreglo_Binaps[Codigo Documento],Arreglo_Binaps[Fecha de creación],"",0,1)</f>
        <v>2020-08-31</v>
      </c>
      <c r="M343" s="93">
        <v>45854</v>
      </c>
      <c r="N34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46950</v>
      </c>
      <c r="O343"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46950</v>
      </c>
      <c r="P343" s="104">
        <f>_xlfn.LET(_xlpm.resultado,_xlfn.XLOOKUP(Libromaestro[[#This Row],[CODIGO DEL DOCUMENTO]],Arreglo_Binaps[Codigo Documento],Arreglo_Binaps[Fecha_Aprobacion],"",0,1),IF(_xlpm.resultado=0,"",_xlpm.resultado))</f>
        <v>45987</v>
      </c>
      <c r="Q343" s="181"/>
      <c r="R343" s="105"/>
      <c r="S343" s="106" t="s">
        <v>11</v>
      </c>
      <c r="T343" s="98"/>
    </row>
    <row r="344" spans="1:20" ht="33.75" customHeight="1" x14ac:dyDescent="0.3">
      <c r="A344" s="60" t="str">
        <f>IFERROR(VLOOKUP(Libromaestro[[#This Row],[MACROPROCESO]],Tabla1[],2,FALSE),"")</f>
        <v>Alumbrado Público</v>
      </c>
      <c r="B344" s="98" t="s">
        <v>7</v>
      </c>
      <c r="C344" s="103" t="s">
        <v>9</v>
      </c>
      <c r="D344" s="103" t="s">
        <v>16</v>
      </c>
      <c r="E344"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344"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44" s="103">
        <v>18</v>
      </c>
      <c r="H344" s="60" t="str">
        <f>_xlfn.CONCAT(Libromaestro[[#This Row],[SIGLAS]],"-",Libromaestro[[#This Row],[T. DOC]],"-",Libromaestro[[#This Row],[CONSECUTIVO]])</f>
        <v>A-FT-18</v>
      </c>
      <c r="I344" s="98" t="s">
        <v>422</v>
      </c>
      <c r="J344" s="103">
        <v>1</v>
      </c>
      <c r="K344" s="64" t="str">
        <f>_xlfn.XLOOKUP(Libromaestro[[#This Row],[CODIGO DEL DOCUMENTO]],Arreglo_Binaps[Codigo Documento],Arreglo_Binaps[Estado],"No creado",0)</f>
        <v>No creado</v>
      </c>
      <c r="L344" s="66" t="str">
        <f>_xlfn.XLOOKUP(Libromaestro[[#This Row],[CODIGO DEL DOCUMENTO]],Arreglo_Binaps[Codigo Documento],Arreglo_Binaps[Fecha de creación],"",0,1)</f>
        <v/>
      </c>
      <c r="M344" s="93"/>
      <c r="N344"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344" s="93"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344" s="104" t="str">
        <f>_xlfn.LET(_xlpm.resultado,_xlfn.XLOOKUP(Libromaestro[[#This Row],[CODIGO DEL DOCUMENTO]],Arreglo_Binaps[Codigo Documento],Arreglo_Binaps[Fecha_Aprobacion],"",0,1),IF(_xlpm.resultado=0,"",_xlpm.resultado))</f>
        <v/>
      </c>
      <c r="Q344" s="181"/>
      <c r="R344" s="105"/>
      <c r="S344" s="106"/>
      <c r="T344" s="98"/>
    </row>
    <row r="345" spans="1:20" ht="33.75" customHeight="1" x14ac:dyDescent="0.3">
      <c r="A345" s="60" t="str">
        <f>IFERROR(VLOOKUP(Libromaestro[[#This Row],[MACROPROCESO]],Tabla1[],2,FALSE),"")</f>
        <v>Electroingeniería</v>
      </c>
      <c r="B345" s="98" t="s">
        <v>29</v>
      </c>
      <c r="C345" s="64" t="s">
        <v>2255</v>
      </c>
      <c r="D345" s="103" t="s">
        <v>34</v>
      </c>
      <c r="E345"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L</v>
      </c>
      <c r="F345"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345" s="103">
        <v>3</v>
      </c>
      <c r="H345" s="60" t="str">
        <f>_xlfn.CONCAT(Libromaestro[[#This Row],[SIGLAS]],"-",Libromaestro[[#This Row],[T. DOC]],"-",Libromaestro[[#This Row],[CONSECUTIVO]])</f>
        <v>L-PR-3</v>
      </c>
      <c r="I345" s="98" t="s">
        <v>423</v>
      </c>
      <c r="J345" s="103">
        <v>1</v>
      </c>
      <c r="K345" s="64" t="str">
        <f>_xlfn.XLOOKUP(Libromaestro[[#This Row],[CODIGO DEL DOCUMENTO]],Arreglo_Binaps[Codigo Documento],Arreglo_Binaps[Estado],"No creado",0)</f>
        <v>No creado</v>
      </c>
      <c r="L345" s="66" t="str">
        <f>_xlfn.XLOOKUP(Libromaestro[[#This Row],[CODIGO DEL DOCUMENTO]],Arreglo_Binaps[Codigo Documento],Arreglo_Binaps[Fecha de creación],"",0,1)</f>
        <v/>
      </c>
      <c r="M345" s="93"/>
      <c r="N345"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345" s="93"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345" s="104" t="str">
        <f>_xlfn.LET(_xlpm.resultado,_xlfn.XLOOKUP(Libromaestro[[#This Row],[CODIGO DEL DOCUMENTO]],Arreglo_Binaps[Codigo Documento],Arreglo_Binaps[Fecha_Aprobacion],"",0,1),IF(_xlpm.resultado=0,"",_xlpm.resultado))</f>
        <v/>
      </c>
      <c r="Q345" s="181"/>
      <c r="R345" s="105"/>
      <c r="S345" s="106"/>
      <c r="T345" s="98"/>
    </row>
    <row r="346" spans="1:20" ht="33.75" customHeight="1" x14ac:dyDescent="0.3">
      <c r="A346" s="60" t="str">
        <f>IFERROR(VLOOKUP(Libromaestro[[#This Row],[MACROPROCESO]],Tabla1[],2,FALSE),"")</f>
        <v>Corportativa</v>
      </c>
      <c r="B346" s="98" t="s">
        <v>32</v>
      </c>
      <c r="C346" s="103" t="s">
        <v>59</v>
      </c>
      <c r="D346" s="103" t="s">
        <v>16</v>
      </c>
      <c r="E346"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46"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46" s="103">
        <v>77</v>
      </c>
      <c r="H346" s="60" t="str">
        <f>_xlfn.CONCAT(Libromaestro[[#This Row],[SIGLAS]],"-",Libromaestro[[#This Row],[T. DOC]],"-",Libromaestro[[#This Row],[CONSECUTIVO]])</f>
        <v>H-FT-77</v>
      </c>
      <c r="I346" s="98" t="s">
        <v>424</v>
      </c>
      <c r="J346" s="103">
        <v>1</v>
      </c>
      <c r="K346" s="64" t="str">
        <f>_xlfn.XLOOKUP(Libromaestro[[#This Row],[CODIGO DEL DOCUMENTO]],Arreglo_Binaps[Codigo Documento],Arreglo_Binaps[Estado],"No creado",0)</f>
        <v>Rechazado</v>
      </c>
      <c r="L346" s="66" t="str">
        <f>_xlfn.XLOOKUP(Libromaestro[[#This Row],[CODIGO DEL DOCUMENTO]],Arreglo_Binaps[Codigo Documento],Arreglo_Binaps[Fecha de creación],"",0,1)</f>
        <v>2025-03-14</v>
      </c>
      <c r="M346" s="93">
        <v>45734</v>
      </c>
      <c r="N34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46830</v>
      </c>
      <c r="O346"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46830</v>
      </c>
      <c r="P346" s="104" t="str">
        <f>_xlfn.LET(_xlpm.resultado,_xlfn.XLOOKUP(Libromaestro[[#This Row],[CODIGO DEL DOCUMENTO]],Arreglo_Binaps[Codigo Documento],Arreglo_Binaps[Fecha_Aprobacion],"",0,1),IF(_xlpm.resultado=0,"",_xlpm.resultado))</f>
        <v/>
      </c>
      <c r="Q346" s="181"/>
      <c r="R346" s="105"/>
      <c r="S346" s="106"/>
      <c r="T346" s="98"/>
    </row>
    <row r="347" spans="1:20" ht="33.75" customHeight="1" x14ac:dyDescent="0.3">
      <c r="A347" s="60" t="str">
        <f>IFERROR(VLOOKUP(Libromaestro[[#This Row],[MACROPROCESO]],Tabla1[],2,FALSE),"")</f>
        <v>Corportativa</v>
      </c>
      <c r="B347" s="70" t="s">
        <v>32</v>
      </c>
      <c r="C347" s="60" t="s">
        <v>57</v>
      </c>
      <c r="D347" s="60" t="s">
        <v>34</v>
      </c>
      <c r="E34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4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347" s="64">
        <v>18</v>
      </c>
      <c r="H347" s="60" t="str">
        <f>_xlfn.CONCAT(Libromaestro[[#This Row],[SIGLAS]],"-",Libromaestro[[#This Row],[T. DOC]],"-",Libromaestro[[#This Row],[CONSECUTIVO]])</f>
        <v>H-PR-18</v>
      </c>
      <c r="I347" s="70" t="s">
        <v>425</v>
      </c>
      <c r="J347" s="103">
        <v>1</v>
      </c>
      <c r="K347" s="64" t="str">
        <f>_xlfn.XLOOKUP(Libromaestro[[#This Row],[CODIGO DEL DOCUMENTO]],Arreglo_Binaps[Codigo Documento],Arreglo_Binaps[Estado],"No creado",0)</f>
        <v>No creado</v>
      </c>
      <c r="L347" s="66" t="str">
        <f>_xlfn.XLOOKUP(Libromaestro[[#This Row],[CODIGO DEL DOCUMENTO]],Arreglo_Binaps[Codigo Documento],Arreglo_Binaps[Fecha de creación],"",0,1)</f>
        <v/>
      </c>
      <c r="M347" s="66">
        <v>45811</v>
      </c>
      <c r="N34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46907</v>
      </c>
      <c r="O34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46907</v>
      </c>
      <c r="P347" s="67" t="str">
        <f>_xlfn.LET(_xlpm.resultado,_xlfn.XLOOKUP(Libromaestro[[#This Row],[CODIGO DEL DOCUMENTO]],Arreglo_Binaps[Codigo Documento],Arreglo_Binaps[Fecha_Aprobacion],"",0,1),IF(_xlpm.resultado=0,"",_xlpm.resultado))</f>
        <v/>
      </c>
      <c r="Q347" s="172"/>
      <c r="R347" s="68"/>
      <c r="S347" s="69"/>
      <c r="T347" s="70"/>
    </row>
    <row r="348" spans="1:20" ht="33.75" customHeight="1" x14ac:dyDescent="0.3">
      <c r="A348" s="60" t="str">
        <f>IFERROR(VLOOKUP(Libromaestro[[#This Row],[MACROPROCESO]],Tabla1[],2,FALSE),"")</f>
        <v>Corportativa</v>
      </c>
      <c r="B348" s="98" t="s">
        <v>38</v>
      </c>
      <c r="C348" s="103" t="s">
        <v>26</v>
      </c>
      <c r="D348" s="103" t="s">
        <v>16</v>
      </c>
      <c r="E348"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348"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48" s="103">
        <v>18</v>
      </c>
      <c r="H348" s="60" t="str">
        <f>_xlfn.CONCAT(Libromaestro[[#This Row],[SIGLAS]],"-",Libromaestro[[#This Row],[T. DOC]],"-",Libromaestro[[#This Row],[CONSECUTIVO]])</f>
        <v>M-FT-18</v>
      </c>
      <c r="I348" s="98" t="s">
        <v>426</v>
      </c>
      <c r="J348" s="103">
        <v>1</v>
      </c>
      <c r="K348" s="64" t="str">
        <f>_xlfn.XLOOKUP(Libromaestro[[#This Row],[CODIGO DEL DOCUMENTO]],Arreglo_Binaps[Codigo Documento],Arreglo_Binaps[Estado],"No creado",0)</f>
        <v>Aprobado</v>
      </c>
      <c r="L348" s="66" t="str">
        <f>_xlfn.XLOOKUP(Libromaestro[[#This Row],[CODIGO DEL DOCUMENTO]],Arreglo_Binaps[Codigo Documento],Arreglo_Binaps[Fecha de creación],"",0,1)</f>
        <v>2024-07-17</v>
      </c>
      <c r="M348" s="93"/>
      <c r="N34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46585</v>
      </c>
      <c r="O348"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46585</v>
      </c>
      <c r="P348" s="104">
        <f>_xlfn.LET(_xlpm.resultado,_xlfn.XLOOKUP(Libromaestro[[#This Row],[CODIGO DEL DOCUMENTO]],Arreglo_Binaps[Codigo Documento],Arreglo_Binaps[Fecha_Aprobacion],"",0,1),IF(_xlpm.resultado=0,"",_xlpm.resultado))</f>
        <v>45509</v>
      </c>
      <c r="Q348" s="181"/>
      <c r="R348" s="105"/>
      <c r="S348" s="106" t="s">
        <v>11</v>
      </c>
      <c r="T348" s="98"/>
    </row>
    <row r="349" spans="1:20" ht="33.75" customHeight="1" x14ac:dyDescent="0.3">
      <c r="A349" s="60" t="str">
        <f>IFERROR(VLOOKUP(Libromaestro[[#This Row],[MACROPROCESO]],Tabla1[],2,FALSE),"")</f>
        <v>Suministros</v>
      </c>
      <c r="B349" s="98" t="s">
        <v>45</v>
      </c>
      <c r="C349" s="103" t="s">
        <v>63</v>
      </c>
      <c r="D349" s="103" t="s">
        <v>27</v>
      </c>
      <c r="E349"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49"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49" s="103">
        <v>8</v>
      </c>
      <c r="H349" s="60" t="str">
        <f>_xlfn.CONCAT(Libromaestro[[#This Row],[SIGLAS]],"-",Libromaestro[[#This Row],[T. DOC]],"-",Libromaestro[[#This Row],[CONSECUTIVO]])</f>
        <v>S-IN-8</v>
      </c>
      <c r="I349" s="98" t="s">
        <v>320</v>
      </c>
      <c r="J349" s="103">
        <v>1</v>
      </c>
      <c r="K349" s="64" t="str">
        <f>_xlfn.XLOOKUP(Libromaestro[[#This Row],[CODIGO DEL DOCUMENTO]],Arreglo_Binaps[Codigo Documento],Arreglo_Binaps[Estado],"No creado",0)</f>
        <v>En Revision</v>
      </c>
      <c r="L349" s="66" t="str">
        <f>_xlfn.XLOOKUP(Libromaestro[[#This Row],[CODIGO DEL DOCUMENTO]],Arreglo_Binaps[Codigo Documento],Arreglo_Binaps[Fecha de creación],"",0,1)</f>
        <v>2023-11-21</v>
      </c>
      <c r="M349" s="93"/>
      <c r="N34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46347</v>
      </c>
      <c r="O349"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46347</v>
      </c>
      <c r="P349" s="104" t="str">
        <f>_xlfn.LET(_xlpm.resultado,_xlfn.XLOOKUP(Libromaestro[[#This Row],[CODIGO DEL DOCUMENTO]],Arreglo_Binaps[Codigo Documento],Arreglo_Binaps[Fecha_Aprobacion],"",0,1),IF(_xlpm.resultado=0,"",_xlpm.resultado))</f>
        <v/>
      </c>
      <c r="Q349" s="181"/>
      <c r="R349" s="105"/>
      <c r="S349" s="106" t="s">
        <v>28</v>
      </c>
      <c r="T349" s="98"/>
    </row>
    <row r="350" spans="1:20" ht="33.75" customHeight="1" x14ac:dyDescent="0.3">
      <c r="A350" s="60" t="str">
        <f>IFERROR(VLOOKUP(Libromaestro[[#This Row],[MACROPROCESO]],Tabla1[],2,FALSE),"")</f>
        <v>Suministros</v>
      </c>
      <c r="B350" s="70" t="s">
        <v>45</v>
      </c>
      <c r="C350" s="60" t="s">
        <v>63</v>
      </c>
      <c r="D350" s="60" t="s">
        <v>27</v>
      </c>
      <c r="E350"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50"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50" s="103">
        <v>9</v>
      </c>
      <c r="H350" s="60" t="str">
        <f>_xlfn.CONCAT(Libromaestro[[#This Row],[SIGLAS]],"-",Libromaestro[[#This Row],[T. DOC]],"-",Libromaestro[[#This Row],[CONSECUTIVO]])</f>
        <v>S-IN-9</v>
      </c>
      <c r="I350" s="98" t="s">
        <v>337</v>
      </c>
      <c r="J350" s="60">
        <v>1</v>
      </c>
      <c r="K350" s="64" t="str">
        <f>_xlfn.XLOOKUP(Libromaestro[[#This Row],[CODIGO DEL DOCUMENTO]],Arreglo_Binaps[Codigo Documento],Arreglo_Binaps[Estado],"No creado",0)</f>
        <v>Aprobado</v>
      </c>
      <c r="L350" s="66" t="str">
        <f>_xlfn.XLOOKUP(Libromaestro[[#This Row],[CODIGO DEL DOCUMENTO]],Arreglo_Binaps[Codigo Documento],Arreglo_Binaps[Fecha de creación],"",0,1)</f>
        <v>2023-11-22</v>
      </c>
      <c r="M350" s="66"/>
      <c r="N35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46348</v>
      </c>
      <c r="O35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46348</v>
      </c>
      <c r="P350" s="67">
        <f>_xlfn.LET(_xlpm.resultado,_xlfn.XLOOKUP(Libromaestro[[#This Row],[CODIGO DEL DOCUMENTO]],Arreglo_Binaps[Codigo Documento],Arreglo_Binaps[Fecha_Aprobacion],"",0,1),IF(_xlpm.resultado=0,"",_xlpm.resultado))</f>
        <v>45581</v>
      </c>
      <c r="Q350" s="172"/>
      <c r="R350" s="68"/>
      <c r="S350" s="69" t="s">
        <v>28</v>
      </c>
      <c r="T350" s="70"/>
    </row>
    <row r="351" spans="1:20" ht="33.75" customHeight="1" x14ac:dyDescent="0.3">
      <c r="A351" s="60" t="str">
        <f>IFERROR(VLOOKUP(Libromaestro[[#This Row],[MACROPROCESO]],Tabla1[],2,FALSE),"")</f>
        <v>Corporativa</v>
      </c>
      <c r="B351" s="70" t="s">
        <v>13</v>
      </c>
      <c r="C351" s="60" t="s">
        <v>50</v>
      </c>
      <c r="D351" s="60" t="s">
        <v>16</v>
      </c>
      <c r="E351"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351"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51" s="60">
        <v>19</v>
      </c>
      <c r="H351" s="60" t="str">
        <f>_xlfn.CONCAT(Libromaestro[[#This Row],[SIGLAS]],"-",Libromaestro[[#This Row],[T. DOC]],"-",Libromaestro[[#This Row],[CONSECUTIVO]])</f>
        <v>D-FT-19</v>
      </c>
      <c r="I351" s="98" t="s">
        <v>429</v>
      </c>
      <c r="J351" s="60">
        <v>1</v>
      </c>
      <c r="K351" s="64" t="str">
        <f>_xlfn.XLOOKUP(Libromaestro[[#This Row],[CODIGO DEL DOCUMENTO]],Arreglo_Binaps[Codigo Documento],Arreglo_Binaps[Estado],"No creado",0)</f>
        <v>En Elaboracion</v>
      </c>
      <c r="L351" s="66" t="str">
        <f>_xlfn.XLOOKUP(Libromaestro[[#This Row],[CODIGO DEL DOCUMENTO]],Arreglo_Binaps[Codigo Documento],Arreglo_Binaps[Fecha de creación],"",0,1)</f>
        <v>2026-02-11</v>
      </c>
      <c r="M351" s="66"/>
      <c r="N35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47160</v>
      </c>
      <c r="O35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47160</v>
      </c>
      <c r="P351" s="67" t="str">
        <f>_xlfn.LET(_xlpm.resultado,_xlfn.XLOOKUP(Libromaestro[[#This Row],[CODIGO DEL DOCUMENTO]],Arreglo_Binaps[Codigo Documento],Arreglo_Binaps[Fecha_Aprobacion],"",0,1),IF(_xlpm.resultado=0,"",_xlpm.resultado))</f>
        <v/>
      </c>
      <c r="Q351" s="172"/>
      <c r="R351" s="68"/>
      <c r="S351" s="69" t="s">
        <v>28</v>
      </c>
      <c r="T351" s="70"/>
    </row>
    <row r="352" spans="1:20" ht="33.75" customHeight="1" x14ac:dyDescent="0.3">
      <c r="A352" s="60" t="str">
        <f>IFERROR(VLOOKUP(Libromaestro[[#This Row],[MACROPROCESO]],Tabla1[],2,FALSE),"")</f>
        <v>Alumbrado Público</v>
      </c>
      <c r="B352" s="98" t="s">
        <v>7</v>
      </c>
      <c r="C352" s="103" t="s">
        <v>9</v>
      </c>
      <c r="D352" s="103" t="s">
        <v>16</v>
      </c>
      <c r="E352"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352"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52" s="103">
        <v>19</v>
      </c>
      <c r="H352" s="60" t="str">
        <f>_xlfn.CONCAT(Libromaestro[[#This Row],[SIGLAS]],"-",Libromaestro[[#This Row],[T. DOC]],"-",Libromaestro[[#This Row],[CONSECUTIVO]])</f>
        <v>A-FT-19</v>
      </c>
      <c r="I352" s="98" t="s">
        <v>430</v>
      </c>
      <c r="J352" s="103">
        <v>1</v>
      </c>
      <c r="K352" s="64" t="str">
        <f>_xlfn.XLOOKUP(Libromaestro[[#This Row],[CODIGO DEL DOCUMENTO]],Arreglo_Binaps[Codigo Documento],Arreglo_Binaps[Estado],"No creado",0)</f>
        <v>No creado</v>
      </c>
      <c r="L352" s="66" t="str">
        <f>_xlfn.XLOOKUP(Libromaestro[[#This Row],[CODIGO DEL DOCUMENTO]],Arreglo_Binaps[Codigo Documento],Arreglo_Binaps[Fecha de creación],"",0,1)</f>
        <v/>
      </c>
      <c r="M352" s="93"/>
      <c r="N352"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352" s="93"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352" s="104" t="str">
        <f>_xlfn.LET(_xlpm.resultado,_xlfn.XLOOKUP(Libromaestro[[#This Row],[CODIGO DEL DOCUMENTO]],Arreglo_Binaps[Codigo Documento],Arreglo_Binaps[Fecha_Aprobacion],"",0,1),IF(_xlpm.resultado=0,"",_xlpm.resultado))</f>
        <v/>
      </c>
      <c r="Q352" s="181"/>
      <c r="R352" s="105"/>
      <c r="S352" s="106"/>
      <c r="T352" s="98"/>
    </row>
    <row r="353" spans="1:20" ht="33.75" customHeight="1" x14ac:dyDescent="0.3">
      <c r="A353" s="60" t="str">
        <f>IFERROR(VLOOKUP(Libromaestro[[#This Row],[MACROPROCESO]],Tabla1[],2,FALSE),"")</f>
        <v>Corportativa</v>
      </c>
      <c r="B353" s="98" t="s">
        <v>32</v>
      </c>
      <c r="C353" s="64" t="s">
        <v>59</v>
      </c>
      <c r="D353" s="103" t="s">
        <v>34</v>
      </c>
      <c r="E353"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53"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353" s="103">
        <v>15</v>
      </c>
      <c r="H353" s="60" t="str">
        <f>_xlfn.CONCAT(Libromaestro[[#This Row],[SIGLAS]],"-",Libromaestro[[#This Row],[T. DOC]],"-",Libromaestro[[#This Row],[CONSECUTIVO]])</f>
        <v>H-PR-15</v>
      </c>
      <c r="I353" s="98" t="s">
        <v>543</v>
      </c>
      <c r="J353" s="103">
        <v>2</v>
      </c>
      <c r="K353" s="64" t="str">
        <f>_xlfn.XLOOKUP(Libromaestro[[#This Row],[CODIGO DEL DOCUMENTO]],Arreglo_Binaps[Codigo Documento],Arreglo_Binaps[Estado],"No creado",0)</f>
        <v>Aprobado</v>
      </c>
      <c r="L353" s="66" t="str">
        <f>_xlfn.XLOOKUP(Libromaestro[[#This Row],[CODIGO DEL DOCUMENTO]],Arreglo_Binaps[Codigo Documento],Arreglo_Binaps[Fecha de creación],"",0,1)</f>
        <v>2025-01-22</v>
      </c>
      <c r="M353" s="93">
        <v>45762</v>
      </c>
      <c r="N35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46858</v>
      </c>
      <c r="O353"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46858</v>
      </c>
      <c r="P353" s="104">
        <f>_xlfn.LET(_xlpm.resultado,_xlfn.XLOOKUP(Libromaestro[[#This Row],[CODIGO DEL DOCUMENTO]],Arreglo_Binaps[Codigo Documento],Arreglo_Binaps[Fecha_Aprobacion],"",0,1),IF(_xlpm.resultado=0,"",_xlpm.resultado))</f>
        <v>45762</v>
      </c>
      <c r="Q353" s="181"/>
      <c r="R353" s="105"/>
      <c r="S353" s="106" t="s">
        <v>28</v>
      </c>
      <c r="T353" s="98"/>
    </row>
    <row r="354" spans="1:20" ht="33.75" customHeight="1" x14ac:dyDescent="0.3">
      <c r="A354" s="60" t="str">
        <f>IFERROR(VLOOKUP(Libromaestro[[#This Row],[MACROPROCESO]],Tabla1[],2,FALSE),"")</f>
        <v>Corportativa</v>
      </c>
      <c r="B354" s="98" t="s">
        <v>32</v>
      </c>
      <c r="C354" s="103" t="s">
        <v>59</v>
      </c>
      <c r="D354" s="103" t="s">
        <v>27</v>
      </c>
      <c r="E354"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54"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54" s="103">
        <v>1</v>
      </c>
      <c r="H354" s="60" t="str">
        <f>_xlfn.CONCAT(Libromaestro[[#This Row],[SIGLAS]],"-",Libromaestro[[#This Row],[T. DOC]],"-",Libromaestro[[#This Row],[CONSECUTIVO]])</f>
        <v>H-IN-1</v>
      </c>
      <c r="I354" s="98" t="s">
        <v>432</v>
      </c>
      <c r="J354" s="103">
        <v>1</v>
      </c>
      <c r="K354" s="64" t="str">
        <f>_xlfn.XLOOKUP(Libromaestro[[#This Row],[CODIGO DEL DOCUMENTO]],Arreglo_Binaps[Codigo Documento],Arreglo_Binaps[Estado],"No creado",0)</f>
        <v>Aprobado</v>
      </c>
      <c r="L354" s="66" t="str">
        <f>_xlfn.XLOOKUP(Libromaestro[[#This Row],[CODIGO DEL DOCUMENTO]],Arreglo_Binaps[Codigo Documento],Arreglo_Binaps[Fecha de creación],"",0,1)</f>
        <v>2019-12-12</v>
      </c>
      <c r="M354" s="93">
        <v>45744</v>
      </c>
      <c r="N35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46840</v>
      </c>
      <c r="O354"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46840</v>
      </c>
      <c r="P354" s="104">
        <f>_xlfn.LET(_xlpm.resultado,_xlfn.XLOOKUP(Libromaestro[[#This Row],[CODIGO DEL DOCUMENTO]],Arreglo_Binaps[Codigo Documento],Arreglo_Binaps[Fecha_Aprobacion],"",0,1),IF(_xlpm.resultado=0,"",_xlpm.resultado))</f>
        <v>45877</v>
      </c>
      <c r="Q354" s="181"/>
      <c r="R354" s="105"/>
      <c r="S354" s="106"/>
      <c r="T354" s="98"/>
    </row>
    <row r="355" spans="1:20" ht="33.75" customHeight="1" x14ac:dyDescent="0.3">
      <c r="A355" s="60" t="str">
        <f>IFERROR(VLOOKUP(Libromaestro[[#This Row],[MACROPROCESO]],Tabla1[],2,FALSE),"")</f>
        <v>Corportativa</v>
      </c>
      <c r="B355" s="98" t="s">
        <v>32</v>
      </c>
      <c r="C355" s="103" t="s">
        <v>57</v>
      </c>
      <c r="D355" s="103" t="s">
        <v>34</v>
      </c>
      <c r="E355"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55"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355" s="103">
        <v>19</v>
      </c>
      <c r="H355" s="60" t="str">
        <f>_xlfn.CONCAT(Libromaestro[[#This Row],[SIGLAS]],"-",Libromaestro[[#This Row],[T. DOC]],"-",Libromaestro[[#This Row],[CONSECUTIVO]])</f>
        <v>H-PR-19</v>
      </c>
      <c r="I355" s="98" t="s">
        <v>433</v>
      </c>
      <c r="J355" s="103">
        <v>1</v>
      </c>
      <c r="K355" s="64" t="str">
        <f>_xlfn.XLOOKUP(Libromaestro[[#This Row],[CODIGO DEL DOCUMENTO]],Arreglo_Binaps[Codigo Documento],Arreglo_Binaps[Estado],"No creado",0)</f>
        <v>No creado</v>
      </c>
      <c r="L355" s="66" t="str">
        <f>_xlfn.XLOOKUP(Libromaestro[[#This Row],[CODIGO DEL DOCUMENTO]],Arreglo_Binaps[Codigo Documento],Arreglo_Binaps[Fecha de creación],"",0,1)</f>
        <v/>
      </c>
      <c r="M355" s="93">
        <v>45811</v>
      </c>
      <c r="N35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46907</v>
      </c>
      <c r="O355"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46907</v>
      </c>
      <c r="P355" s="104" t="str">
        <f>_xlfn.LET(_xlpm.resultado,_xlfn.XLOOKUP(Libromaestro[[#This Row],[CODIGO DEL DOCUMENTO]],Arreglo_Binaps[Codigo Documento],Arreglo_Binaps[Fecha_Aprobacion],"",0,1),IF(_xlpm.resultado=0,"",_xlpm.resultado))</f>
        <v/>
      </c>
      <c r="Q355" s="181"/>
      <c r="R355" s="105"/>
      <c r="S355" s="106"/>
      <c r="T355" s="98"/>
    </row>
    <row r="356" spans="1:20" ht="33.75" customHeight="1" x14ac:dyDescent="0.3">
      <c r="A356" s="60" t="str">
        <f>IFERROR(VLOOKUP(Libromaestro[[#This Row],[MACROPROCESO]],Tabla1[],2,FALSE),"")</f>
        <v>Corportativa</v>
      </c>
      <c r="B356" s="98" t="s">
        <v>38</v>
      </c>
      <c r="C356" s="103" t="s">
        <v>26</v>
      </c>
      <c r="D356" s="103" t="s">
        <v>16</v>
      </c>
      <c r="E356"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356"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56" s="103">
        <v>19</v>
      </c>
      <c r="H356" s="60" t="str">
        <f>_xlfn.CONCAT(Libromaestro[[#This Row],[SIGLAS]],"-",Libromaestro[[#This Row],[T. DOC]],"-",Libromaestro[[#This Row],[CONSECUTIVO]])</f>
        <v>M-FT-19</v>
      </c>
      <c r="I356" s="150" t="s">
        <v>645</v>
      </c>
      <c r="J356" s="103">
        <v>2</v>
      </c>
      <c r="K356" s="64" t="str">
        <f>_xlfn.XLOOKUP(Libromaestro[[#This Row],[CODIGO DEL DOCUMENTO]],Arreglo_Binaps[Codigo Documento],Arreglo_Binaps[Estado],"No creado",0)</f>
        <v>Aprobado</v>
      </c>
      <c r="L356" s="66" t="str">
        <f>_xlfn.XLOOKUP(Libromaestro[[#This Row],[CODIGO DEL DOCUMENTO]],Arreglo_Binaps[Codigo Documento],Arreglo_Binaps[Fecha de creación],"",0,1)</f>
        <v>2020-07-01</v>
      </c>
      <c r="M356" s="93">
        <v>45491</v>
      </c>
      <c r="N35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46586</v>
      </c>
      <c r="O356"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46586</v>
      </c>
      <c r="P356" s="104">
        <f>_xlfn.LET(_xlpm.resultado,_xlfn.XLOOKUP(Libromaestro[[#This Row],[CODIGO DEL DOCUMENTO]],Arreglo_Binaps[Codigo Documento],Arreglo_Binaps[Fecha_Aprobacion],"",0,1),IF(_xlpm.resultado=0,"",_xlpm.resultado))</f>
        <v>45509</v>
      </c>
      <c r="Q356" s="181"/>
      <c r="R356" s="105"/>
      <c r="S356" s="106" t="s">
        <v>28</v>
      </c>
      <c r="T356" s="98"/>
    </row>
    <row r="357" spans="1:20" ht="33.75" customHeight="1" x14ac:dyDescent="0.3">
      <c r="A357" s="60" t="str">
        <f>IFERROR(VLOOKUP(Libromaestro[[#This Row],[MACROPROCESO]],Tabla1[],2,FALSE),"")</f>
        <v>Suministros</v>
      </c>
      <c r="B357" s="98" t="s">
        <v>45</v>
      </c>
      <c r="C357" s="103" t="s">
        <v>63</v>
      </c>
      <c r="D357" s="103" t="s">
        <v>27</v>
      </c>
      <c r="E357"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57"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57" s="103">
        <v>10</v>
      </c>
      <c r="H357" s="60" t="str">
        <f>_xlfn.CONCAT(Libromaestro[[#This Row],[SIGLAS]],"-",Libromaestro[[#This Row],[T. DOC]],"-",Libromaestro[[#This Row],[CONSECUTIVO]])</f>
        <v>S-IN-10</v>
      </c>
      <c r="I357" s="98" t="s">
        <v>351</v>
      </c>
      <c r="J357" s="103">
        <v>1</v>
      </c>
      <c r="K357" s="64" t="str">
        <f>_xlfn.XLOOKUP(Libromaestro[[#This Row],[CODIGO DEL DOCUMENTO]],Arreglo_Binaps[Codigo Documento],Arreglo_Binaps[Estado],"No creado",0)</f>
        <v>Aprobado</v>
      </c>
      <c r="L357" s="66" t="str">
        <f>_xlfn.XLOOKUP(Libromaestro[[#This Row],[CODIGO DEL DOCUMENTO]],Arreglo_Binaps[Codigo Documento],Arreglo_Binaps[Fecha de creación],"",0,1)</f>
        <v>2023-11-22</v>
      </c>
      <c r="M357" s="93"/>
      <c r="N35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46348</v>
      </c>
      <c r="O357"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46348</v>
      </c>
      <c r="P357" s="104">
        <f>_xlfn.LET(_xlpm.resultado,_xlfn.XLOOKUP(Libromaestro[[#This Row],[CODIGO DEL DOCUMENTO]],Arreglo_Binaps[Codigo Documento],Arreglo_Binaps[Fecha_Aprobacion],"",0,1),IF(_xlpm.resultado=0,"",_xlpm.resultado))</f>
        <v>45351</v>
      </c>
      <c r="Q357" s="181"/>
      <c r="R357" s="105"/>
      <c r="S357" s="106" t="s">
        <v>28</v>
      </c>
      <c r="T357" s="98"/>
    </row>
    <row r="358" spans="1:20" ht="33.75" customHeight="1" x14ac:dyDescent="0.3">
      <c r="A358" s="60" t="str">
        <f>IFERROR(VLOOKUP(Libromaestro[[#This Row],[MACROPROCESO]],Tabla1[],2,FALSE),"")</f>
        <v>Suministros</v>
      </c>
      <c r="B358" s="98" t="s">
        <v>45</v>
      </c>
      <c r="C358" s="103" t="s">
        <v>54</v>
      </c>
      <c r="D358" s="103" t="s">
        <v>27</v>
      </c>
      <c r="E358"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58"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58" s="103">
        <v>11</v>
      </c>
      <c r="H358" s="60" t="str">
        <f>_xlfn.CONCAT(Libromaestro[[#This Row],[SIGLAS]],"-",Libromaestro[[#This Row],[T. DOC]],"-",Libromaestro[[#This Row],[CONSECUTIVO]])</f>
        <v>S-IN-11</v>
      </c>
      <c r="I358" s="98" t="s">
        <v>363</v>
      </c>
      <c r="J358" s="103">
        <v>1</v>
      </c>
      <c r="K358" s="64" t="str">
        <f>_xlfn.XLOOKUP(Libromaestro[[#This Row],[CODIGO DEL DOCUMENTO]],Arreglo_Binaps[Codigo Documento],Arreglo_Binaps[Estado],"No creado",0)</f>
        <v>Aprobado</v>
      </c>
      <c r="L358" s="66" t="str">
        <f>_xlfn.XLOOKUP(Libromaestro[[#This Row],[CODIGO DEL DOCUMENTO]],Arreglo_Binaps[Codigo Documento],Arreglo_Binaps[Fecha de creación],"",0,1)</f>
        <v>2024-06-21</v>
      </c>
      <c r="M358" s="93"/>
      <c r="N35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46559</v>
      </c>
      <c r="O358"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46559</v>
      </c>
      <c r="P358" s="104">
        <f>_xlfn.LET(_xlpm.resultado,_xlfn.XLOOKUP(Libromaestro[[#This Row],[CODIGO DEL DOCUMENTO]],Arreglo_Binaps[Codigo Documento],Arreglo_Binaps[Fecha_Aprobacion],"",0,1),IF(_xlpm.resultado=0,"",_xlpm.resultado))</f>
        <v>45630</v>
      </c>
      <c r="Q358" s="181"/>
      <c r="R358" s="105"/>
      <c r="S358" s="106"/>
      <c r="T358" s="234"/>
    </row>
    <row r="359" spans="1:20" ht="33.75" customHeight="1" x14ac:dyDescent="0.3">
      <c r="A359" s="60" t="str">
        <f>IFERROR(VLOOKUP(Libromaestro[[#This Row],[MACROPROCESO]],Tabla1[],2,FALSE),"")</f>
        <v>Corporativa</v>
      </c>
      <c r="B359" s="98" t="s">
        <v>13</v>
      </c>
      <c r="C359" s="103" t="s">
        <v>50</v>
      </c>
      <c r="D359" s="103" t="s">
        <v>16</v>
      </c>
      <c r="E359"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359"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59" s="103">
        <v>20</v>
      </c>
      <c r="H359" s="60" t="str">
        <f>_xlfn.CONCAT(Libromaestro[[#This Row],[SIGLAS]],"-",Libromaestro[[#This Row],[T. DOC]],"-",Libromaestro[[#This Row],[CONSECUTIVO]])</f>
        <v>D-FT-20</v>
      </c>
      <c r="I359" s="70" t="s">
        <v>437</v>
      </c>
      <c r="J359" s="60">
        <v>2</v>
      </c>
      <c r="K359" s="64" t="str">
        <f>_xlfn.XLOOKUP(Libromaestro[[#This Row],[CODIGO DEL DOCUMENTO]],Arreglo_Binaps[Codigo Documento],Arreglo_Binaps[Estado],"No creado",0)</f>
        <v>Aprobado</v>
      </c>
      <c r="L359" s="66" t="str">
        <f>_xlfn.XLOOKUP(Libromaestro[[#This Row],[CODIGO DEL DOCUMENTO]],Arreglo_Binaps[Codigo Documento],Arreglo_Binaps[Fecha de creación],"",0,1)</f>
        <v>2023-03-27</v>
      </c>
      <c r="M359" s="66">
        <v>45791</v>
      </c>
      <c r="N35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46887</v>
      </c>
      <c r="O35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46887</v>
      </c>
      <c r="P359" s="67">
        <f>_xlfn.LET(_xlpm.resultado,_xlfn.XLOOKUP(Libromaestro[[#This Row],[CODIGO DEL DOCUMENTO]],Arreglo_Binaps[Codigo Documento],Arreglo_Binaps[Fecha_Aprobacion],"",0,1),IF(_xlpm.resultado=0,"",_xlpm.resultado))</f>
        <v>45833</v>
      </c>
      <c r="Q359" s="172"/>
      <c r="R359" s="68"/>
      <c r="S359" s="69" t="s">
        <v>11</v>
      </c>
      <c r="T359" s="70"/>
    </row>
    <row r="360" spans="1:20" ht="33.75" customHeight="1" x14ac:dyDescent="0.3">
      <c r="A360" s="60" t="str">
        <f>IFERROR(VLOOKUP(Libromaestro[[#This Row],[MACROPROCESO]],Tabla1[],2,FALSE),"")</f>
        <v>Alumbrado Público</v>
      </c>
      <c r="B360" s="98" t="s">
        <v>7</v>
      </c>
      <c r="C360" s="103" t="s">
        <v>9</v>
      </c>
      <c r="D360" s="103" t="s">
        <v>16</v>
      </c>
      <c r="E360"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360"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60" s="103">
        <v>20</v>
      </c>
      <c r="H360" s="60" t="str">
        <f>_xlfn.CONCAT(Libromaestro[[#This Row],[SIGLAS]],"-",Libromaestro[[#This Row],[T. DOC]],"-",Libromaestro[[#This Row],[CONSECUTIVO]])</f>
        <v>A-FT-20</v>
      </c>
      <c r="I360" s="98" t="s">
        <v>438</v>
      </c>
      <c r="J360" s="103">
        <v>1</v>
      </c>
      <c r="K360" s="64" t="str">
        <f>_xlfn.XLOOKUP(Libromaestro[[#This Row],[CODIGO DEL DOCUMENTO]],Arreglo_Binaps[Codigo Documento],Arreglo_Binaps[Estado],"No creado",0)</f>
        <v>Aprobado</v>
      </c>
      <c r="L360" s="66" t="str">
        <f>_xlfn.XLOOKUP(Libromaestro[[#This Row],[CODIGO DEL DOCUMENTO]],Arreglo_Binaps[Codigo Documento],Arreglo_Binaps[Fecha de creación],"",0,1)</f>
        <v>2023-05-29</v>
      </c>
      <c r="M360" s="93"/>
      <c r="N36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46171</v>
      </c>
      <c r="O360"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46171</v>
      </c>
      <c r="P360" s="104">
        <f>_xlfn.LET(_xlpm.resultado,_xlfn.XLOOKUP(Libromaestro[[#This Row],[CODIGO DEL DOCUMENTO]],Arreglo_Binaps[Codigo Documento],Arreglo_Binaps[Fecha_Aprobacion],"",0,1),IF(_xlpm.resultado=0,"",_xlpm.resultado))</f>
        <v>45075</v>
      </c>
      <c r="Q360" s="181" t="s">
        <v>183</v>
      </c>
      <c r="R360" s="105"/>
      <c r="S360" s="106" t="s">
        <v>17</v>
      </c>
      <c r="T360" s="98"/>
    </row>
    <row r="361" spans="1:20" ht="33.75" customHeight="1" x14ac:dyDescent="0.3">
      <c r="A361" s="60" t="str">
        <f>IFERROR(VLOOKUP(Libromaestro[[#This Row],[MACROPROCESO]],Tabla1[],2,FALSE),"")</f>
        <v>Corportativa</v>
      </c>
      <c r="B361" s="98" t="s">
        <v>32</v>
      </c>
      <c r="C361" s="103" t="s">
        <v>51</v>
      </c>
      <c r="D361" s="103" t="s">
        <v>16</v>
      </c>
      <c r="E361"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61"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61" s="60">
        <v>20</v>
      </c>
      <c r="H361" s="60" t="str">
        <f>_xlfn.CONCAT(Libromaestro[[#This Row],[SIGLAS]],"-",Libromaestro[[#This Row],[T. DOC]],"-",Libromaestro[[#This Row],[CONSECUTIVO]])</f>
        <v>H-FT-20</v>
      </c>
      <c r="I361" s="194" t="s">
        <v>2514</v>
      </c>
      <c r="J361" s="60">
        <v>1</v>
      </c>
      <c r="K361" s="64" t="str">
        <f>_xlfn.XLOOKUP(Libromaestro[[#This Row],[CODIGO DEL DOCUMENTO]],Arreglo_Binaps[Codigo Documento],Arreglo_Binaps[Estado],"No creado",0)</f>
        <v>En aprobacion</v>
      </c>
      <c r="L361" s="66" t="str">
        <f>_xlfn.XLOOKUP(Libromaestro[[#This Row],[CODIGO DEL DOCUMENTO]],Arreglo_Binaps[Codigo Documento],Arreglo_Binaps[Fecha de creación],"",0,1)</f>
        <v>2026-04-15</v>
      </c>
      <c r="M361" s="66"/>
      <c r="N36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47223</v>
      </c>
      <c r="O36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47223</v>
      </c>
      <c r="P361" s="67" t="str">
        <f>_xlfn.LET(_xlpm.resultado,_xlfn.XLOOKUP(Libromaestro[[#This Row],[CODIGO DEL DOCUMENTO]],Arreglo_Binaps[Codigo Documento],Arreglo_Binaps[Fecha_Aprobacion],"",0,1),IF(_xlpm.resultado=0,"",_xlpm.resultado))</f>
        <v/>
      </c>
      <c r="Q361" s="172"/>
      <c r="R361" s="68"/>
      <c r="S361" s="69"/>
      <c r="T361" s="70"/>
    </row>
    <row r="362" spans="1:20" ht="33.75" customHeight="1" x14ac:dyDescent="0.3">
      <c r="A362" s="60" t="str">
        <f>IFERROR(VLOOKUP(Libromaestro[[#This Row],[MACROPROCESO]],Tabla1[],2,FALSE),"")</f>
        <v>Corportativa</v>
      </c>
      <c r="B362" s="98" t="s">
        <v>32</v>
      </c>
      <c r="C362" s="103" t="s">
        <v>59</v>
      </c>
      <c r="D362" s="103" t="s">
        <v>34</v>
      </c>
      <c r="E362"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62"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362" s="103">
        <v>25</v>
      </c>
      <c r="H362" s="60" t="str">
        <f>_xlfn.CONCAT(Libromaestro[[#This Row],[SIGLAS]],"-",Libromaestro[[#This Row],[T. DOC]],"-",Libromaestro[[#This Row],[CONSECUTIVO]])</f>
        <v>H-PR-25</v>
      </c>
      <c r="I362" s="70" t="s">
        <v>552</v>
      </c>
      <c r="J362" s="60">
        <v>2</v>
      </c>
      <c r="K362" s="64" t="str">
        <f>_xlfn.XLOOKUP(Libromaestro[[#This Row],[CODIGO DEL DOCUMENTO]],Arreglo_Binaps[Codigo Documento],Arreglo_Binaps[Estado],"No creado",0)</f>
        <v>Aprobado</v>
      </c>
      <c r="L362" s="66" t="str">
        <f>_xlfn.XLOOKUP(Libromaestro[[#This Row],[CODIGO DEL DOCUMENTO]],Arreglo_Binaps[Codigo Documento],Arreglo_Binaps[Fecha de creación],"",0,1)</f>
        <v>2022-09-29</v>
      </c>
      <c r="M362" s="93">
        <v>45394</v>
      </c>
      <c r="N36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46489</v>
      </c>
      <c r="O362"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46489</v>
      </c>
      <c r="P362" s="104">
        <f>_xlfn.LET(_xlpm.resultado,_xlfn.XLOOKUP(Libromaestro[[#This Row],[CODIGO DEL DOCUMENTO]],Arreglo_Binaps[Codigo Documento],Arreglo_Binaps[Fecha_Aprobacion],"",0,1),IF(_xlpm.resultado=0,"",_xlpm.resultado))</f>
        <v>45455</v>
      </c>
      <c r="Q362" s="181"/>
      <c r="R362" s="105"/>
      <c r="S362" s="106" t="s">
        <v>28</v>
      </c>
      <c r="T362" s="98"/>
    </row>
    <row r="363" spans="1:20" ht="33.75" customHeight="1" x14ac:dyDescent="0.3">
      <c r="A363" s="60" t="str">
        <f>IFERROR(VLOOKUP(Libromaestro[[#This Row],[MACROPROCESO]],Tabla1[],2,FALSE),"")</f>
        <v>Corportativa</v>
      </c>
      <c r="B363" s="98" t="s">
        <v>38</v>
      </c>
      <c r="C363" s="103" t="s">
        <v>26</v>
      </c>
      <c r="D363" s="103" t="s">
        <v>16</v>
      </c>
      <c r="E363"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363"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63" s="103">
        <v>20</v>
      </c>
      <c r="H363" s="60" t="str">
        <f>_xlfn.CONCAT(Libromaestro[[#This Row],[SIGLAS]],"-",Libromaestro[[#This Row],[T. DOC]],"-",Libromaestro[[#This Row],[CONSECUTIVO]])</f>
        <v>M-FT-20</v>
      </c>
      <c r="I363" s="98" t="s">
        <v>440</v>
      </c>
      <c r="J363" s="103">
        <v>3</v>
      </c>
      <c r="K363" s="64" t="str">
        <f>_xlfn.XLOOKUP(Libromaestro[[#This Row],[CODIGO DEL DOCUMENTO]],Arreglo_Binaps[Codigo Documento],Arreglo_Binaps[Estado],"No creado",0)</f>
        <v>Aprobado</v>
      </c>
      <c r="L363" s="66" t="str">
        <f>_xlfn.XLOOKUP(Libromaestro[[#This Row],[CODIGO DEL DOCUMENTO]],Arreglo_Binaps[Codigo Documento],Arreglo_Binaps[Fecha de creación],"",0,1)</f>
        <v>2022-09-03</v>
      </c>
      <c r="M363" s="93">
        <v>45191</v>
      </c>
      <c r="N36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46287</v>
      </c>
      <c r="O363"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46287</v>
      </c>
      <c r="P363" s="104">
        <f>_xlfn.LET(_xlpm.resultado,_xlfn.XLOOKUP(Libromaestro[[#This Row],[CODIGO DEL DOCUMENTO]],Arreglo_Binaps[Codigo Documento],Arreglo_Binaps[Fecha_Aprobacion],"",0,1),IF(_xlpm.resultado=0,"",_xlpm.resultado))</f>
        <v>45238</v>
      </c>
      <c r="Q363" s="181"/>
      <c r="R363" s="105"/>
      <c r="S363" s="106" t="s">
        <v>28</v>
      </c>
      <c r="T363" s="98"/>
    </row>
    <row r="364" spans="1:20" ht="33.75" customHeight="1" x14ac:dyDescent="0.3">
      <c r="A364" s="60" t="str">
        <f>IFERROR(VLOOKUP(Libromaestro[[#This Row],[MACROPROCESO]],Tabla1[],2,FALSE),"")</f>
        <v>Suministros</v>
      </c>
      <c r="B364" s="98" t="s">
        <v>45</v>
      </c>
      <c r="C364" s="103" t="s">
        <v>54</v>
      </c>
      <c r="D364" s="103" t="s">
        <v>27</v>
      </c>
      <c r="E364"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64"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64" s="103">
        <v>12</v>
      </c>
      <c r="H364" s="60" t="str">
        <f>_xlfn.CONCAT(Libromaestro[[#This Row],[SIGLAS]],"-",Libromaestro[[#This Row],[T. DOC]],"-",Libromaestro[[#This Row],[CONSECUTIVO]])</f>
        <v>S-IN-12</v>
      </c>
      <c r="I364" s="98" t="s">
        <v>376</v>
      </c>
      <c r="J364" s="103">
        <v>1</v>
      </c>
      <c r="K364" s="64" t="str">
        <f>_xlfn.XLOOKUP(Libromaestro[[#This Row],[CODIGO DEL DOCUMENTO]],Arreglo_Binaps[Codigo Documento],Arreglo_Binaps[Estado],"No creado",0)</f>
        <v>Aprobado</v>
      </c>
      <c r="L364" s="66" t="str">
        <f>_xlfn.XLOOKUP(Libromaestro[[#This Row],[CODIGO DEL DOCUMENTO]],Arreglo_Binaps[Codigo Documento],Arreglo_Binaps[Fecha de creación],"",0,1)</f>
        <v>2024-06-21</v>
      </c>
      <c r="M364" s="66"/>
      <c r="N36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46559</v>
      </c>
      <c r="O364"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46559</v>
      </c>
      <c r="P364" s="104">
        <f>_xlfn.LET(_xlpm.resultado,_xlfn.XLOOKUP(Libromaestro[[#This Row],[CODIGO DEL DOCUMENTO]],Arreglo_Binaps[Codigo Documento],Arreglo_Binaps[Fecha_Aprobacion],"",0,1),IF(_xlpm.resultado=0,"",_xlpm.resultado))</f>
        <v>45630</v>
      </c>
      <c r="Q364" s="181"/>
      <c r="R364" s="105"/>
      <c r="S364" s="106"/>
      <c r="T364" s="234"/>
    </row>
    <row r="365" spans="1:20" ht="33.75" customHeight="1" x14ac:dyDescent="0.3">
      <c r="A365" s="60" t="str">
        <f>IFERROR(VLOOKUP(Libromaestro[[#This Row],[MACROPROCESO]],Tabla1[],2,FALSE),"")</f>
        <v>Suministros</v>
      </c>
      <c r="B365" s="98" t="s">
        <v>45</v>
      </c>
      <c r="C365" s="103" t="s">
        <v>54</v>
      </c>
      <c r="D365" s="103" t="s">
        <v>27</v>
      </c>
      <c r="E365"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65"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65" s="103">
        <v>13</v>
      </c>
      <c r="H365" s="60" t="str">
        <f>_xlfn.CONCAT(Libromaestro[[#This Row],[SIGLAS]],"-",Libromaestro[[#This Row],[T. DOC]],"-",Libromaestro[[#This Row],[CONSECUTIVO]])</f>
        <v>S-IN-13</v>
      </c>
      <c r="I365" s="98" t="s">
        <v>386</v>
      </c>
      <c r="J365" s="103">
        <v>1</v>
      </c>
      <c r="K365" s="64" t="str">
        <f>_xlfn.XLOOKUP(Libromaestro[[#This Row],[CODIGO DEL DOCUMENTO]],Arreglo_Binaps[Codigo Documento],Arreglo_Binaps[Estado],"No creado",0)</f>
        <v>Aprobado</v>
      </c>
      <c r="L365" s="66" t="str">
        <f>_xlfn.XLOOKUP(Libromaestro[[#This Row],[CODIGO DEL DOCUMENTO]],Arreglo_Binaps[Codigo Documento],Arreglo_Binaps[Fecha de creación],"",0,1)</f>
        <v>2025-04-30</v>
      </c>
      <c r="M365" s="66"/>
      <c r="N36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46873</v>
      </c>
      <c r="O365"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46873</v>
      </c>
      <c r="P365" s="104">
        <f>_xlfn.LET(_xlpm.resultado,_xlfn.XLOOKUP(Libromaestro[[#This Row],[CODIGO DEL DOCUMENTO]],Arreglo_Binaps[Codigo Documento],Arreglo_Binaps[Fecha_Aprobacion],"",0,1),IF(_xlpm.resultado=0,"",_xlpm.resultado))</f>
        <v>45882</v>
      </c>
      <c r="Q365" s="181"/>
      <c r="R365" s="105"/>
      <c r="S365" s="106"/>
      <c r="T365" s="234"/>
    </row>
    <row r="366" spans="1:20" ht="33.75" customHeight="1" x14ac:dyDescent="0.3">
      <c r="A366" s="60" t="str">
        <f>IFERROR(VLOOKUP(Libromaestro[[#This Row],[MACROPROCESO]],Tabla1[],2,FALSE),"")</f>
        <v>Corporativa</v>
      </c>
      <c r="B366" s="98" t="s">
        <v>13</v>
      </c>
      <c r="C366" s="103" t="s">
        <v>50</v>
      </c>
      <c r="D366" s="103" t="s">
        <v>16</v>
      </c>
      <c r="E366"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366"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66" s="103">
        <v>21</v>
      </c>
      <c r="H366" s="60" t="str">
        <f>_xlfn.CONCAT(Libromaestro[[#This Row],[SIGLAS]],"-",Libromaestro[[#This Row],[T. DOC]],"-",Libromaestro[[#This Row],[CONSECUTIVO]])</f>
        <v>D-FT-21</v>
      </c>
      <c r="I366" s="98" t="s">
        <v>443</v>
      </c>
      <c r="J366" s="103">
        <v>2</v>
      </c>
      <c r="K366" s="64" t="str">
        <f>_xlfn.XLOOKUP(Libromaestro[[#This Row],[CODIGO DEL DOCUMENTO]],Arreglo_Binaps[Codigo Documento],Arreglo_Binaps[Estado],"No creado",0)</f>
        <v>Aprobado</v>
      </c>
      <c r="L366" s="66" t="str">
        <f>_xlfn.XLOOKUP(Libromaestro[[#This Row],[CODIGO DEL DOCUMENTO]],Arreglo_Binaps[Codigo Documento],Arreglo_Binaps[Fecha de creación],"",0,1)</f>
        <v>2023-03-27</v>
      </c>
      <c r="M366" s="66">
        <v>45791</v>
      </c>
      <c r="N36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46887</v>
      </c>
      <c r="O366"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46887</v>
      </c>
      <c r="P366" s="104">
        <f>_xlfn.LET(_xlpm.resultado,_xlfn.XLOOKUP(Libromaestro[[#This Row],[CODIGO DEL DOCUMENTO]],Arreglo_Binaps[Codigo Documento],Arreglo_Binaps[Fecha_Aprobacion],"",0,1),IF(_xlpm.resultado=0,"",_xlpm.resultado))</f>
        <v>45833</v>
      </c>
      <c r="Q366" s="181"/>
      <c r="R366" s="105"/>
      <c r="S366" s="106" t="s">
        <v>11</v>
      </c>
      <c r="T366" s="98"/>
    </row>
    <row r="367" spans="1:20" ht="33.75" customHeight="1" x14ac:dyDescent="0.3">
      <c r="A367" s="60" t="str">
        <f>IFERROR(VLOOKUP(Libromaestro[[#This Row],[MACROPROCESO]],Tabla1[],2,FALSE),"")</f>
        <v>Alumbrado Público</v>
      </c>
      <c r="B367" s="98" t="s">
        <v>7</v>
      </c>
      <c r="C367" s="103" t="s">
        <v>53</v>
      </c>
      <c r="D367" s="103" t="s">
        <v>16</v>
      </c>
      <c r="E367"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367"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67" s="103">
        <v>21</v>
      </c>
      <c r="H367" s="60" t="str">
        <f>_xlfn.CONCAT(Libromaestro[[#This Row],[SIGLAS]],"-",Libromaestro[[#This Row],[T. DOC]],"-",Libromaestro[[#This Row],[CONSECUTIVO]])</f>
        <v>A-FT-21</v>
      </c>
      <c r="I367" s="98" t="s">
        <v>444</v>
      </c>
      <c r="J367" s="103">
        <v>1</v>
      </c>
      <c r="K367" s="64" t="str">
        <f>_xlfn.XLOOKUP(Libromaestro[[#This Row],[CODIGO DEL DOCUMENTO]],Arreglo_Binaps[Codigo Documento],Arreglo_Binaps[Estado],"No creado",0)</f>
        <v>Aprobado</v>
      </c>
      <c r="L367" s="66" t="str">
        <f>_xlfn.XLOOKUP(Libromaestro[[#This Row],[CODIGO DEL DOCUMENTO]],Arreglo_Binaps[Codigo Documento],Arreglo_Binaps[Fecha de creación],"",0,1)</f>
        <v>2023-10-02</v>
      </c>
      <c r="M367" s="93"/>
      <c r="N36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46297</v>
      </c>
      <c r="O367"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46297</v>
      </c>
      <c r="P367" s="104">
        <f>_xlfn.LET(_xlpm.resultado,_xlfn.XLOOKUP(Libromaestro[[#This Row],[CODIGO DEL DOCUMENTO]],Arreglo_Binaps[Codigo Documento],Arreglo_Binaps[Fecha_Aprobacion],"",0,1),IF(_xlpm.resultado=0,"",_xlpm.resultado))</f>
        <v>45259</v>
      </c>
      <c r="Q367" s="181"/>
      <c r="R367" s="105"/>
      <c r="S367" s="106"/>
      <c r="T367" s="98"/>
    </row>
    <row r="368" spans="1:20" ht="33.75" customHeight="1" x14ac:dyDescent="0.3">
      <c r="A368" s="60" t="str">
        <f>IFERROR(VLOOKUP(Libromaestro[[#This Row],[MACROPROCESO]],Tabla1[],2,FALSE),"")</f>
        <v>Corportativa</v>
      </c>
      <c r="B368" s="98" t="s">
        <v>32</v>
      </c>
      <c r="C368" s="103" t="s">
        <v>59</v>
      </c>
      <c r="D368" s="103" t="s">
        <v>16</v>
      </c>
      <c r="E368"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68"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68" s="103">
        <v>21</v>
      </c>
      <c r="H368" s="60" t="str">
        <f>_xlfn.CONCAT(Libromaestro[[#This Row],[SIGLAS]],"-",Libromaestro[[#This Row],[T. DOC]],"-",Libromaestro[[#This Row],[CONSECUTIVO]])</f>
        <v>H-FT-21</v>
      </c>
      <c r="I368" s="107" t="s">
        <v>445</v>
      </c>
      <c r="J368" s="103">
        <v>2</v>
      </c>
      <c r="K368" s="64" t="str">
        <f>_xlfn.XLOOKUP(Libromaestro[[#This Row],[CODIGO DEL DOCUMENTO]],Arreglo_Binaps[Codigo Documento],Arreglo_Binaps[Estado],"No creado",0)</f>
        <v>Aprobado</v>
      </c>
      <c r="L368" s="66" t="str">
        <f>_xlfn.XLOOKUP(Libromaestro[[#This Row],[CODIGO DEL DOCUMENTO]],Arreglo_Binaps[Codigo Documento],Arreglo_Binaps[Fecha de creación],"",0,1)</f>
        <v>2020-11-20</v>
      </c>
      <c r="M368" s="93">
        <v>45748</v>
      </c>
      <c r="N36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46844</v>
      </c>
      <c r="O368"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46844</v>
      </c>
      <c r="P368" s="104">
        <f>_xlfn.LET(_xlpm.resultado,_xlfn.XLOOKUP(Libromaestro[[#This Row],[CODIGO DEL DOCUMENTO]],Arreglo_Binaps[Codigo Documento],Arreglo_Binaps[Fecha_Aprobacion],"",0,1),IF(_xlpm.resultado=0,"",_xlpm.resultado))</f>
        <v>45877</v>
      </c>
      <c r="Q368" s="181"/>
      <c r="R368" s="105"/>
      <c r="S368" s="106" t="s">
        <v>11</v>
      </c>
      <c r="T368" s="98"/>
    </row>
    <row r="369" spans="1:20" ht="33.75" customHeight="1" x14ac:dyDescent="0.3">
      <c r="A369" s="60" t="str">
        <f>IFERROR(VLOOKUP(Libromaestro[[#This Row],[MACROPROCESO]],Tabla1[],2,FALSE),"")</f>
        <v>Corportativa</v>
      </c>
      <c r="B369" s="98" t="s">
        <v>32</v>
      </c>
      <c r="C369" s="103" t="s">
        <v>59</v>
      </c>
      <c r="D369" s="103" t="s">
        <v>34</v>
      </c>
      <c r="E369"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69"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369" s="103">
        <v>30</v>
      </c>
      <c r="H369" s="60" t="str">
        <f>_xlfn.CONCAT(Libromaestro[[#This Row],[SIGLAS]],"-",Libromaestro[[#This Row],[T. DOC]],"-",Libromaestro[[#This Row],[CONSECUTIVO]])</f>
        <v>H-PR-30</v>
      </c>
      <c r="I369" s="98" t="s">
        <v>553</v>
      </c>
      <c r="J369" s="103">
        <v>1</v>
      </c>
      <c r="K369" s="64" t="str">
        <f>_xlfn.XLOOKUP(Libromaestro[[#This Row],[CODIGO DEL DOCUMENTO]],Arreglo_Binaps[Codigo Documento],Arreglo_Binaps[Estado],"No creado",0)</f>
        <v>Aprobado</v>
      </c>
      <c r="L369" s="66" t="str">
        <f>_xlfn.XLOOKUP(Libromaestro[[#This Row],[CODIGO DEL DOCUMENTO]],Arreglo_Binaps[Codigo Documento],Arreglo_Binaps[Fecha de creación],"",0,1)</f>
        <v>2025-06-12</v>
      </c>
      <c r="M369" s="93"/>
      <c r="N36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46916</v>
      </c>
      <c r="O369"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46916</v>
      </c>
      <c r="P369" s="104">
        <f>_xlfn.LET(_xlpm.resultado,_xlfn.XLOOKUP(Libromaestro[[#This Row],[CODIGO DEL DOCUMENTO]],Arreglo_Binaps[Codigo Documento],Arreglo_Binaps[Fecha_Aprobacion],"",0,1),IF(_xlpm.resultado=0,"",_xlpm.resultado))</f>
        <v>46093</v>
      </c>
      <c r="Q369" s="181"/>
      <c r="R369" s="105"/>
      <c r="S369" s="106"/>
      <c r="T369" s="98"/>
    </row>
    <row r="370" spans="1:20" ht="33.75" customHeight="1" x14ac:dyDescent="0.3">
      <c r="A370" s="60" t="str">
        <f>IFERROR(VLOOKUP(Libromaestro[[#This Row],[MACROPROCESO]],Tabla1[],2,FALSE),"")</f>
        <v>Suministros</v>
      </c>
      <c r="B370" s="98" t="s">
        <v>45</v>
      </c>
      <c r="C370" s="103" t="s">
        <v>54</v>
      </c>
      <c r="D370" s="103" t="s">
        <v>27</v>
      </c>
      <c r="E370"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70"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70" s="103">
        <v>14</v>
      </c>
      <c r="H370" s="60" t="str">
        <f>_xlfn.CONCAT(Libromaestro[[#This Row],[SIGLAS]],"-",Libromaestro[[#This Row],[T. DOC]],"-",Libromaestro[[#This Row],[CONSECUTIVO]])</f>
        <v>S-IN-14</v>
      </c>
      <c r="I370" s="98" t="s">
        <v>393</v>
      </c>
      <c r="J370" s="103">
        <v>1</v>
      </c>
      <c r="K370" s="64" t="str">
        <f>_xlfn.XLOOKUP(Libromaestro[[#This Row],[CODIGO DEL DOCUMENTO]],Arreglo_Binaps[Codigo Documento],Arreglo_Binaps[Estado],"No creado",0)</f>
        <v>Aprobado</v>
      </c>
      <c r="L370" s="66" t="str">
        <f>_xlfn.XLOOKUP(Libromaestro[[#This Row],[CODIGO DEL DOCUMENTO]],Arreglo_Binaps[Codigo Documento],Arreglo_Binaps[Fecha de creación],"",0,1)</f>
        <v>2024-09-06</v>
      </c>
      <c r="M370" s="93"/>
      <c r="N37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46636</v>
      </c>
      <c r="O370"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46636</v>
      </c>
      <c r="P370" s="104">
        <f>_xlfn.LET(_xlpm.resultado,_xlfn.XLOOKUP(Libromaestro[[#This Row],[CODIGO DEL DOCUMENTO]],Arreglo_Binaps[Codigo Documento],Arreglo_Binaps[Fecha_Aprobacion],"",0,1),IF(_xlpm.resultado=0,"",_xlpm.resultado))</f>
        <v>45630</v>
      </c>
      <c r="Q370" s="181"/>
      <c r="R370" s="105"/>
      <c r="S370" s="106"/>
      <c r="T370" s="234"/>
    </row>
    <row r="371" spans="1:20" s="30" customFormat="1" ht="33.75" customHeight="1" x14ac:dyDescent="0.3">
      <c r="A371" s="60" t="str">
        <f>IFERROR(VLOOKUP(Libromaestro[[#This Row],[MACROPROCESO]],Tabla1[],2,FALSE),"")</f>
        <v>Suministros</v>
      </c>
      <c r="B371" s="98" t="s">
        <v>45</v>
      </c>
      <c r="C371" s="103" t="s">
        <v>30</v>
      </c>
      <c r="D371" s="103" t="s">
        <v>27</v>
      </c>
      <c r="E371"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71"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71" s="103">
        <v>15</v>
      </c>
      <c r="H371" s="60" t="str">
        <f>_xlfn.CONCAT(Libromaestro[[#This Row],[SIGLAS]],"-",Libromaestro[[#This Row],[T. DOC]],"-",Libromaestro[[#This Row],[CONSECUTIVO]])</f>
        <v>S-IN-15</v>
      </c>
      <c r="I371" s="98" t="s">
        <v>404</v>
      </c>
      <c r="J371" s="103">
        <v>1</v>
      </c>
      <c r="K371" s="64" t="str">
        <f>_xlfn.XLOOKUP(Libromaestro[[#This Row],[CODIGO DEL DOCUMENTO]],Arreglo_Binaps[Codigo Documento],Arreglo_Binaps[Estado],"No creado",0)</f>
        <v>Aprobado</v>
      </c>
      <c r="L371" s="66" t="str">
        <f>_xlfn.XLOOKUP(Libromaestro[[#This Row],[CODIGO DEL DOCUMENTO]],Arreglo_Binaps[Codigo Documento],Arreglo_Binaps[Fecha de creación],"",0,1)</f>
        <v>2024-10-08</v>
      </c>
      <c r="M371" s="93"/>
      <c r="N37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46668</v>
      </c>
      <c r="O371"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46668</v>
      </c>
      <c r="P371" s="104">
        <f>_xlfn.LET(_xlpm.resultado,_xlfn.XLOOKUP(Libromaestro[[#This Row],[CODIGO DEL DOCUMENTO]],Arreglo_Binaps[Codigo Documento],Arreglo_Binaps[Fecha_Aprobacion],"",0,1),IF(_xlpm.resultado=0,"",_xlpm.resultado))</f>
        <v>45630</v>
      </c>
      <c r="Q371" s="181"/>
      <c r="R371" s="105"/>
      <c r="S371" s="106"/>
      <c r="T371" s="98"/>
    </row>
    <row r="372" spans="1:20" ht="33.75" customHeight="1" x14ac:dyDescent="0.3">
      <c r="A372" s="60" t="str">
        <f>IFERROR(VLOOKUP(Libromaestro[[#This Row],[MACROPROCESO]],Tabla1[],2,FALSE),"")</f>
        <v>Corporativa</v>
      </c>
      <c r="B372" s="98" t="s">
        <v>13</v>
      </c>
      <c r="C372" s="103" t="s">
        <v>60</v>
      </c>
      <c r="D372" s="103" t="s">
        <v>16</v>
      </c>
      <c r="E372"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372"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72" s="103">
        <v>22</v>
      </c>
      <c r="H372" s="60" t="str">
        <f>_xlfn.CONCAT(Libromaestro[[#This Row],[SIGLAS]],"-",Libromaestro[[#This Row],[T. DOC]],"-",Libromaestro[[#This Row],[CONSECUTIVO]])</f>
        <v>D-FT-22</v>
      </c>
      <c r="I372" s="108" t="s">
        <v>449</v>
      </c>
      <c r="J372" s="103">
        <v>2</v>
      </c>
      <c r="K372" s="64" t="str">
        <f>_xlfn.XLOOKUP(Libromaestro[[#This Row],[CODIGO DEL DOCUMENTO]],Arreglo_Binaps[Codigo Documento],Arreglo_Binaps[Estado],"No creado",0)</f>
        <v>Aprobado</v>
      </c>
      <c r="L372" s="66" t="str">
        <f>_xlfn.XLOOKUP(Libromaestro[[#This Row],[CODIGO DEL DOCUMENTO]],Arreglo_Binaps[Codigo Documento],Arreglo_Binaps[Fecha de creación],"",0,1)</f>
        <v>2024-02-12</v>
      </c>
      <c r="M372" s="93">
        <v>45691</v>
      </c>
      <c r="N37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46786</v>
      </c>
      <c r="O372"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46786</v>
      </c>
      <c r="P372" s="104">
        <f>_xlfn.LET(_xlpm.resultado,_xlfn.XLOOKUP(Libromaestro[[#This Row],[CODIGO DEL DOCUMENTO]],Arreglo_Binaps[Codigo Documento],Arreglo_Binaps[Fecha_Aprobacion],"",0,1),IF(_xlpm.resultado=0,"",_xlpm.resultado))</f>
        <v>45833</v>
      </c>
      <c r="Q372" s="181"/>
      <c r="R372" s="105"/>
      <c r="S372" s="106" t="s">
        <v>23</v>
      </c>
      <c r="T372" s="98"/>
    </row>
    <row r="373" spans="1:20" ht="33.75" customHeight="1" x14ac:dyDescent="0.3">
      <c r="A373" s="60" t="str">
        <f>IFERROR(VLOOKUP(Libromaestro[[#This Row],[MACROPROCESO]],Tabla1[],2,FALSE),"")</f>
        <v>Alumbrado Público</v>
      </c>
      <c r="B373" s="98" t="s">
        <v>7</v>
      </c>
      <c r="C373" s="103" t="s">
        <v>53</v>
      </c>
      <c r="D373" s="103" t="s">
        <v>16</v>
      </c>
      <c r="E373"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373"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73" s="103">
        <v>22</v>
      </c>
      <c r="H373" s="60" t="str">
        <f>_xlfn.CONCAT(Libromaestro[[#This Row],[SIGLAS]],"-",Libromaestro[[#This Row],[T. DOC]],"-",Libromaestro[[#This Row],[CONSECUTIVO]])</f>
        <v>A-FT-22</v>
      </c>
      <c r="I373" s="98" t="s">
        <v>450</v>
      </c>
      <c r="J373" s="103">
        <v>1</v>
      </c>
      <c r="K373" s="64" t="str">
        <f>_xlfn.XLOOKUP(Libromaestro[[#This Row],[CODIGO DEL DOCUMENTO]],Arreglo_Binaps[Codigo Documento],Arreglo_Binaps[Estado],"No creado",0)</f>
        <v>Aprobado</v>
      </c>
      <c r="L373" s="66" t="str">
        <f>_xlfn.XLOOKUP(Libromaestro[[#This Row],[CODIGO DEL DOCUMENTO]],Arreglo_Binaps[Codigo Documento],Arreglo_Binaps[Fecha de creación],"",0,1)</f>
        <v>2023-10-02</v>
      </c>
      <c r="M373" s="93"/>
      <c r="N37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46297</v>
      </c>
      <c r="O373"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46297</v>
      </c>
      <c r="P373" s="104">
        <f>_xlfn.LET(_xlpm.resultado,_xlfn.XLOOKUP(Libromaestro[[#This Row],[CODIGO DEL DOCUMENTO]],Arreglo_Binaps[Codigo Documento],Arreglo_Binaps[Fecha_Aprobacion],"",0,1),IF(_xlpm.resultado=0,"",_xlpm.resultado))</f>
        <v>45259</v>
      </c>
      <c r="Q373" s="181"/>
      <c r="R373" s="105"/>
      <c r="S373" s="106"/>
      <c r="T373" s="98"/>
    </row>
    <row r="374" spans="1:20" ht="33.75" customHeight="1" x14ac:dyDescent="0.3">
      <c r="A374" s="60" t="str">
        <f>IFERROR(VLOOKUP(Libromaestro[[#This Row],[MACROPROCESO]],Tabla1[],2,FALSE),"")</f>
        <v>Corportativa</v>
      </c>
      <c r="B374" s="98" t="s">
        <v>32</v>
      </c>
      <c r="C374" s="103" t="s">
        <v>59</v>
      </c>
      <c r="D374" s="103" t="s">
        <v>16</v>
      </c>
      <c r="E374"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74"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74" s="103">
        <v>22</v>
      </c>
      <c r="H374" s="60" t="str">
        <f>_xlfn.CONCAT(Libromaestro[[#This Row],[SIGLAS]],"-",Libromaestro[[#This Row],[T. DOC]],"-",Libromaestro[[#This Row],[CONSECUTIVO]])</f>
        <v>H-FT-22</v>
      </c>
      <c r="I374" s="107" t="s">
        <v>451</v>
      </c>
      <c r="J374" s="103">
        <v>2</v>
      </c>
      <c r="K374" s="64" t="str">
        <f>_xlfn.XLOOKUP(Libromaestro[[#This Row],[CODIGO DEL DOCUMENTO]],Arreglo_Binaps[Codigo Documento],Arreglo_Binaps[Estado],"No creado",0)</f>
        <v>Aprobado</v>
      </c>
      <c r="L374" s="66" t="str">
        <f>_xlfn.XLOOKUP(Libromaestro[[#This Row],[CODIGO DEL DOCUMENTO]],Arreglo_Binaps[Codigo Documento],Arreglo_Binaps[Fecha de creación],"",0,1)</f>
        <v>2020-11-23</v>
      </c>
      <c r="M374" s="93">
        <v>45749</v>
      </c>
      <c r="N37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46845</v>
      </c>
      <c r="O374"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46845</v>
      </c>
      <c r="P374" s="104">
        <f>_xlfn.LET(_xlpm.resultado,_xlfn.XLOOKUP(Libromaestro[[#This Row],[CODIGO DEL DOCUMENTO]],Arreglo_Binaps[Codigo Documento],Arreglo_Binaps[Fecha_Aprobacion],"",0,1),IF(_xlpm.resultado=0,"",_xlpm.resultado))</f>
        <v>45877</v>
      </c>
      <c r="Q374" s="181"/>
      <c r="R374" s="105"/>
      <c r="S374" s="106" t="s">
        <v>11</v>
      </c>
      <c r="T374" s="98"/>
    </row>
    <row r="375" spans="1:20" s="29" customFormat="1" ht="33.75" customHeight="1" x14ac:dyDescent="0.3">
      <c r="A375" s="60" t="str">
        <f>IFERROR(VLOOKUP(Libromaestro[[#This Row],[MACROPROCESO]],Tabla1[],2,FALSE),"")</f>
        <v>Corportativa</v>
      </c>
      <c r="B375" s="98" t="s">
        <v>32</v>
      </c>
      <c r="C375" s="103" t="s">
        <v>57</v>
      </c>
      <c r="D375" s="103" t="s">
        <v>34</v>
      </c>
      <c r="E375"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75"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375" s="103">
        <v>22</v>
      </c>
      <c r="H375" s="60" t="str">
        <f>_xlfn.CONCAT(Libromaestro[[#This Row],[SIGLAS]],"-",Libromaestro[[#This Row],[T. DOC]],"-",Libromaestro[[#This Row],[CONSECUTIVO]])</f>
        <v>H-PR-22</v>
      </c>
      <c r="I375" s="98" t="s">
        <v>452</v>
      </c>
      <c r="J375" s="103">
        <v>1</v>
      </c>
      <c r="K375" s="64" t="str">
        <f>_xlfn.XLOOKUP(Libromaestro[[#This Row],[CODIGO DEL DOCUMENTO]],Arreglo_Binaps[Codigo Documento],Arreglo_Binaps[Estado],"No creado",0)</f>
        <v>No creado</v>
      </c>
      <c r="L375" s="66" t="str">
        <f>_xlfn.XLOOKUP(Libromaestro[[#This Row],[CODIGO DEL DOCUMENTO]],Arreglo_Binaps[Codigo Documento],Arreglo_Binaps[Fecha de creación],"",0,1)</f>
        <v/>
      </c>
      <c r="M375" s="93">
        <v>45811</v>
      </c>
      <c r="N37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46907</v>
      </c>
      <c r="O375"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46907</v>
      </c>
      <c r="P375" s="104" t="str">
        <f>_xlfn.LET(_xlpm.resultado,_xlfn.XLOOKUP(Libromaestro[[#This Row],[CODIGO DEL DOCUMENTO]],Arreglo_Binaps[Codigo Documento],Arreglo_Binaps[Fecha_Aprobacion],"",0,1),IF(_xlpm.resultado=0,"",_xlpm.resultado))</f>
        <v/>
      </c>
      <c r="Q375" s="181"/>
      <c r="R375" s="105"/>
      <c r="S375" s="106"/>
      <c r="T375" s="98"/>
    </row>
    <row r="376" spans="1:20" ht="33.75" customHeight="1" x14ac:dyDescent="0.3">
      <c r="A376" s="60" t="str">
        <f>IFERROR(VLOOKUP(Libromaestro[[#This Row],[MACROPROCESO]],Tabla1[],2,FALSE),"")</f>
        <v>Corportativa</v>
      </c>
      <c r="B376" s="98" t="s">
        <v>38</v>
      </c>
      <c r="C376" s="103" t="s">
        <v>26</v>
      </c>
      <c r="D376" s="103" t="s">
        <v>16</v>
      </c>
      <c r="E376"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376"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76" s="103">
        <v>22</v>
      </c>
      <c r="H376" s="60" t="str">
        <f>_xlfn.CONCAT(Libromaestro[[#This Row],[SIGLAS]],"-",Libromaestro[[#This Row],[T. DOC]],"-",Libromaestro[[#This Row],[CONSECUTIVO]])</f>
        <v>M-FT-22</v>
      </c>
      <c r="I376" s="98" t="s">
        <v>453</v>
      </c>
      <c r="J376" s="103">
        <v>2</v>
      </c>
      <c r="K376" s="64" t="str">
        <f>_xlfn.XLOOKUP(Libromaestro[[#This Row],[CODIGO DEL DOCUMENTO]],Arreglo_Binaps[Codigo Documento],Arreglo_Binaps[Estado],"No creado",0)</f>
        <v>Aprobado</v>
      </c>
      <c r="L376" s="66" t="str">
        <f>_xlfn.XLOOKUP(Libromaestro[[#This Row],[CODIGO DEL DOCUMENTO]],Arreglo_Binaps[Codigo Documento],Arreglo_Binaps[Fecha de creación],"",0,1)</f>
        <v>2024-04-17</v>
      </c>
      <c r="M376" s="93">
        <v>45399</v>
      </c>
      <c r="N37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46494</v>
      </c>
      <c r="O376"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46494</v>
      </c>
      <c r="P376" s="104">
        <f>_xlfn.LET(_xlpm.resultado,_xlfn.XLOOKUP(Libromaestro[[#This Row],[CODIGO DEL DOCUMENTO]],Arreglo_Binaps[Codigo Documento],Arreglo_Binaps[Fecha_Aprobacion],"",0,1),IF(_xlpm.resultado=0,"",_xlpm.resultado))</f>
        <v>45414</v>
      </c>
      <c r="Q376" s="181"/>
      <c r="R376" s="105"/>
      <c r="S376" s="106" t="s">
        <v>28</v>
      </c>
      <c r="T376" s="98"/>
    </row>
    <row r="377" spans="1:20" ht="33.75" customHeight="1" x14ac:dyDescent="0.3">
      <c r="A377" s="60" t="str">
        <f>IFERROR(VLOOKUP(Libromaestro[[#This Row],[MACROPROCESO]],Tabla1[],2,FALSE),"")</f>
        <v>Suministros</v>
      </c>
      <c r="B377" s="98" t="s">
        <v>45</v>
      </c>
      <c r="C377" s="103" t="s">
        <v>30</v>
      </c>
      <c r="D377" s="103" t="s">
        <v>27</v>
      </c>
      <c r="E377"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77"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77" s="103">
        <v>16</v>
      </c>
      <c r="H377" s="60" t="str">
        <f>_xlfn.CONCAT(Libromaestro[[#This Row],[SIGLAS]],"-",Libromaestro[[#This Row],[T. DOC]],"-",Libromaestro[[#This Row],[CONSECUTIVO]])</f>
        <v>S-IN-16</v>
      </c>
      <c r="I377" s="98" t="s">
        <v>415</v>
      </c>
      <c r="J377" s="103">
        <v>1</v>
      </c>
      <c r="K377" s="64" t="str">
        <f>_xlfn.XLOOKUP(Libromaestro[[#This Row],[CODIGO DEL DOCUMENTO]],Arreglo_Binaps[Codigo Documento],Arreglo_Binaps[Estado],"No creado",0)</f>
        <v>Aprobado</v>
      </c>
      <c r="L377" s="66" t="str">
        <f>_xlfn.XLOOKUP(Libromaestro[[#This Row],[CODIGO DEL DOCUMENTO]],Arreglo_Binaps[Codigo Documento],Arreglo_Binaps[Fecha de creación],"",0,1)</f>
        <v>2024-10-08</v>
      </c>
      <c r="M377" s="93"/>
      <c r="N37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46668</v>
      </c>
      <c r="O377"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46668</v>
      </c>
      <c r="P377" s="104">
        <f>_xlfn.LET(_xlpm.resultado,_xlfn.XLOOKUP(Libromaestro[[#This Row],[CODIGO DEL DOCUMENTO]],Arreglo_Binaps[Codigo Documento],Arreglo_Binaps[Fecha_Aprobacion],"",0,1),IF(_xlpm.resultado=0,"",_xlpm.resultado))</f>
        <v>45630</v>
      </c>
      <c r="Q377" s="181"/>
      <c r="R377" s="105"/>
      <c r="S377" s="106"/>
      <c r="T377" s="98"/>
    </row>
    <row r="378" spans="1:20" ht="33.75" customHeight="1" x14ac:dyDescent="0.3">
      <c r="A378" s="60" t="str">
        <f>IFERROR(VLOOKUP(Libromaestro[[#This Row],[MACROPROCESO]],Tabla1[],2,FALSE),"")</f>
        <v>Corporativa</v>
      </c>
      <c r="B378" s="98" t="s">
        <v>13</v>
      </c>
      <c r="C378" s="103" t="s">
        <v>50</v>
      </c>
      <c r="D378" s="103" t="s">
        <v>16</v>
      </c>
      <c r="E378"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378"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78" s="103">
        <v>23</v>
      </c>
      <c r="H378" s="60" t="str">
        <f>_xlfn.CONCAT(Libromaestro[[#This Row],[SIGLAS]],"-",Libromaestro[[#This Row],[T. DOC]],"-",Libromaestro[[#This Row],[CONSECUTIVO]])</f>
        <v>D-FT-23</v>
      </c>
      <c r="I378" s="98" t="s">
        <v>455</v>
      </c>
      <c r="J378" s="103">
        <v>2</v>
      </c>
      <c r="K378" s="64" t="str">
        <f>_xlfn.XLOOKUP(Libromaestro[[#This Row],[CODIGO DEL DOCUMENTO]],Arreglo_Binaps[Codigo Documento],Arreglo_Binaps[Estado],"No creado",0)</f>
        <v>Aprobado</v>
      </c>
      <c r="L378" s="66" t="str">
        <f>_xlfn.XLOOKUP(Libromaestro[[#This Row],[CODIGO DEL DOCUMENTO]],Arreglo_Binaps[Codigo Documento],Arreglo_Binaps[Fecha de creación],"",0,1)</f>
        <v>2024-04-12</v>
      </c>
      <c r="M378" s="93">
        <v>45791</v>
      </c>
      <c r="N37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46887</v>
      </c>
      <c r="O378"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46887</v>
      </c>
      <c r="P378" s="104">
        <f>_xlfn.LET(_xlpm.resultado,_xlfn.XLOOKUP(Libromaestro[[#This Row],[CODIGO DEL DOCUMENTO]],Arreglo_Binaps[Codigo Documento],Arreglo_Binaps[Fecha_Aprobacion],"",0,1),IF(_xlpm.resultado=0,"",_xlpm.resultado))</f>
        <v>45833</v>
      </c>
      <c r="Q378" s="181"/>
      <c r="R378" s="105"/>
      <c r="S378" s="106" t="s">
        <v>11</v>
      </c>
      <c r="T378" s="98"/>
    </row>
    <row r="379" spans="1:20" s="28" customFormat="1" ht="33.75" customHeight="1" x14ac:dyDescent="0.3">
      <c r="A379" s="60" t="str">
        <f>IFERROR(VLOOKUP(Libromaestro[[#This Row],[MACROPROCESO]],Tabla1[],2,FALSE),"")</f>
        <v>Alumbrado Público</v>
      </c>
      <c r="B379" s="70" t="s">
        <v>7</v>
      </c>
      <c r="C379" s="60" t="s">
        <v>61</v>
      </c>
      <c r="D379" s="60" t="s">
        <v>34</v>
      </c>
      <c r="E379"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379"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379" s="60">
        <v>4</v>
      </c>
      <c r="H379" s="60" t="str">
        <f>_xlfn.CONCAT(Libromaestro[[#This Row],[SIGLAS]],"-",Libromaestro[[#This Row],[T. DOC]],"-",Libromaestro[[#This Row],[CONSECUTIVO]])</f>
        <v>A-PR-4</v>
      </c>
      <c r="I379" s="70" t="s">
        <v>456</v>
      </c>
      <c r="J379" s="60">
        <v>1</v>
      </c>
      <c r="K379" s="64" t="str">
        <f>_xlfn.XLOOKUP(Libromaestro[[#This Row],[CODIGO DEL DOCUMENTO]],Arreglo_Binaps[Codigo Documento],Arreglo_Binaps[Estado],"No creado",0)</f>
        <v>No creado</v>
      </c>
      <c r="L379" s="66" t="str">
        <f>_xlfn.XLOOKUP(Libromaestro[[#This Row],[CODIGO DEL DOCUMENTO]],Arreglo_Binaps[Codigo Documento],Arreglo_Binaps[Fecha de creación],"",0,1)</f>
        <v/>
      </c>
      <c r="M379" s="66"/>
      <c r="N379"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379"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379" s="67" t="str">
        <f>_xlfn.LET(_xlpm.resultado,_xlfn.XLOOKUP(Libromaestro[[#This Row],[CODIGO DEL DOCUMENTO]],Arreglo_Binaps[Codigo Documento],Arreglo_Binaps[Fecha_Aprobacion],"",0,1),IF(_xlpm.resultado=0,"",_xlpm.resultado))</f>
        <v/>
      </c>
      <c r="Q379" s="172"/>
      <c r="R379" s="68"/>
      <c r="S379" s="69"/>
      <c r="T379" s="70"/>
    </row>
    <row r="380" spans="1:20" ht="33.75" customHeight="1" x14ac:dyDescent="0.3">
      <c r="A380" s="60" t="str">
        <f>IFERROR(VLOOKUP(Libromaestro[[#This Row],[MACROPROCESO]],Tabla1[],2,FALSE),"")</f>
        <v>Corportativa</v>
      </c>
      <c r="B380" s="70" t="s">
        <v>32</v>
      </c>
      <c r="C380" s="60" t="s">
        <v>59</v>
      </c>
      <c r="D380" s="60" t="s">
        <v>16</v>
      </c>
      <c r="E380"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80"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80" s="60">
        <v>23</v>
      </c>
      <c r="H380" s="60" t="str">
        <f>_xlfn.CONCAT(Libromaestro[[#This Row],[SIGLAS]],"-",Libromaestro[[#This Row],[T. DOC]],"-",Libromaestro[[#This Row],[CONSECUTIVO]])</f>
        <v>H-FT-23</v>
      </c>
      <c r="I380" s="70" t="s">
        <v>457</v>
      </c>
      <c r="J380" s="60">
        <v>3</v>
      </c>
      <c r="K380" s="64" t="str">
        <f>_xlfn.XLOOKUP(Libromaestro[[#This Row],[CODIGO DEL DOCUMENTO]],Arreglo_Binaps[Codigo Documento],Arreglo_Binaps[Estado],"No creado",0)</f>
        <v>Aprobado</v>
      </c>
      <c r="L380" s="66" t="str">
        <f>_xlfn.XLOOKUP(Libromaestro[[#This Row],[CODIGO DEL DOCUMENTO]],Arreglo_Binaps[Codigo Documento],Arreglo_Binaps[Fecha de creación],"",0,1)</f>
        <v>2019-12-16</v>
      </c>
      <c r="M380" s="66">
        <v>45313</v>
      </c>
      <c r="N38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46409</v>
      </c>
      <c r="O38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46409</v>
      </c>
      <c r="P380" s="67">
        <f>_xlfn.LET(_xlpm.resultado,_xlfn.XLOOKUP(Libromaestro[[#This Row],[CODIGO DEL DOCUMENTO]],Arreglo_Binaps[Codigo Documento],Arreglo_Binaps[Fecha_Aprobacion],"",0,1),IF(_xlpm.resultado=0,"",_xlpm.resultado))</f>
        <v>45351</v>
      </c>
      <c r="Q380" s="172"/>
      <c r="R380" s="68"/>
      <c r="S380" s="69" t="s">
        <v>17</v>
      </c>
      <c r="T380" s="70"/>
    </row>
    <row r="381" spans="1:20" ht="33.75" customHeight="1" x14ac:dyDescent="0.3">
      <c r="A381" s="60" t="str">
        <f>IFERROR(VLOOKUP(Libromaestro[[#This Row],[MACROPROCESO]],Tabla1[],2,FALSE),"")</f>
        <v>Corportativa</v>
      </c>
      <c r="B381" s="70" t="s">
        <v>32</v>
      </c>
      <c r="C381" s="60" t="s">
        <v>57</v>
      </c>
      <c r="D381" s="60" t="s">
        <v>34</v>
      </c>
      <c r="E381"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81"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381" s="60">
        <v>23</v>
      </c>
      <c r="H381" s="60" t="str">
        <f>_xlfn.CONCAT(Libromaestro[[#This Row],[SIGLAS]],"-",Libromaestro[[#This Row],[T. DOC]],"-",Libromaestro[[#This Row],[CONSECUTIVO]])</f>
        <v>H-PR-23</v>
      </c>
      <c r="I381" s="70" t="s">
        <v>458</v>
      </c>
      <c r="J381" s="60">
        <v>1</v>
      </c>
      <c r="K381" s="64" t="str">
        <f>_xlfn.XLOOKUP(Libromaestro[[#This Row],[CODIGO DEL DOCUMENTO]],Arreglo_Binaps[Codigo Documento],Arreglo_Binaps[Estado],"No creado",0)</f>
        <v>No creado</v>
      </c>
      <c r="L381" s="66" t="str">
        <f>_xlfn.XLOOKUP(Libromaestro[[#This Row],[CODIGO DEL DOCUMENTO]],Arreglo_Binaps[Codigo Documento],Arreglo_Binaps[Fecha de creación],"",0,1)</f>
        <v/>
      </c>
      <c r="M381" s="66">
        <v>45811</v>
      </c>
      <c r="N38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46907</v>
      </c>
      <c r="O38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46907</v>
      </c>
      <c r="P381" s="67" t="str">
        <f>_xlfn.LET(_xlpm.resultado,_xlfn.XLOOKUP(Libromaestro[[#This Row],[CODIGO DEL DOCUMENTO]],Arreglo_Binaps[Codigo Documento],Arreglo_Binaps[Fecha_Aprobacion],"",0,1),IF(_xlpm.resultado=0,"",_xlpm.resultado))</f>
        <v/>
      </c>
      <c r="Q381" s="172"/>
      <c r="R381" s="68"/>
      <c r="S381" s="69"/>
      <c r="T381" s="70"/>
    </row>
    <row r="382" spans="1:20" ht="33.75" customHeight="1" x14ac:dyDescent="0.3">
      <c r="A382" s="60" t="str">
        <f>IFERROR(VLOOKUP(Libromaestro[[#This Row],[MACROPROCESO]],Tabla1[],2,FALSE),"")</f>
        <v>Corportativa</v>
      </c>
      <c r="B382" s="98" t="s">
        <v>38</v>
      </c>
      <c r="C382" s="103" t="s">
        <v>26</v>
      </c>
      <c r="D382" s="103" t="s">
        <v>16</v>
      </c>
      <c r="E382"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382"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82" s="103">
        <v>23</v>
      </c>
      <c r="H382" s="60" t="str">
        <f>_xlfn.CONCAT(Libromaestro[[#This Row],[SIGLAS]],"-",Libromaestro[[#This Row],[T. DOC]],"-",Libromaestro[[#This Row],[CONSECUTIVO]])</f>
        <v>M-FT-23</v>
      </c>
      <c r="I382" s="98" t="s">
        <v>459</v>
      </c>
      <c r="J382" s="103">
        <v>1</v>
      </c>
      <c r="K382" s="64" t="str">
        <f>_xlfn.XLOOKUP(Libromaestro[[#This Row],[CODIGO DEL DOCUMENTO]],Arreglo_Binaps[Codigo Documento],Arreglo_Binaps[Estado],"No creado",0)</f>
        <v>Aprobado</v>
      </c>
      <c r="L382" s="66" t="str">
        <f>_xlfn.XLOOKUP(Libromaestro[[#This Row],[CODIGO DEL DOCUMENTO]],Arreglo_Binaps[Codigo Documento],Arreglo_Binaps[Fecha de creación],"",0,1)</f>
        <v>2024-01-26</v>
      </c>
      <c r="M382" s="93"/>
      <c r="N38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46413</v>
      </c>
      <c r="O382"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46413</v>
      </c>
      <c r="P382" s="104">
        <f>_xlfn.LET(_xlpm.resultado,_xlfn.XLOOKUP(Libromaestro[[#This Row],[CODIGO DEL DOCUMENTO]],Arreglo_Binaps[Codigo Documento],Arreglo_Binaps[Fecha_Aprobacion],"",0,1),IF(_xlpm.resultado=0,"",_xlpm.resultado))</f>
        <v>45414</v>
      </c>
      <c r="Q382" s="181"/>
      <c r="R382" s="105"/>
      <c r="S382" s="106" t="s">
        <v>28</v>
      </c>
      <c r="T382" s="98" t="s">
        <v>211</v>
      </c>
    </row>
    <row r="383" spans="1:20" ht="33.75" customHeight="1" x14ac:dyDescent="0.3">
      <c r="A383" s="60" t="str">
        <f>IFERROR(VLOOKUP(Libromaestro[[#This Row],[MACROPROCESO]],Tabla1[],2,FALSE),"")</f>
        <v>Suministros</v>
      </c>
      <c r="B383" s="98" t="s">
        <v>45</v>
      </c>
      <c r="C383" s="103" t="s">
        <v>36</v>
      </c>
      <c r="D383" s="103" t="s">
        <v>27</v>
      </c>
      <c r="E383"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83"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83" s="103">
        <v>17</v>
      </c>
      <c r="H383" s="60" t="str">
        <f>_xlfn.CONCAT(Libromaestro[[#This Row],[SIGLAS]],"-",Libromaestro[[#This Row],[T. DOC]],"-",Libromaestro[[#This Row],[CONSECUTIVO]])</f>
        <v>S-IN-17</v>
      </c>
      <c r="I383" s="98" t="s">
        <v>420</v>
      </c>
      <c r="J383" s="103">
        <v>1</v>
      </c>
      <c r="K383" s="64" t="str">
        <f>_xlfn.XLOOKUP(Libromaestro[[#This Row],[CODIGO DEL DOCUMENTO]],Arreglo_Binaps[Codigo Documento],Arreglo_Binaps[Estado],"No creado",0)</f>
        <v>Aprobado</v>
      </c>
      <c r="L383" s="66" t="str">
        <f>_xlfn.XLOOKUP(Libromaestro[[#This Row],[CODIGO DEL DOCUMENTO]],Arreglo_Binaps[Codigo Documento],Arreglo_Binaps[Fecha de creación],"",0,1)</f>
        <v>2025-04-22</v>
      </c>
      <c r="M383" s="93"/>
      <c r="N38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46865</v>
      </c>
      <c r="O383"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46865</v>
      </c>
      <c r="P383" s="104">
        <f>_xlfn.LET(_xlpm.resultado,_xlfn.XLOOKUP(Libromaestro[[#This Row],[CODIGO DEL DOCUMENTO]],Arreglo_Binaps[Codigo Documento],Arreglo_Binaps[Fecha_Aprobacion],"",0,1),IF(_xlpm.resultado=0,"",_xlpm.resultado))</f>
        <v>45917</v>
      </c>
      <c r="Q383" s="181"/>
      <c r="R383" s="105"/>
      <c r="S383" s="106"/>
      <c r="T383" s="98"/>
    </row>
    <row r="384" spans="1:20" ht="33.75" customHeight="1" x14ac:dyDescent="0.3">
      <c r="A384" s="60" t="str">
        <f>IFERROR(VLOOKUP(Libromaestro[[#This Row],[MACROPROCESO]],Tabla1[],2,FALSE),"")</f>
        <v>Alumbrado Público</v>
      </c>
      <c r="B384" s="98" t="s">
        <v>7</v>
      </c>
      <c r="C384" s="103" t="s">
        <v>56</v>
      </c>
      <c r="D384" s="103" t="s">
        <v>16</v>
      </c>
      <c r="E384"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384"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84" s="103">
        <v>24</v>
      </c>
      <c r="H384" s="60" t="str">
        <f>_xlfn.CONCAT(Libromaestro[[#This Row],[SIGLAS]],"-",Libromaestro[[#This Row],[T. DOC]],"-",Libromaestro[[#This Row],[CONSECUTIVO]])</f>
        <v>A-FT-24</v>
      </c>
      <c r="I384" s="98" t="s">
        <v>461</v>
      </c>
      <c r="J384" s="103">
        <v>2</v>
      </c>
      <c r="K384" s="64" t="str">
        <f>_xlfn.XLOOKUP(Libromaestro[[#This Row],[CODIGO DEL DOCUMENTO]],Arreglo_Binaps[Codigo Documento],Arreglo_Binaps[Estado],"No creado",0)</f>
        <v>Aprobado</v>
      </c>
      <c r="L384" s="66" t="str">
        <f>_xlfn.XLOOKUP(Libromaestro[[#This Row],[CODIGO DEL DOCUMENTO]],Arreglo_Binaps[Codigo Documento],Arreglo_Binaps[Fecha de creación],"",0,1)</f>
        <v>2020-01-29</v>
      </c>
      <c r="M384" s="93">
        <v>44958</v>
      </c>
      <c r="N38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46054</v>
      </c>
      <c r="O384"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46054</v>
      </c>
      <c r="P384" s="104">
        <f>_xlfn.LET(_xlpm.resultado,_xlfn.XLOOKUP(Libromaestro[[#This Row],[CODIGO DEL DOCUMENTO]],Arreglo_Binaps[Codigo Documento],Arreglo_Binaps[Fecha_Aprobacion],"",0,1),IF(_xlpm.resultado=0,"",_xlpm.resultado))</f>
        <v>43859</v>
      </c>
      <c r="Q384" s="181"/>
      <c r="R384" s="105"/>
      <c r="S384" s="106" t="s">
        <v>28</v>
      </c>
      <c r="T384" s="98" t="s">
        <v>462</v>
      </c>
    </row>
    <row r="385" spans="1:20" ht="33.75" customHeight="1" x14ac:dyDescent="0.3">
      <c r="A385" s="60" t="str">
        <f>IFERROR(VLOOKUP(Libromaestro[[#This Row],[MACROPROCESO]],Tabla1[],2,FALSE),"")</f>
        <v>Corportativa</v>
      </c>
      <c r="B385" s="98" t="s">
        <v>32</v>
      </c>
      <c r="C385" s="103" t="s">
        <v>59</v>
      </c>
      <c r="D385" s="103" t="s">
        <v>16</v>
      </c>
      <c r="E385"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85"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85" s="103">
        <v>24</v>
      </c>
      <c r="H385" s="60" t="str">
        <f>_xlfn.CONCAT(Libromaestro[[#This Row],[SIGLAS]],"-",Libromaestro[[#This Row],[T. DOC]],"-",Libromaestro[[#This Row],[CONSECUTIVO]])</f>
        <v>H-FT-24</v>
      </c>
      <c r="I385" s="70" t="s">
        <v>463</v>
      </c>
      <c r="J385" s="60">
        <v>3</v>
      </c>
      <c r="K385" s="64" t="str">
        <f>_xlfn.XLOOKUP(Libromaestro[[#This Row],[CODIGO DEL DOCUMENTO]],Arreglo_Binaps[Codigo Documento],Arreglo_Binaps[Estado],"No creado",0)</f>
        <v>Aprobado</v>
      </c>
      <c r="L385" s="66" t="str">
        <f>_xlfn.XLOOKUP(Libromaestro[[#This Row],[CODIGO DEL DOCUMENTO]],Arreglo_Binaps[Codigo Documento],Arreglo_Binaps[Fecha de creación],"",0,1)</f>
        <v>2020-11-23</v>
      </c>
      <c r="M385" s="93">
        <v>45806</v>
      </c>
      <c r="N38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O385"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P385" s="104">
        <f>_xlfn.LET(_xlpm.resultado,_xlfn.XLOOKUP(Libromaestro[[#This Row],[CODIGO DEL DOCUMENTO]],Arreglo_Binaps[Codigo Documento],Arreglo_Binaps[Fecha_Aprobacion],"",0,1),IF(_xlpm.resultado=0,"",_xlpm.resultado))</f>
        <v>45877</v>
      </c>
      <c r="Q385" s="181"/>
      <c r="R385" s="105"/>
      <c r="S385" s="106" t="s">
        <v>11</v>
      </c>
      <c r="T385" s="98"/>
    </row>
    <row r="386" spans="1:20" s="13" customFormat="1" ht="33.75" customHeight="1" x14ac:dyDescent="0.3">
      <c r="A386" s="60" t="str">
        <f>IFERROR(VLOOKUP(Libromaestro[[#This Row],[MACROPROCESO]],Tabla1[],2,FALSE),"")</f>
        <v>Corportativa</v>
      </c>
      <c r="B386" s="70" t="s">
        <v>32</v>
      </c>
      <c r="C386" s="60" t="s">
        <v>51</v>
      </c>
      <c r="D386" s="60" t="s">
        <v>34</v>
      </c>
      <c r="E386"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86"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386" s="60">
        <v>24</v>
      </c>
      <c r="H386" s="60" t="str">
        <f>_xlfn.CONCAT(Libromaestro[[#This Row],[SIGLAS]],"-",Libromaestro[[#This Row],[T. DOC]],"-",Libromaestro[[#This Row],[CONSECUTIVO]])</f>
        <v>H-PR-24</v>
      </c>
      <c r="I386" s="98" t="s">
        <v>464</v>
      </c>
      <c r="J386" s="60">
        <v>1</v>
      </c>
      <c r="K386" s="64" t="str">
        <f>_xlfn.XLOOKUP(Libromaestro[[#This Row],[CODIGO DEL DOCUMENTO]],Arreglo_Binaps[Codigo Documento],Arreglo_Binaps[Estado],"No creado",0)</f>
        <v>No creado</v>
      </c>
      <c r="L386" s="66" t="str">
        <f>_xlfn.XLOOKUP(Libromaestro[[#This Row],[CODIGO DEL DOCUMENTO]],Arreglo_Binaps[Codigo Documento],Arreglo_Binaps[Fecha de creación],"",0,1)</f>
        <v/>
      </c>
      <c r="M386" s="66"/>
      <c r="N386"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386"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386" s="67" t="str">
        <f>_xlfn.LET(_xlpm.resultado,_xlfn.XLOOKUP(Libromaestro[[#This Row],[CODIGO DEL DOCUMENTO]],Arreglo_Binaps[Codigo Documento],Arreglo_Binaps[Fecha_Aprobacion],"",0,1),IF(_xlpm.resultado=0,"",_xlpm.resultado))</f>
        <v/>
      </c>
      <c r="Q386" s="172"/>
      <c r="R386" s="68"/>
      <c r="S386" s="69"/>
      <c r="T386" s="70"/>
    </row>
    <row r="387" spans="1:20" ht="33.75" customHeight="1" x14ac:dyDescent="0.3">
      <c r="A387" s="60" t="str">
        <f>IFERROR(VLOOKUP(Libromaestro[[#This Row],[MACROPROCESO]],Tabla1[],2,FALSE),"")</f>
        <v>Corportativa</v>
      </c>
      <c r="B387" s="98" t="s">
        <v>38</v>
      </c>
      <c r="C387" s="103" t="s">
        <v>39</v>
      </c>
      <c r="D387" s="103" t="s">
        <v>16</v>
      </c>
      <c r="E387"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387"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87" s="103">
        <v>24</v>
      </c>
      <c r="H387" s="60" t="str">
        <f>_xlfn.CONCAT(Libromaestro[[#This Row],[SIGLAS]],"-",Libromaestro[[#This Row],[T. DOC]],"-",Libromaestro[[#This Row],[CONSECUTIVO]])</f>
        <v>M-FT-24</v>
      </c>
      <c r="I387" s="98" t="s">
        <v>465</v>
      </c>
      <c r="J387" s="103">
        <v>2</v>
      </c>
      <c r="K387" s="64" t="str">
        <f>_xlfn.XLOOKUP(Libromaestro[[#This Row],[CODIGO DEL DOCUMENTO]],Arreglo_Binaps[Codigo Documento],Arreglo_Binaps[Estado],"No creado",0)</f>
        <v>Aprobado</v>
      </c>
      <c r="L387" s="66" t="str">
        <f>_xlfn.XLOOKUP(Libromaestro[[#This Row],[CODIGO DEL DOCUMENTO]],Arreglo_Binaps[Codigo Documento],Arreglo_Binaps[Fecha de creación],"",0,1)</f>
        <v>2025-02-07</v>
      </c>
      <c r="M387" s="93">
        <v>45990</v>
      </c>
      <c r="N38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47086</v>
      </c>
      <c r="O387"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47086</v>
      </c>
      <c r="P387" s="104">
        <f>_xlfn.LET(_xlpm.resultado,_xlfn.XLOOKUP(Libromaestro[[#This Row],[CODIGO DEL DOCUMENTO]],Arreglo_Binaps[Codigo Documento],Arreglo_Binaps[Fecha_Aprobacion],"",0,1),IF(_xlpm.resultado=0,"",_xlpm.resultado))</f>
        <v>46083</v>
      </c>
      <c r="Q387" s="181" t="s">
        <v>466</v>
      </c>
      <c r="R387" s="105"/>
      <c r="S387" s="106" t="s">
        <v>28</v>
      </c>
      <c r="T387" s="98"/>
    </row>
    <row r="388" spans="1:20" s="30" customFormat="1" ht="33.75" customHeight="1" x14ac:dyDescent="0.3">
      <c r="A388" s="60" t="str">
        <f>IFERROR(VLOOKUP(Libromaestro[[#This Row],[MACROPROCESO]],Tabla1[],2,FALSE),"")</f>
        <v>Suministros</v>
      </c>
      <c r="B388" s="98" t="s">
        <v>45</v>
      </c>
      <c r="C388" s="103" t="s">
        <v>36</v>
      </c>
      <c r="D388" s="103" t="s">
        <v>27</v>
      </c>
      <c r="E388"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88"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88" s="103">
        <v>18</v>
      </c>
      <c r="H388" s="60" t="str">
        <f>_xlfn.CONCAT(Libromaestro[[#This Row],[SIGLAS]],"-",Libromaestro[[#This Row],[T. DOC]],"-",Libromaestro[[#This Row],[CONSECUTIVO]])</f>
        <v>S-IN-18</v>
      </c>
      <c r="I388" s="98" t="s">
        <v>428</v>
      </c>
      <c r="J388" s="103">
        <v>1</v>
      </c>
      <c r="K388" s="64" t="str">
        <f>_xlfn.XLOOKUP(Libromaestro[[#This Row],[CODIGO DEL DOCUMENTO]],Arreglo_Binaps[Codigo Documento],Arreglo_Binaps[Estado],"No creado",0)</f>
        <v>Aprobado</v>
      </c>
      <c r="L388" s="66" t="str">
        <f>_xlfn.XLOOKUP(Libromaestro[[#This Row],[CODIGO DEL DOCUMENTO]],Arreglo_Binaps[Codigo Documento],Arreglo_Binaps[Fecha de creación],"",0,1)</f>
        <v>2025-04-21</v>
      </c>
      <c r="M388" s="93"/>
      <c r="N38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46864</v>
      </c>
      <c r="O388"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46864</v>
      </c>
      <c r="P388" s="104">
        <f>_xlfn.LET(_xlpm.resultado,_xlfn.XLOOKUP(Libromaestro[[#This Row],[CODIGO DEL DOCUMENTO]],Arreglo_Binaps[Codigo Documento],Arreglo_Binaps[Fecha_Aprobacion],"",0,1),IF(_xlpm.resultado=0,"",_xlpm.resultado))</f>
        <v>45917</v>
      </c>
      <c r="Q388" s="221"/>
      <c r="R388" s="106"/>
      <c r="S388" s="53"/>
      <c r="T388" s="59"/>
    </row>
    <row r="389" spans="1:20" ht="33.75" customHeight="1" x14ac:dyDescent="0.3">
      <c r="A389" s="60" t="str">
        <f>IFERROR(VLOOKUP(Libromaestro[[#This Row],[MACROPROCESO]],Tabla1[],2,FALSE),"")</f>
        <v>Corporativa</v>
      </c>
      <c r="B389" s="98" t="s">
        <v>13</v>
      </c>
      <c r="C389" s="103" t="s">
        <v>55</v>
      </c>
      <c r="D389" s="103" t="s">
        <v>16</v>
      </c>
      <c r="E389"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389"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89" s="103">
        <v>25</v>
      </c>
      <c r="H389" s="60" t="str">
        <f>_xlfn.CONCAT(Libromaestro[[#This Row],[SIGLAS]],"-",Libromaestro[[#This Row],[T. DOC]],"-",Libromaestro[[#This Row],[CONSECUTIVO]])</f>
        <v>D-FT-25</v>
      </c>
      <c r="I389" s="108" t="s">
        <v>468</v>
      </c>
      <c r="J389" s="103">
        <v>1</v>
      </c>
      <c r="K389" s="64" t="str">
        <f>_xlfn.XLOOKUP(Libromaestro[[#This Row],[CODIGO DEL DOCUMENTO]],Arreglo_Binaps[Codigo Documento],Arreglo_Binaps[Estado],"No creado",0)</f>
        <v>Aprobado</v>
      </c>
      <c r="L389" s="66" t="str">
        <f>_xlfn.XLOOKUP(Libromaestro[[#This Row],[CODIGO DEL DOCUMENTO]],Arreglo_Binaps[Codigo Documento],Arreglo_Binaps[Fecha de creación],"",0,1)</f>
        <v>2025-01-23</v>
      </c>
      <c r="M389" s="93"/>
      <c r="N38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46775</v>
      </c>
      <c r="O389"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46775</v>
      </c>
      <c r="P389" s="104">
        <f>_xlfn.LET(_xlpm.resultado,_xlfn.XLOOKUP(Libromaestro[[#This Row],[CODIGO DEL DOCUMENTO]],Arreglo_Binaps[Codigo Documento],Arreglo_Binaps[Fecha_Aprobacion],"",0,1),IF(_xlpm.resultado=0,"",_xlpm.resultado))</f>
        <v>46183</v>
      </c>
      <c r="Q389" s="181"/>
      <c r="R389" s="105"/>
      <c r="S389" s="106" t="s">
        <v>28</v>
      </c>
      <c r="T389" s="98"/>
    </row>
    <row r="390" spans="1:20" ht="33.75" customHeight="1" x14ac:dyDescent="0.3">
      <c r="A390" s="60" t="str">
        <f>IFERROR(VLOOKUP(Libromaestro[[#This Row],[MACROPROCESO]],Tabla1[],2,FALSE),"")</f>
        <v>Alumbrado Público</v>
      </c>
      <c r="B390" s="98" t="s">
        <v>7</v>
      </c>
      <c r="C390" s="103" t="s">
        <v>15</v>
      </c>
      <c r="D390" s="103" t="s">
        <v>16</v>
      </c>
      <c r="E390"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390"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90" s="103">
        <v>25</v>
      </c>
      <c r="H390" s="60" t="str">
        <f>_xlfn.CONCAT(Libromaestro[[#This Row],[SIGLAS]],"-",Libromaestro[[#This Row],[T. DOC]],"-",Libromaestro[[#This Row],[CONSECUTIVO]])</f>
        <v>A-FT-25</v>
      </c>
      <c r="I390" s="98" t="s">
        <v>469</v>
      </c>
      <c r="J390" s="103">
        <v>1</v>
      </c>
      <c r="K390" s="64" t="str">
        <f>_xlfn.XLOOKUP(Libromaestro[[#This Row],[CODIGO DEL DOCUMENTO]],Arreglo_Binaps[Codigo Documento],Arreglo_Binaps[Estado],"No creado",0)</f>
        <v>Aprobado</v>
      </c>
      <c r="L390" s="66" t="str">
        <f>_xlfn.XLOOKUP(Libromaestro[[#This Row],[CODIGO DEL DOCUMENTO]],Arreglo_Binaps[Codigo Documento],Arreglo_Binaps[Fecha de creación],"",0,1)</f>
        <v>2023-03-17</v>
      </c>
      <c r="M390" s="93"/>
      <c r="N39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46098</v>
      </c>
      <c r="O390"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46098</v>
      </c>
      <c r="P390" s="104">
        <f>_xlfn.LET(_xlpm.resultado,_xlfn.XLOOKUP(Libromaestro[[#This Row],[CODIGO DEL DOCUMENTO]],Arreglo_Binaps[Codigo Documento],Arreglo_Binaps[Fecha_Aprobacion],"",0,1),IF(_xlpm.resultado=0,"",_xlpm.resultado))</f>
        <v>45217</v>
      </c>
      <c r="Q390" s="181"/>
      <c r="R390" s="105"/>
      <c r="S390" s="106" t="s">
        <v>28</v>
      </c>
      <c r="T390" s="98"/>
    </row>
    <row r="391" spans="1:20" ht="33.75" customHeight="1" x14ac:dyDescent="0.3">
      <c r="A391" s="60" t="str">
        <f>IFERROR(VLOOKUP(Libromaestro[[#This Row],[MACROPROCESO]],Tabla1[],2,FALSE),"")</f>
        <v>Corportativa</v>
      </c>
      <c r="B391" s="98" t="s">
        <v>32</v>
      </c>
      <c r="C391" s="103" t="s">
        <v>51</v>
      </c>
      <c r="D391" s="103" t="s">
        <v>16</v>
      </c>
      <c r="E391"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91"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91" s="103">
        <v>25</v>
      </c>
      <c r="H391" s="60" t="str">
        <f>_xlfn.CONCAT(Libromaestro[[#This Row],[SIGLAS]],"-",Libromaestro[[#This Row],[T. DOC]],"-",Libromaestro[[#This Row],[CONSECUTIVO]])</f>
        <v>H-FT-25</v>
      </c>
      <c r="I391" s="98" t="s">
        <v>470</v>
      </c>
      <c r="J391" s="103">
        <v>1</v>
      </c>
      <c r="K391" s="64" t="str">
        <f>_xlfn.XLOOKUP(Libromaestro[[#This Row],[CODIGO DEL DOCUMENTO]],Arreglo_Binaps[Codigo Documento],Arreglo_Binaps[Estado],"No creado",0)</f>
        <v>Aprobado</v>
      </c>
      <c r="L391" s="66" t="str">
        <f>_xlfn.XLOOKUP(Libromaestro[[#This Row],[CODIGO DEL DOCUMENTO]],Arreglo_Binaps[Codigo Documento],Arreglo_Binaps[Fecha de creación],"",0,1)</f>
        <v>2025-11-21</v>
      </c>
      <c r="M391" s="93"/>
      <c r="N39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47078</v>
      </c>
      <c r="O391"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47078</v>
      </c>
      <c r="P391" s="104">
        <f>_xlfn.LET(_xlpm.resultado,_xlfn.XLOOKUP(Libromaestro[[#This Row],[CODIGO DEL DOCUMENTO]],Arreglo_Binaps[Codigo Documento],Arreglo_Binaps[Fecha_Aprobacion],"",0,1),IF(_xlpm.resultado=0,"",_xlpm.resultado))</f>
        <v>46093</v>
      </c>
      <c r="Q391" s="181"/>
      <c r="R391" s="105"/>
      <c r="S391" s="106"/>
      <c r="T391" s="98"/>
    </row>
    <row r="392" spans="1:20" ht="33.75" customHeight="1" x14ac:dyDescent="0.3">
      <c r="A392" s="60" t="str">
        <f>IFERROR(VLOOKUP(Libromaestro[[#This Row],[MACROPROCESO]],Tabla1[],2,FALSE),"")</f>
        <v>Corportativa</v>
      </c>
      <c r="B392" s="98" t="s">
        <v>32</v>
      </c>
      <c r="C392" s="103" t="s">
        <v>59</v>
      </c>
      <c r="D392" s="103" t="s">
        <v>31</v>
      </c>
      <c r="E392"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92"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392" s="103">
        <v>2</v>
      </c>
      <c r="H392" s="60" t="str">
        <f>_xlfn.CONCAT(Libromaestro[[#This Row],[SIGLAS]],"-",Libromaestro[[#This Row],[T. DOC]],"-",Libromaestro[[#This Row],[CONSECUTIVO]])</f>
        <v>H-MA-2</v>
      </c>
      <c r="I392" s="98" t="s">
        <v>471</v>
      </c>
      <c r="J392" s="103">
        <v>1</v>
      </c>
      <c r="K392" s="64" t="str">
        <f>_xlfn.XLOOKUP(Libromaestro[[#This Row],[CODIGO DEL DOCUMENTO]],Arreglo_Binaps[Codigo Documento],Arreglo_Binaps[Estado],"No creado",0)</f>
        <v>No creado</v>
      </c>
      <c r="L392" s="66" t="str">
        <f>_xlfn.XLOOKUP(Libromaestro[[#This Row],[CODIGO DEL DOCUMENTO]],Arreglo_Binaps[Codigo Documento],Arreglo_Binaps[Fecha de creación],"",0,1)</f>
        <v/>
      </c>
      <c r="M392" s="93"/>
      <c r="N392"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392" s="93"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392" s="104" t="str">
        <f>_xlfn.LET(_xlpm.resultado,_xlfn.XLOOKUP(Libromaestro[[#This Row],[CODIGO DEL DOCUMENTO]],Arreglo_Binaps[Codigo Documento],Arreglo_Binaps[Fecha_Aprobacion],"",0,1),IF(_xlpm.resultado=0,"",_xlpm.resultado))</f>
        <v/>
      </c>
      <c r="Q392" s="181"/>
      <c r="R392" s="105"/>
      <c r="S392" s="106"/>
      <c r="T392" s="98"/>
    </row>
    <row r="393" spans="1:20" ht="33.75" customHeight="1" x14ac:dyDescent="0.3">
      <c r="A393" s="60" t="str">
        <f>IFERROR(VLOOKUP(Libromaestro[[#This Row],[MACROPROCESO]],Tabla1[],2,FALSE),"")</f>
        <v>Corportativa</v>
      </c>
      <c r="B393" s="98" t="s">
        <v>38</v>
      </c>
      <c r="C393" s="103" t="s">
        <v>39</v>
      </c>
      <c r="D393" s="103" t="s">
        <v>16</v>
      </c>
      <c r="E393"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393"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93" s="103">
        <v>25</v>
      </c>
      <c r="H393" s="60" t="str">
        <f>_xlfn.CONCAT(Libromaestro[[#This Row],[SIGLAS]],"-",Libromaestro[[#This Row],[T. DOC]],"-",Libromaestro[[#This Row],[CONSECUTIVO]])</f>
        <v>M-FT-25</v>
      </c>
      <c r="I393" s="98" t="s">
        <v>472</v>
      </c>
      <c r="J393" s="103">
        <v>1</v>
      </c>
      <c r="K393" s="64" t="str">
        <f>_xlfn.XLOOKUP(Libromaestro[[#This Row],[CODIGO DEL DOCUMENTO]],Arreglo_Binaps[Codigo Documento],Arreglo_Binaps[Estado],"No creado",0)</f>
        <v>Aprobado</v>
      </c>
      <c r="L393" s="66" t="str">
        <f>_xlfn.XLOOKUP(Libromaestro[[#This Row],[CODIGO DEL DOCUMENTO]],Arreglo_Binaps[Codigo Documento],Arreglo_Binaps[Fecha de creación],"",0,1)</f>
        <v>2025-02-06</v>
      </c>
      <c r="M393" s="93"/>
      <c r="N39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46789</v>
      </c>
      <c r="O393"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46789</v>
      </c>
      <c r="P393" s="104">
        <f>_xlfn.LET(_xlpm.resultado,_xlfn.XLOOKUP(Libromaestro[[#This Row],[CODIGO DEL DOCUMENTO]],Arreglo_Binaps[Codigo Documento],Arreglo_Binaps[Fecha_Aprobacion],"",0,1),IF(_xlpm.resultado=0,"",_xlpm.resultado))</f>
        <v>45695</v>
      </c>
      <c r="Q393" s="181"/>
      <c r="R393" s="105"/>
      <c r="S393" s="106"/>
      <c r="T393" s="98"/>
    </row>
    <row r="394" spans="1:20" ht="33.75" customHeight="1" x14ac:dyDescent="0.3">
      <c r="A394" s="60" t="str">
        <f>IFERROR(VLOOKUP(Libromaestro[[#This Row],[MACROPROCESO]],Tabla1[],2,FALSE),"")</f>
        <v>Suministros</v>
      </c>
      <c r="B394" s="70" t="s">
        <v>45</v>
      </c>
      <c r="C394" s="60" t="s">
        <v>36</v>
      </c>
      <c r="D394" s="60" t="s">
        <v>27</v>
      </c>
      <c r="E394"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94"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94" s="60">
        <v>19</v>
      </c>
      <c r="H394" s="60" t="str">
        <f>_xlfn.CONCAT(Libromaestro[[#This Row],[SIGLAS]],"-",Libromaestro[[#This Row],[T. DOC]],"-",Libromaestro[[#This Row],[CONSECUTIVO]])</f>
        <v>S-IN-19</v>
      </c>
      <c r="I394" s="98" t="s">
        <v>436</v>
      </c>
      <c r="J394" s="60">
        <v>1</v>
      </c>
      <c r="K394" s="64" t="str">
        <f>_xlfn.XLOOKUP(Libromaestro[[#This Row],[CODIGO DEL DOCUMENTO]],Arreglo_Binaps[Codigo Documento],Arreglo_Binaps[Estado],"No creado",0)</f>
        <v>Aprobado</v>
      </c>
      <c r="L394" s="66" t="str">
        <f>_xlfn.XLOOKUP(Libromaestro[[#This Row],[CODIGO DEL DOCUMENTO]],Arreglo_Binaps[Codigo Documento],Arreglo_Binaps[Fecha de creación],"",0,1)</f>
        <v>2025-03-10</v>
      </c>
      <c r="M394" s="66"/>
      <c r="N39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46822</v>
      </c>
      <c r="O39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46822</v>
      </c>
      <c r="P394" s="67">
        <f>_xlfn.LET(_xlpm.resultado,_xlfn.XLOOKUP(Libromaestro[[#This Row],[CODIGO DEL DOCUMENTO]],Arreglo_Binaps[Codigo Documento],Arreglo_Binaps[Fecha_Aprobacion],"",0,1),IF(_xlpm.resultado=0,"",_xlpm.resultado))</f>
        <v>45783</v>
      </c>
      <c r="Q394" s="172"/>
      <c r="R394" s="68"/>
      <c r="S394" s="69"/>
      <c r="T394" s="70"/>
    </row>
    <row r="395" spans="1:20" ht="33.75" customHeight="1" x14ac:dyDescent="0.3">
      <c r="A395" s="60" t="str">
        <f>IFERROR(VLOOKUP(Libromaestro[[#This Row],[MACROPROCESO]],Tabla1[],2,FALSE),"")</f>
        <v>Corporativa</v>
      </c>
      <c r="B395" s="98" t="s">
        <v>13</v>
      </c>
      <c r="C395" s="103" t="s">
        <v>50</v>
      </c>
      <c r="D395" s="103" t="s">
        <v>16</v>
      </c>
      <c r="E395"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395"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95" s="60">
        <v>26</v>
      </c>
      <c r="H395" s="60" t="str">
        <f>_xlfn.CONCAT(Libromaestro[[#This Row],[SIGLAS]],"-",Libromaestro[[#This Row],[T. DOC]],"-",Libromaestro[[#This Row],[CONSECUTIVO]])</f>
        <v>D-FT-26</v>
      </c>
      <c r="I395" s="70" t="s">
        <v>474</v>
      </c>
      <c r="J395" s="60">
        <v>1</v>
      </c>
      <c r="K395" s="64" t="str">
        <f>_xlfn.XLOOKUP(Libromaestro[[#This Row],[CODIGO DEL DOCUMENTO]],Arreglo_Binaps[Codigo Documento],Arreglo_Binaps[Estado],"No creado",0)</f>
        <v>Aprobado</v>
      </c>
      <c r="L395" s="66" t="str">
        <f>_xlfn.XLOOKUP(Libromaestro[[#This Row],[CODIGO DEL DOCUMENTO]],Arreglo_Binaps[Codigo Documento],Arreglo_Binaps[Fecha de creación],"",0,1)</f>
        <v>2025-05-14</v>
      </c>
      <c r="M395" s="66"/>
      <c r="N39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46887</v>
      </c>
      <c r="O39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46887</v>
      </c>
      <c r="P395" s="67">
        <f>_xlfn.LET(_xlpm.resultado,_xlfn.XLOOKUP(Libromaestro[[#This Row],[CODIGO DEL DOCUMENTO]],Arreglo_Binaps[Codigo Documento],Arreglo_Binaps[Fecha_Aprobacion],"",0,1),IF(_xlpm.resultado=0,"",_xlpm.resultado))</f>
        <v>45833</v>
      </c>
      <c r="Q395" s="172"/>
      <c r="R395" s="68"/>
      <c r="S395" s="69" t="s">
        <v>28</v>
      </c>
      <c r="T395" s="70"/>
    </row>
    <row r="396" spans="1:20" ht="33.75" customHeight="1" x14ac:dyDescent="0.3">
      <c r="A396" s="60" t="str">
        <f>IFERROR(VLOOKUP(Libromaestro[[#This Row],[MACROPROCESO]],Tabla1[],2,FALSE),"")</f>
        <v>Alumbrado Público</v>
      </c>
      <c r="B396" s="98" t="s">
        <v>7</v>
      </c>
      <c r="C396" s="103" t="s">
        <v>56</v>
      </c>
      <c r="D396" s="103" t="s">
        <v>16</v>
      </c>
      <c r="E396"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396"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96" s="103">
        <v>26</v>
      </c>
      <c r="H396" s="60" t="str">
        <f>_xlfn.CONCAT(Libromaestro[[#This Row],[SIGLAS]],"-",Libromaestro[[#This Row],[T. DOC]],"-",Libromaestro[[#This Row],[CONSECUTIVO]])</f>
        <v>A-FT-26</v>
      </c>
      <c r="I396" s="210" t="s">
        <v>475</v>
      </c>
      <c r="J396" s="103">
        <v>1</v>
      </c>
      <c r="K396" s="64" t="str">
        <f>_xlfn.XLOOKUP(Libromaestro[[#This Row],[CODIGO DEL DOCUMENTO]],Arreglo_Binaps[Codigo Documento],Arreglo_Binaps[Estado],"No creado",0)</f>
        <v>Aprobado</v>
      </c>
      <c r="L396" s="66" t="str">
        <f>_xlfn.XLOOKUP(Libromaestro[[#This Row],[CODIGO DEL DOCUMENTO]],Arreglo_Binaps[Codigo Documento],Arreglo_Binaps[Fecha de creación],"",0,1)</f>
        <v>2025-10-14</v>
      </c>
      <c r="M396" s="93">
        <v>45944</v>
      </c>
      <c r="N39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47040</v>
      </c>
      <c r="O396"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47040</v>
      </c>
      <c r="P396" s="104">
        <f>_xlfn.LET(_xlpm.resultado,_xlfn.XLOOKUP(Libromaestro[[#This Row],[CODIGO DEL DOCUMENTO]],Arreglo_Binaps[Codigo Documento],Arreglo_Binaps[Fecha_Aprobacion],"",0,1),IF(_xlpm.resultado=0,"",_xlpm.resultado))</f>
        <v>46154</v>
      </c>
      <c r="Q396" s="181"/>
      <c r="R396" s="105"/>
      <c r="S396" s="106"/>
      <c r="T396" s="98"/>
    </row>
    <row r="397" spans="1:20" ht="33.75" customHeight="1" x14ac:dyDescent="0.3">
      <c r="A397" s="60" t="str">
        <f>IFERROR(VLOOKUP(Libromaestro[[#This Row],[MACROPROCESO]],Tabla1[],2,FALSE),"")</f>
        <v>Corportativa</v>
      </c>
      <c r="B397" s="70" t="s">
        <v>32</v>
      </c>
      <c r="C397" s="60" t="s">
        <v>51</v>
      </c>
      <c r="D397" s="60" t="s">
        <v>16</v>
      </c>
      <c r="E397"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97"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397" s="60">
        <v>26</v>
      </c>
      <c r="H397" s="60" t="str">
        <f>_xlfn.CONCAT(Libromaestro[[#This Row],[SIGLAS]],"-",Libromaestro[[#This Row],[T. DOC]],"-",Libromaestro[[#This Row],[CONSECUTIVO]])</f>
        <v>H-FT-26</v>
      </c>
      <c r="I397" s="70" t="s">
        <v>476</v>
      </c>
      <c r="J397" s="60">
        <v>2</v>
      </c>
      <c r="K397" s="64" t="str">
        <f>_xlfn.XLOOKUP(Libromaestro[[#This Row],[CODIGO DEL DOCUMENTO]],Arreglo_Binaps[Codigo Documento],Arreglo_Binaps[Estado],"No creado",0)</f>
        <v>Aprobado</v>
      </c>
      <c r="L397" s="66" t="str">
        <f>_xlfn.XLOOKUP(Libromaestro[[#This Row],[CODIGO DEL DOCUMENTO]],Arreglo_Binaps[Codigo Documento],Arreglo_Binaps[Fecha de creación],"",0,1)</f>
        <v>2022-05-06</v>
      </c>
      <c r="M397" s="66">
        <v>44978</v>
      </c>
      <c r="N39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46074</v>
      </c>
      <c r="O39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46074</v>
      </c>
      <c r="P397" s="67">
        <f>_xlfn.LET(_xlpm.resultado,_xlfn.XLOOKUP(Libromaestro[[#This Row],[CODIGO DEL DOCUMENTO]],Arreglo_Binaps[Codigo Documento],Arreglo_Binaps[Fecha_Aprobacion],"",0,1),IF(_xlpm.resultado=0,"",_xlpm.resultado))</f>
        <v>44687</v>
      </c>
      <c r="Q397" s="172" t="s">
        <v>477</v>
      </c>
      <c r="R397" s="68"/>
      <c r="S397" s="69" t="s">
        <v>23</v>
      </c>
      <c r="T397" s="70"/>
    </row>
    <row r="398" spans="1:20" ht="33.75" customHeight="1" x14ac:dyDescent="0.3">
      <c r="A398" s="60" t="str">
        <f>IFERROR(VLOOKUP(Libromaestro[[#This Row],[MACROPROCESO]],Tabla1[],2,FALSE),"")</f>
        <v>Corportativa</v>
      </c>
      <c r="B398" s="98" t="s">
        <v>32</v>
      </c>
      <c r="C398" s="103" t="s">
        <v>59</v>
      </c>
      <c r="D398" s="103" t="s">
        <v>34</v>
      </c>
      <c r="E398"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398"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398" s="103">
        <v>8</v>
      </c>
      <c r="H398" s="60" t="str">
        <f>_xlfn.CONCAT(Libromaestro[[#This Row],[SIGLAS]],"-",Libromaestro[[#This Row],[T. DOC]],"-",Libromaestro[[#This Row],[CONSECUTIVO]])</f>
        <v>H-PR-8</v>
      </c>
      <c r="I398" s="98" t="s">
        <v>554</v>
      </c>
      <c r="J398" s="103">
        <v>1</v>
      </c>
      <c r="K398" s="64" t="str">
        <f>_xlfn.XLOOKUP(Libromaestro[[#This Row],[CODIGO DEL DOCUMENTO]],Arreglo_Binaps[Codigo Documento],Arreglo_Binaps[Estado],"No creado",0)</f>
        <v>Aprobado</v>
      </c>
      <c r="L398" s="66" t="str">
        <f>_xlfn.XLOOKUP(Libromaestro[[#This Row],[CODIGO DEL DOCUMENTO]],Arreglo_Binaps[Codigo Documento],Arreglo_Binaps[Fecha de creación],"",0,1)</f>
        <v>2025-01-22</v>
      </c>
      <c r="M398" s="93"/>
      <c r="N39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46774</v>
      </c>
      <c r="O398"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46774</v>
      </c>
      <c r="P398" s="104">
        <f>_xlfn.LET(_xlpm.resultado,_xlfn.XLOOKUP(Libromaestro[[#This Row],[CODIGO DEL DOCUMENTO]],Arreglo_Binaps[Codigo Documento],Arreglo_Binaps[Fecha_Aprobacion],"",0,1),IF(_xlpm.resultado=0,"",_xlpm.resultado))</f>
        <v>45877</v>
      </c>
      <c r="Q398" s="181"/>
      <c r="R398" s="105"/>
      <c r="S398" s="106"/>
      <c r="T398" s="98"/>
    </row>
    <row r="399" spans="1:20" ht="33.75" customHeight="1" x14ac:dyDescent="0.3">
      <c r="A399" s="60" t="str">
        <f>IFERROR(VLOOKUP(Libromaestro[[#This Row],[MACROPROCESO]],Tabla1[],2,FALSE),"")</f>
        <v>Suministros</v>
      </c>
      <c r="B399" s="98" t="s">
        <v>45</v>
      </c>
      <c r="C399" s="103" t="s">
        <v>30</v>
      </c>
      <c r="D399" s="103" t="s">
        <v>27</v>
      </c>
      <c r="E399"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399"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399" s="103">
        <v>20</v>
      </c>
      <c r="H399" s="60" t="str">
        <f>_xlfn.CONCAT(Libromaestro[[#This Row],[SIGLAS]],"-",Libromaestro[[#This Row],[T. DOC]],"-",Libromaestro[[#This Row],[CONSECUTIVO]])</f>
        <v>S-IN-20</v>
      </c>
      <c r="I399" s="70" t="s">
        <v>442</v>
      </c>
      <c r="J399" s="103">
        <v>1</v>
      </c>
      <c r="K399" s="64" t="str">
        <f>_xlfn.XLOOKUP(Libromaestro[[#This Row],[CODIGO DEL DOCUMENTO]],Arreglo_Binaps[Codigo Documento],Arreglo_Binaps[Estado],"No creado",0)</f>
        <v>Aprobado</v>
      </c>
      <c r="L399" s="66" t="str">
        <f>_xlfn.XLOOKUP(Libromaestro[[#This Row],[CODIGO DEL DOCUMENTO]],Arreglo_Binaps[Codigo Documento],Arreglo_Binaps[Fecha de creación],"",0,1)</f>
        <v>2025-03-10</v>
      </c>
      <c r="M399" s="93"/>
      <c r="N39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46822</v>
      </c>
      <c r="O399"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46822</v>
      </c>
      <c r="P399" s="104">
        <f>_xlfn.LET(_xlpm.resultado,_xlfn.XLOOKUP(Libromaestro[[#This Row],[CODIGO DEL DOCUMENTO]],Arreglo_Binaps[Codigo Documento],Arreglo_Binaps[Fecha_Aprobacion],"",0,1),IF(_xlpm.resultado=0,"",_xlpm.resultado))</f>
        <v>45783</v>
      </c>
      <c r="Q399" s="181"/>
      <c r="R399" s="105"/>
      <c r="S399" s="106"/>
      <c r="T399" s="98"/>
    </row>
    <row r="400" spans="1:20" ht="33.75" customHeight="1" x14ac:dyDescent="0.3">
      <c r="A400" s="60" t="str">
        <f>IFERROR(VLOOKUP(Libromaestro[[#This Row],[MACROPROCESO]],Tabla1[],2,FALSE),"")</f>
        <v>Corporativa</v>
      </c>
      <c r="B400" s="98" t="s">
        <v>13</v>
      </c>
      <c r="C400" s="103" t="s">
        <v>50</v>
      </c>
      <c r="D400" s="103" t="s">
        <v>16</v>
      </c>
      <c r="E400"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400"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00" s="103">
        <v>27</v>
      </c>
      <c r="H400" s="60" t="str">
        <f>_xlfn.CONCAT(Libromaestro[[#This Row],[SIGLAS]],"-",Libromaestro[[#This Row],[T. DOC]],"-",Libromaestro[[#This Row],[CONSECUTIVO]])</f>
        <v>D-FT-27</v>
      </c>
      <c r="I400" s="98" t="s">
        <v>480</v>
      </c>
      <c r="J400" s="103">
        <v>1</v>
      </c>
      <c r="K400" s="64" t="str">
        <f>_xlfn.XLOOKUP(Libromaestro[[#This Row],[CODIGO DEL DOCUMENTO]],Arreglo_Binaps[Codigo Documento],Arreglo_Binaps[Estado],"No creado",0)</f>
        <v>Aprobado</v>
      </c>
      <c r="L400" s="66" t="str">
        <f>_xlfn.XLOOKUP(Libromaestro[[#This Row],[CODIGO DEL DOCUMENTO]],Arreglo_Binaps[Codigo Documento],Arreglo_Binaps[Fecha de creación],"",0,1)</f>
        <v>2025-05-14</v>
      </c>
      <c r="M400" s="93"/>
      <c r="N40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46887</v>
      </c>
      <c r="O400"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46887</v>
      </c>
      <c r="P400" s="104">
        <f>_xlfn.LET(_xlpm.resultado,_xlfn.XLOOKUP(Libromaestro[[#This Row],[CODIGO DEL DOCUMENTO]],Arreglo_Binaps[Codigo Documento],Arreglo_Binaps[Fecha_Aprobacion],"",0,1),IF(_xlpm.resultado=0,"",_xlpm.resultado))</f>
        <v>45833</v>
      </c>
      <c r="Q400" s="181"/>
      <c r="R400" s="105"/>
      <c r="S400" s="106" t="s">
        <v>28</v>
      </c>
      <c r="T400" s="98"/>
    </row>
    <row r="401" spans="1:20" ht="33.75" customHeight="1" x14ac:dyDescent="0.3">
      <c r="A401" s="60" t="str">
        <f>IFERROR(VLOOKUP(Libromaestro[[#This Row],[MACROPROCESO]],Tabla1[],2,FALSE),"")</f>
        <v>Alumbrado Público</v>
      </c>
      <c r="B401" s="98" t="s">
        <v>7</v>
      </c>
      <c r="C401" s="103" t="s">
        <v>52</v>
      </c>
      <c r="D401" s="103" t="s">
        <v>16</v>
      </c>
      <c r="E401"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401"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01" s="103">
        <v>27</v>
      </c>
      <c r="H401" s="60" t="str">
        <f>_xlfn.CONCAT(Libromaestro[[#This Row],[SIGLAS]],"-",Libromaestro[[#This Row],[T. DOC]],"-",Libromaestro[[#This Row],[CONSECUTIVO]])</f>
        <v>A-FT-27</v>
      </c>
      <c r="I401" s="98" t="s">
        <v>481</v>
      </c>
      <c r="J401" s="103">
        <v>1</v>
      </c>
      <c r="K401" s="64" t="str">
        <f>_xlfn.XLOOKUP(Libromaestro[[#This Row],[CODIGO DEL DOCUMENTO]],Arreglo_Binaps[Codigo Documento],Arreglo_Binaps[Estado],"No creado",0)</f>
        <v>No creado</v>
      </c>
      <c r="L401" s="66" t="str">
        <f>_xlfn.XLOOKUP(Libromaestro[[#This Row],[CODIGO DEL DOCUMENTO]],Arreglo_Binaps[Codigo Documento],Arreglo_Binaps[Fecha de creación],"",0,1)</f>
        <v/>
      </c>
      <c r="M401" s="93"/>
      <c r="N401"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401" s="93"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01" s="104" t="str">
        <f>_xlfn.LET(_xlpm.resultado,_xlfn.XLOOKUP(Libromaestro[[#This Row],[CODIGO DEL DOCUMENTO]],Arreglo_Binaps[Codigo Documento],Arreglo_Binaps[Fecha_Aprobacion],"",0,1),IF(_xlpm.resultado=0,"",_xlpm.resultado))</f>
        <v/>
      </c>
      <c r="Q401" s="181"/>
      <c r="R401" s="105"/>
      <c r="S401" s="106"/>
      <c r="T401" s="98"/>
    </row>
    <row r="402" spans="1:20" ht="33.75" customHeight="1" x14ac:dyDescent="0.3">
      <c r="A402" s="60" t="str">
        <f>IFERROR(VLOOKUP(Libromaestro[[#This Row],[MACROPROCESO]],Tabla1[],2,FALSE),"")</f>
        <v>Corportativa</v>
      </c>
      <c r="B402" s="98" t="s">
        <v>32</v>
      </c>
      <c r="C402" s="103" t="s">
        <v>51</v>
      </c>
      <c r="D402" s="103" t="s">
        <v>16</v>
      </c>
      <c r="E402"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02"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02" s="103">
        <v>27</v>
      </c>
      <c r="H402" s="60" t="str">
        <f>_xlfn.CONCAT(Libromaestro[[#This Row],[SIGLAS]],"-",Libromaestro[[#This Row],[T. DOC]],"-",Libromaestro[[#This Row],[CONSECUTIVO]])</f>
        <v>H-FT-27</v>
      </c>
      <c r="I402" s="98" t="s">
        <v>482</v>
      </c>
      <c r="J402" s="103">
        <v>1</v>
      </c>
      <c r="K402" s="64" t="str">
        <f>_xlfn.XLOOKUP(Libromaestro[[#This Row],[CODIGO DEL DOCUMENTO]],Arreglo_Binaps[Codigo Documento],Arreglo_Binaps[Estado],"No creado",0)</f>
        <v>No creado</v>
      </c>
      <c r="L402" s="66" t="str">
        <f>_xlfn.XLOOKUP(Libromaestro[[#This Row],[CODIGO DEL DOCUMENTO]],Arreglo_Binaps[Codigo Documento],Arreglo_Binaps[Fecha de creación],"",0,1)</f>
        <v/>
      </c>
      <c r="M402" s="93"/>
      <c r="N402"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402" s="93"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02" s="104" t="str">
        <f>_xlfn.LET(_xlpm.resultado,_xlfn.XLOOKUP(Libromaestro[[#This Row],[CODIGO DEL DOCUMENTO]],Arreglo_Binaps[Codigo Documento],Arreglo_Binaps[Fecha_Aprobacion],"",0,1),IF(_xlpm.resultado=0,"",_xlpm.resultado))</f>
        <v/>
      </c>
      <c r="Q402" s="181"/>
      <c r="R402" s="105"/>
      <c r="S402" s="106"/>
      <c r="T402" s="98"/>
    </row>
    <row r="403" spans="1:20" ht="33.75" customHeight="1" x14ac:dyDescent="0.3">
      <c r="A403" s="60" t="str">
        <f>IFERROR(VLOOKUP(Libromaestro[[#This Row],[MACROPROCESO]],Tabla1[],2,FALSE),"")</f>
        <v>Suministros</v>
      </c>
      <c r="B403" s="98" t="s">
        <v>45</v>
      </c>
      <c r="C403" s="103" t="s">
        <v>30</v>
      </c>
      <c r="D403" s="103" t="s">
        <v>27</v>
      </c>
      <c r="E403"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403"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403" s="103">
        <v>21</v>
      </c>
      <c r="H403" s="60" t="str">
        <f>_xlfn.CONCAT(Libromaestro[[#This Row],[SIGLAS]],"-",Libromaestro[[#This Row],[T. DOC]],"-",Libromaestro[[#This Row],[CONSECUTIVO]])</f>
        <v>S-IN-21</v>
      </c>
      <c r="I403" s="98" t="s">
        <v>448</v>
      </c>
      <c r="J403" s="103">
        <v>1</v>
      </c>
      <c r="K403" s="64" t="str">
        <f>_xlfn.XLOOKUP(Libromaestro[[#This Row],[CODIGO DEL DOCUMENTO]],Arreglo_Binaps[Codigo Documento],Arreglo_Binaps[Estado],"No creado",0)</f>
        <v>Aprobado</v>
      </c>
      <c r="L403" s="66" t="str">
        <f>_xlfn.XLOOKUP(Libromaestro[[#This Row],[CODIGO DEL DOCUMENTO]],Arreglo_Binaps[Codigo Documento],Arreglo_Binaps[Fecha de creación],"",0,1)</f>
        <v>2025-03-10</v>
      </c>
      <c r="M403" s="93"/>
      <c r="N40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46822</v>
      </c>
      <c r="O403"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46822</v>
      </c>
      <c r="P403" s="104">
        <f>_xlfn.LET(_xlpm.resultado,_xlfn.XLOOKUP(Libromaestro[[#This Row],[CODIGO DEL DOCUMENTO]],Arreglo_Binaps[Codigo Documento],Arreglo_Binaps[Fecha_Aprobacion],"",0,1),IF(_xlpm.resultado=0,"",_xlpm.resultado))</f>
        <v>45783</v>
      </c>
      <c r="Q403" s="181"/>
      <c r="R403" s="105"/>
      <c r="S403" s="106"/>
      <c r="T403" s="98"/>
    </row>
    <row r="404" spans="1:20" ht="33.75" customHeight="1" x14ac:dyDescent="0.3">
      <c r="A404" s="60" t="str">
        <f>IFERROR(VLOOKUP(Libromaestro[[#This Row],[MACROPROCESO]],Tabla1[],2,FALSE),"")</f>
        <v>Corporativa</v>
      </c>
      <c r="B404" s="98" t="s">
        <v>13</v>
      </c>
      <c r="C404" s="103" t="s">
        <v>50</v>
      </c>
      <c r="D404" s="103" t="s">
        <v>16</v>
      </c>
      <c r="E404"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404"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04" s="103">
        <v>28</v>
      </c>
      <c r="H404" s="60" t="str">
        <f>_xlfn.CONCAT(Libromaestro[[#This Row],[SIGLAS]],"-",Libromaestro[[#This Row],[T. DOC]],"-",Libromaestro[[#This Row],[CONSECUTIVO]])</f>
        <v>D-FT-28</v>
      </c>
      <c r="I404" s="73" t="s">
        <v>484</v>
      </c>
      <c r="J404" s="103">
        <v>1</v>
      </c>
      <c r="K404" s="64" t="str">
        <f>_xlfn.XLOOKUP(Libromaestro[[#This Row],[CODIGO DEL DOCUMENTO]],Arreglo_Binaps[Codigo Documento],Arreglo_Binaps[Estado],"No creado",0)</f>
        <v>Aprobado</v>
      </c>
      <c r="L404" s="66" t="str">
        <f>_xlfn.XLOOKUP(Libromaestro[[#This Row],[CODIGO DEL DOCUMENTO]],Arreglo_Binaps[Codigo Documento],Arreglo_Binaps[Fecha de creación],"",0,1)</f>
        <v>2025-04-08</v>
      </c>
      <c r="M404" s="93">
        <v>45791</v>
      </c>
      <c r="N40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46887</v>
      </c>
      <c r="O404"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46887</v>
      </c>
      <c r="P404" s="104">
        <f>_xlfn.LET(_xlpm.resultado,_xlfn.XLOOKUP(Libromaestro[[#This Row],[CODIGO DEL DOCUMENTO]],Arreglo_Binaps[Codigo Documento],Arreglo_Binaps[Fecha_Aprobacion],"",0,1),IF(_xlpm.resultado=0,"",_xlpm.resultado))</f>
        <v>45833</v>
      </c>
      <c r="Q404" s="181"/>
      <c r="R404" s="105"/>
      <c r="S404" s="106"/>
      <c r="T404" s="98"/>
    </row>
    <row r="405" spans="1:20" ht="33.75" customHeight="1" x14ac:dyDescent="0.3">
      <c r="A405" s="60" t="str">
        <f>IFERROR(VLOOKUP(Libromaestro[[#This Row],[MACROPROCESO]],Tabla1[],2,FALSE),"")</f>
        <v>Corportativa</v>
      </c>
      <c r="B405" s="98" t="s">
        <v>32</v>
      </c>
      <c r="C405" s="103" t="s">
        <v>59</v>
      </c>
      <c r="D405" s="103" t="s">
        <v>48</v>
      </c>
      <c r="E405"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05"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PG</v>
      </c>
      <c r="G405" s="103">
        <v>1</v>
      </c>
      <c r="H405" s="60" t="str">
        <f>_xlfn.CONCAT(Libromaestro[[#This Row],[SIGLAS]],"-",Libromaestro[[#This Row],[T. DOC]],"-",Libromaestro[[#This Row],[CONSECUTIVO]])</f>
        <v>H-PG-1</v>
      </c>
      <c r="I405" s="98" t="s">
        <v>485</v>
      </c>
      <c r="J405" s="103">
        <v>1</v>
      </c>
      <c r="K405" s="64" t="str">
        <f>_xlfn.XLOOKUP(Libromaestro[[#This Row],[CODIGO DEL DOCUMENTO]],Arreglo_Binaps[Codigo Documento],Arreglo_Binaps[Estado],"No creado",0)</f>
        <v>No creado</v>
      </c>
      <c r="L405" s="66" t="str">
        <f>_xlfn.XLOOKUP(Libromaestro[[#This Row],[CODIGO DEL DOCUMENTO]],Arreglo_Binaps[Codigo Documento],Arreglo_Binaps[Fecha de creación],"",0,1)</f>
        <v/>
      </c>
      <c r="M405" s="93"/>
      <c r="N405"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405" s="93"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05" s="104" t="str">
        <f>_xlfn.LET(_xlpm.resultado,_xlfn.XLOOKUP(Libromaestro[[#This Row],[CODIGO DEL DOCUMENTO]],Arreglo_Binaps[Codigo Documento],Arreglo_Binaps[Fecha_Aprobacion],"",0,1),IF(_xlpm.resultado=0,"",_xlpm.resultado))</f>
        <v/>
      </c>
      <c r="Q405" s="181"/>
      <c r="R405" s="105"/>
      <c r="S405" s="106"/>
      <c r="T405" s="98"/>
    </row>
    <row r="406" spans="1:20" ht="33.75" customHeight="1" x14ac:dyDescent="0.3">
      <c r="A406" s="60" t="str">
        <f>IFERROR(VLOOKUP(Libromaestro[[#This Row],[MACROPROCESO]],Tabla1[],2,FALSE),"")</f>
        <v>Corportativa</v>
      </c>
      <c r="B406" s="70" t="s">
        <v>32</v>
      </c>
      <c r="C406" s="60" t="s">
        <v>57</v>
      </c>
      <c r="D406" s="60" t="s">
        <v>34</v>
      </c>
      <c r="E406"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06"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406" s="60">
        <v>28</v>
      </c>
      <c r="H406" s="60" t="str">
        <f>_xlfn.CONCAT(Libromaestro[[#This Row],[SIGLAS]],"-",Libromaestro[[#This Row],[T. DOC]],"-",Libromaestro[[#This Row],[CONSECUTIVO]])</f>
        <v>H-PR-28</v>
      </c>
      <c r="I406" s="70" t="s">
        <v>486</v>
      </c>
      <c r="J406" s="60">
        <v>1</v>
      </c>
      <c r="K406" s="64" t="str">
        <f>_xlfn.XLOOKUP(Libromaestro[[#This Row],[CODIGO DEL DOCUMENTO]],Arreglo_Binaps[Codigo Documento],Arreglo_Binaps[Estado],"No creado",0)</f>
        <v>No creado</v>
      </c>
      <c r="L406" s="66" t="str">
        <f>_xlfn.XLOOKUP(Libromaestro[[#This Row],[CODIGO DEL DOCUMENTO]],Arreglo_Binaps[Codigo Documento],Arreglo_Binaps[Fecha de creación],"",0,1)</f>
        <v/>
      </c>
      <c r="M406" s="66">
        <v>45811</v>
      </c>
      <c r="N40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46907</v>
      </c>
      <c r="O40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46907</v>
      </c>
      <c r="P406" s="67" t="str">
        <f>_xlfn.LET(_xlpm.resultado,_xlfn.XLOOKUP(Libromaestro[[#This Row],[CODIGO DEL DOCUMENTO]],Arreglo_Binaps[Codigo Documento],Arreglo_Binaps[Fecha_Aprobacion],"",0,1),IF(_xlpm.resultado=0,"",_xlpm.resultado))</f>
        <v/>
      </c>
      <c r="Q406" s="172"/>
      <c r="R406" s="68"/>
      <c r="S406" s="69"/>
      <c r="T406" s="70"/>
    </row>
    <row r="407" spans="1:20" ht="33.75" customHeight="1" x14ac:dyDescent="0.3">
      <c r="A407" s="60" t="str">
        <f>IFERROR(VLOOKUP(Libromaestro[[#This Row],[MACROPROCESO]],Tabla1[],2,FALSE),"")</f>
        <v>Suministros</v>
      </c>
      <c r="B407" s="98" t="s">
        <v>45</v>
      </c>
      <c r="C407" s="103" t="s">
        <v>30</v>
      </c>
      <c r="D407" s="103" t="s">
        <v>27</v>
      </c>
      <c r="E407"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407"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407" s="103">
        <v>22</v>
      </c>
      <c r="H407" s="60" t="str">
        <f>_xlfn.CONCAT(Libromaestro[[#This Row],[SIGLAS]],"-",Libromaestro[[#This Row],[T. DOC]],"-",Libromaestro[[#This Row],[CONSECUTIVO]])</f>
        <v>S-IN-22</v>
      </c>
      <c r="I407" s="211" t="s">
        <v>2475</v>
      </c>
      <c r="J407" s="103">
        <v>1</v>
      </c>
      <c r="K407" s="64" t="str">
        <f>_xlfn.XLOOKUP(Libromaestro[[#This Row],[CODIGO DEL DOCUMENTO]],Arreglo_Binaps[Codigo Documento],Arreglo_Binaps[Estado],"No creado",0)</f>
        <v>Aprobado</v>
      </c>
      <c r="L407" s="66" t="str">
        <f>_xlfn.XLOOKUP(Libromaestro[[#This Row],[CODIGO DEL DOCUMENTO]],Arreglo_Binaps[Codigo Documento],Arreglo_Binaps[Fecha de creación],"",0,1)</f>
        <v>2026-06-03</v>
      </c>
      <c r="M407" s="93"/>
      <c r="N407" s="65"/>
      <c r="O407" s="104">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407" s="104">
        <f>_xlfn.LET(_xlpm.resultado,_xlfn.XLOOKUP(Libromaestro[[#This Row],[CODIGO DEL DOCUMENTO]],Arreglo_Binaps[Codigo Documento],Arreglo_Binaps[Fecha_Aprobacion],"",0,1),IF(_xlpm.resultado=0,"",_xlpm.resultado))</f>
        <v>46176</v>
      </c>
      <c r="Q407" s="181"/>
      <c r="R407" s="105"/>
      <c r="S407" s="106"/>
      <c r="T407" s="237"/>
    </row>
    <row r="408" spans="1:20" ht="33.75" customHeight="1" x14ac:dyDescent="0.3">
      <c r="A408" s="60" t="str">
        <f>IFERROR(VLOOKUP(Libromaestro[[#This Row],[MACROPROCESO]],Tabla1[],2,FALSE),"")</f>
        <v>Corporativa</v>
      </c>
      <c r="B408" s="98" t="s">
        <v>13</v>
      </c>
      <c r="C408" s="103" t="s">
        <v>50</v>
      </c>
      <c r="D408" s="103" t="s">
        <v>16</v>
      </c>
      <c r="E408"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408"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08" s="103">
        <v>29</v>
      </c>
      <c r="H408" s="60" t="str">
        <f>_xlfn.CONCAT(Libromaestro[[#This Row],[SIGLAS]],"-",Libromaestro[[#This Row],[T. DOC]],"-",Libromaestro[[#This Row],[CONSECUTIVO]])</f>
        <v>D-FT-29</v>
      </c>
      <c r="I408" s="98" t="s">
        <v>488</v>
      </c>
      <c r="J408" s="103">
        <v>1</v>
      </c>
      <c r="K408" s="64" t="str">
        <f>_xlfn.XLOOKUP(Libromaestro[[#This Row],[CODIGO DEL DOCUMENTO]],Arreglo_Binaps[Codigo Documento],Arreglo_Binaps[Estado],"No creado",0)</f>
        <v>Aprobado</v>
      </c>
      <c r="L408" s="66" t="str">
        <f>_xlfn.XLOOKUP(Libromaestro[[#This Row],[CODIGO DEL DOCUMENTO]],Arreglo_Binaps[Codigo Documento],Arreglo_Binaps[Fecha de creación],"",0,1)</f>
        <v>2025-05-14</v>
      </c>
      <c r="M408" s="93">
        <v>45791</v>
      </c>
      <c r="N40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46887</v>
      </c>
      <c r="O408"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46887</v>
      </c>
      <c r="P408" s="104">
        <f>_xlfn.LET(_xlpm.resultado,_xlfn.XLOOKUP(Libromaestro[[#This Row],[CODIGO DEL DOCUMENTO]],Arreglo_Binaps[Codigo Documento],Arreglo_Binaps[Fecha_Aprobacion],"",0,1),IF(_xlpm.resultado=0,"",_xlpm.resultado))</f>
        <v>45833</v>
      </c>
      <c r="Q408" s="181"/>
      <c r="R408" s="105"/>
      <c r="S408" s="106"/>
      <c r="T408" s="98"/>
    </row>
    <row r="409" spans="1:20" ht="33.75" customHeight="1" x14ac:dyDescent="0.3">
      <c r="A409" s="60" t="str">
        <f>IFERROR(VLOOKUP(Libromaestro[[#This Row],[MACROPROCESO]],Tabla1[],2,FALSE),"")</f>
        <v>Corportativa</v>
      </c>
      <c r="B409" s="98" t="s">
        <v>32</v>
      </c>
      <c r="C409" s="103" t="s">
        <v>59</v>
      </c>
      <c r="D409" s="103" t="s">
        <v>16</v>
      </c>
      <c r="E409"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09"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09" s="60">
        <v>29</v>
      </c>
      <c r="H409" s="60" t="str">
        <f>_xlfn.CONCAT(Libromaestro[[#This Row],[SIGLAS]],"-",Libromaestro[[#This Row],[T. DOC]],"-",Libromaestro[[#This Row],[CONSECUTIVO]])</f>
        <v>H-FT-29</v>
      </c>
      <c r="I409" s="70" t="s">
        <v>489</v>
      </c>
      <c r="J409" s="60">
        <v>1</v>
      </c>
      <c r="K409" s="64" t="str">
        <f>_xlfn.XLOOKUP(Libromaestro[[#This Row],[CODIGO DEL DOCUMENTO]],Arreglo_Binaps[Codigo Documento],Arreglo_Binaps[Estado],"No creado",0)</f>
        <v>Aprobado</v>
      </c>
      <c r="L409" s="66" t="str">
        <f>_xlfn.XLOOKUP(Libromaestro[[#This Row],[CODIGO DEL DOCUMENTO]],Arreglo_Binaps[Codigo Documento],Arreglo_Binaps[Fecha de creación],"",0,1)</f>
        <v>2020-01-04</v>
      </c>
      <c r="M409" s="66">
        <v>45744</v>
      </c>
      <c r="N40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46840</v>
      </c>
      <c r="O40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46840</v>
      </c>
      <c r="P409" s="67">
        <f>_xlfn.LET(_xlpm.resultado,_xlfn.XLOOKUP(Libromaestro[[#This Row],[CODIGO DEL DOCUMENTO]],Arreglo_Binaps[Codigo Documento],Arreglo_Binaps[Fecha_Aprobacion],"",0,1),IF(_xlpm.resultado=0,"",_xlpm.resultado))</f>
        <v>43834</v>
      </c>
      <c r="Q409" s="172"/>
      <c r="R409" s="68"/>
      <c r="S409" s="69" t="s">
        <v>11</v>
      </c>
      <c r="T409" s="70"/>
    </row>
    <row r="410" spans="1:20" ht="33.75" customHeight="1" x14ac:dyDescent="0.3">
      <c r="A410" s="60" t="str">
        <f>IFERROR(VLOOKUP(Libromaestro[[#This Row],[MACROPROCESO]],Tabla1[],2,FALSE),"")</f>
        <v>Corportativa</v>
      </c>
      <c r="B410" s="98" t="s">
        <v>32</v>
      </c>
      <c r="C410" s="103" t="s">
        <v>57</v>
      </c>
      <c r="D410" s="103" t="s">
        <v>34</v>
      </c>
      <c r="E410"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10"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410" s="60">
        <v>29</v>
      </c>
      <c r="H410" s="60" t="str">
        <f>_xlfn.CONCAT(Libromaestro[[#This Row],[SIGLAS]],"-",Libromaestro[[#This Row],[T. DOC]],"-",Libromaestro[[#This Row],[CONSECUTIVO]])</f>
        <v>H-PR-29</v>
      </c>
      <c r="I410" s="70" t="s">
        <v>490</v>
      </c>
      <c r="J410" s="60">
        <v>1</v>
      </c>
      <c r="K410" s="64" t="str">
        <f>_xlfn.XLOOKUP(Libromaestro[[#This Row],[CODIGO DEL DOCUMENTO]],Arreglo_Binaps[Codigo Documento],Arreglo_Binaps[Estado],"No creado",0)</f>
        <v>No creado</v>
      </c>
      <c r="L410" s="66" t="str">
        <f>_xlfn.XLOOKUP(Libromaestro[[#This Row],[CODIGO DEL DOCUMENTO]],Arreglo_Binaps[Codigo Documento],Arreglo_Binaps[Fecha de creación],"",0,1)</f>
        <v/>
      </c>
      <c r="M410" s="66">
        <v>45811</v>
      </c>
      <c r="N41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46907</v>
      </c>
      <c r="O41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46907</v>
      </c>
      <c r="P410" s="67" t="str">
        <f>_xlfn.LET(_xlpm.resultado,_xlfn.XLOOKUP(Libromaestro[[#This Row],[CODIGO DEL DOCUMENTO]],Arreglo_Binaps[Codigo Documento],Arreglo_Binaps[Fecha_Aprobacion],"",0,1),IF(_xlpm.resultado=0,"",_xlpm.resultado))</f>
        <v/>
      </c>
      <c r="Q410" s="172"/>
      <c r="R410" s="68"/>
      <c r="S410" s="69"/>
      <c r="T410" s="70"/>
    </row>
    <row r="411" spans="1:20" ht="33.75" customHeight="1" x14ac:dyDescent="0.3">
      <c r="A411" s="60" t="str">
        <f>IFERROR(VLOOKUP(Libromaestro[[#This Row],[MACROPROCESO]],Tabla1[],2,FALSE),"")</f>
        <v>Corporativa</v>
      </c>
      <c r="B411" s="98" t="s">
        <v>13</v>
      </c>
      <c r="C411" s="103" t="s">
        <v>50</v>
      </c>
      <c r="D411" s="103" t="s">
        <v>16</v>
      </c>
      <c r="E411"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411"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11" s="60">
        <v>30</v>
      </c>
      <c r="H411" s="60" t="str">
        <f>_xlfn.CONCAT(Libromaestro[[#This Row],[SIGLAS]],"-",Libromaestro[[#This Row],[T. DOC]],"-",Libromaestro[[#This Row],[CONSECUTIVO]])</f>
        <v>D-FT-30</v>
      </c>
      <c r="I411" s="70" t="s">
        <v>491</v>
      </c>
      <c r="J411" s="60">
        <v>1</v>
      </c>
      <c r="K411" s="64" t="str">
        <f>_xlfn.XLOOKUP(Libromaestro[[#This Row],[CODIGO DEL DOCUMENTO]],Arreglo_Binaps[Codigo Documento],Arreglo_Binaps[Estado],"No creado",0)</f>
        <v>Aprobado</v>
      </c>
      <c r="L411" s="66" t="str">
        <f>_xlfn.XLOOKUP(Libromaestro[[#This Row],[CODIGO DEL DOCUMENTO]],Arreglo_Binaps[Codigo Documento],Arreglo_Binaps[Fecha de creación],"",0,1)</f>
        <v>2025-04-09</v>
      </c>
      <c r="M411" s="66">
        <v>45791</v>
      </c>
      <c r="N41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46887</v>
      </c>
      <c r="O41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46887</v>
      </c>
      <c r="P411" s="67">
        <f>_xlfn.LET(_xlpm.resultado,_xlfn.XLOOKUP(Libromaestro[[#This Row],[CODIGO DEL DOCUMENTO]],Arreglo_Binaps[Codigo Documento],Arreglo_Binaps[Fecha_Aprobacion],"",0,1),IF(_xlpm.resultado=0,"",_xlpm.resultado))</f>
        <v>45833</v>
      </c>
      <c r="Q411" s="172"/>
      <c r="R411" s="68"/>
      <c r="S411" s="69"/>
      <c r="T411" s="70"/>
    </row>
    <row r="412" spans="1:20" ht="33.75" customHeight="1" x14ac:dyDescent="0.3">
      <c r="A412" s="60" t="str">
        <f>IFERROR(VLOOKUP(Libromaestro[[#This Row],[MACROPROCESO]],Tabla1[],2,FALSE),"")</f>
        <v>Alumbrado Público</v>
      </c>
      <c r="B412" s="98" t="s">
        <v>7</v>
      </c>
      <c r="C412" s="103" t="s">
        <v>9</v>
      </c>
      <c r="D412" s="103" t="s">
        <v>16</v>
      </c>
      <c r="E412"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412"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12" s="60">
        <v>30</v>
      </c>
      <c r="H412" s="60" t="str">
        <f>_xlfn.CONCAT(Libromaestro[[#This Row],[SIGLAS]],"-",Libromaestro[[#This Row],[T. DOC]],"-",Libromaestro[[#This Row],[CONSECUTIVO]])</f>
        <v>A-FT-30</v>
      </c>
      <c r="I412" s="70" t="s">
        <v>492</v>
      </c>
      <c r="J412" s="60">
        <v>1</v>
      </c>
      <c r="K412" s="64" t="str">
        <f>_xlfn.XLOOKUP(Libromaestro[[#This Row],[CODIGO DEL DOCUMENTO]],Arreglo_Binaps[Codigo Documento],Arreglo_Binaps[Estado],"No creado",0)</f>
        <v>Aprobado</v>
      </c>
      <c r="L412" s="66" t="str">
        <f>_xlfn.XLOOKUP(Libromaestro[[#This Row],[CODIGO DEL DOCUMENTO]],Arreglo_Binaps[Codigo Documento],Arreglo_Binaps[Fecha de creación],"",0,1)</f>
        <v>2023-05-29</v>
      </c>
      <c r="M412" s="66"/>
      <c r="N41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46171</v>
      </c>
      <c r="O41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46171</v>
      </c>
      <c r="P412" s="67">
        <f>_xlfn.LET(_xlpm.resultado,_xlfn.XLOOKUP(Libromaestro[[#This Row],[CODIGO DEL DOCUMENTO]],Arreglo_Binaps[Codigo Documento],Arreglo_Binaps[Fecha_Aprobacion],"",0,1),IF(_xlpm.resultado=0,"",_xlpm.resultado))</f>
        <v>45075</v>
      </c>
      <c r="Q412" s="172"/>
      <c r="R412" s="68"/>
      <c r="S412" s="69" t="s">
        <v>17</v>
      </c>
      <c r="T412" s="70"/>
    </row>
    <row r="413" spans="1:20" ht="33.75" customHeight="1" x14ac:dyDescent="0.3">
      <c r="A413" s="60" t="str">
        <f>IFERROR(VLOOKUP(Libromaestro[[#This Row],[MACROPROCESO]],Tabla1[],2,FALSE),"")</f>
        <v>Corportativa</v>
      </c>
      <c r="B413" s="98" t="s">
        <v>32</v>
      </c>
      <c r="C413" s="60" t="s">
        <v>59</v>
      </c>
      <c r="D413" s="103" t="s">
        <v>37</v>
      </c>
      <c r="E413"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13"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413" s="60">
        <v>3</v>
      </c>
      <c r="H413" s="60" t="str">
        <f>_xlfn.CONCAT(Libromaestro[[#This Row],[SIGLAS]],"-",Libromaestro[[#This Row],[T. DOC]],"-",Libromaestro[[#This Row],[CONSECUTIVO]])</f>
        <v>H-PO-3</v>
      </c>
      <c r="I413" s="70" t="s">
        <v>493</v>
      </c>
      <c r="J413" s="60">
        <v>2</v>
      </c>
      <c r="K413" s="64" t="str">
        <f>_xlfn.XLOOKUP(Libromaestro[[#This Row],[CODIGO DEL DOCUMENTO]],Arreglo_Binaps[Codigo Documento],Arreglo_Binaps[Estado],"No creado",0)</f>
        <v>Aprobado</v>
      </c>
      <c r="L413" s="66" t="str">
        <f>_xlfn.XLOOKUP(Libromaestro[[#This Row],[CODIGO DEL DOCUMENTO]],Arreglo_Binaps[Codigo Documento],Arreglo_Binaps[Fecha de creación],"",0,1)</f>
        <v>2023-09-14</v>
      </c>
      <c r="M413" s="66">
        <v>45806</v>
      </c>
      <c r="N41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O41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P413" s="67">
        <f>_xlfn.LET(_xlpm.resultado,_xlfn.XLOOKUP(Libromaestro[[#This Row],[CODIGO DEL DOCUMENTO]],Arreglo_Binaps[Codigo Documento],Arreglo_Binaps[Fecha_Aprobacion],"",0,1),IF(_xlpm.resultado=0,"",_xlpm.resultado))</f>
        <v>45833</v>
      </c>
      <c r="Q413" s="172"/>
      <c r="R413" s="68"/>
      <c r="S413" s="69" t="s">
        <v>28</v>
      </c>
      <c r="T413" s="70"/>
    </row>
    <row r="414" spans="1:20" ht="33.75" customHeight="1" x14ac:dyDescent="0.3">
      <c r="A414" s="60" t="str">
        <f>IFERROR(VLOOKUP(Libromaestro[[#This Row],[MACROPROCESO]],Tabla1[],2,FALSE),"")</f>
        <v>Corportativa</v>
      </c>
      <c r="B414" s="98" t="s">
        <v>32</v>
      </c>
      <c r="C414" s="103" t="s">
        <v>59</v>
      </c>
      <c r="D414" s="103" t="s">
        <v>37</v>
      </c>
      <c r="E414"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14"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414" s="103">
        <v>5</v>
      </c>
      <c r="H414" s="60" t="str">
        <f>_xlfn.CONCAT(Libromaestro[[#This Row],[SIGLAS]],"-",Libromaestro[[#This Row],[T. DOC]],"-",Libromaestro[[#This Row],[CONSECUTIVO]])</f>
        <v>H-PO-5</v>
      </c>
      <c r="I414" s="70" t="s">
        <v>494</v>
      </c>
      <c r="J414" s="103">
        <v>1</v>
      </c>
      <c r="K414" s="64" t="str">
        <f>_xlfn.XLOOKUP(Libromaestro[[#This Row],[CODIGO DEL DOCUMENTO]],Arreglo_Binaps[Codigo Documento],Arreglo_Binaps[Estado],"No creado",0)</f>
        <v>Aprobado</v>
      </c>
      <c r="L414" s="66" t="str">
        <f>_xlfn.XLOOKUP(Libromaestro[[#This Row],[CODIGO DEL DOCUMENTO]],Arreglo_Binaps[Codigo Documento],Arreglo_Binaps[Fecha de creación],"",0,1)</f>
        <v>2024-01-03</v>
      </c>
      <c r="M414" s="93"/>
      <c r="N41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46390</v>
      </c>
      <c r="O414"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46390</v>
      </c>
      <c r="P414" s="104">
        <f>_xlfn.LET(_xlpm.resultado,_xlfn.XLOOKUP(Libromaestro[[#This Row],[CODIGO DEL DOCUMENTO]],Arreglo_Binaps[Codigo Documento],Arreglo_Binaps[Fecha_Aprobacion],"",0,1),IF(_xlpm.resultado=0,"",_xlpm.resultado))</f>
        <v>45329</v>
      </c>
      <c r="Q414" s="181"/>
      <c r="R414" s="105"/>
      <c r="S414" s="106" t="s">
        <v>23</v>
      </c>
      <c r="T414" s="98"/>
    </row>
    <row r="415" spans="1:20" ht="33.75" customHeight="1" x14ac:dyDescent="0.3">
      <c r="A415" s="60" t="str">
        <f>IFERROR(VLOOKUP(Libromaestro[[#This Row],[MACROPROCESO]],Tabla1[],2,FALSE),"")</f>
        <v>Suministros</v>
      </c>
      <c r="B415" s="98" t="s">
        <v>45</v>
      </c>
      <c r="C415" s="60" t="s">
        <v>30</v>
      </c>
      <c r="D415" s="103" t="s">
        <v>27</v>
      </c>
      <c r="E415"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415"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415" s="60">
        <v>23</v>
      </c>
      <c r="H415" s="60" t="str">
        <f>_xlfn.CONCAT(Libromaestro[[#This Row],[SIGLAS]],"-",Libromaestro[[#This Row],[T. DOC]],"-",Libromaestro[[#This Row],[CONSECUTIVO]])</f>
        <v>S-IN-23</v>
      </c>
      <c r="I415" s="194" t="s">
        <v>2474</v>
      </c>
      <c r="J415" s="60">
        <v>1</v>
      </c>
      <c r="K415" s="64" t="str">
        <f>_xlfn.XLOOKUP(Libromaestro[[#This Row],[CODIGO DEL DOCUMENTO]],Arreglo_Binaps[Codigo Documento],Arreglo_Binaps[Estado],"No creado",0)</f>
        <v>Aprobado</v>
      </c>
      <c r="L415" s="66" t="str">
        <f>_xlfn.XLOOKUP(Libromaestro[[#This Row],[CODIGO DEL DOCUMENTO]],Arreglo_Binaps[Codigo Documento],Arreglo_Binaps[Fecha de creación],"",0,1)</f>
        <v>2026-06-03</v>
      </c>
      <c r="M415" s="66"/>
      <c r="N415" s="65"/>
      <c r="O415" s="67">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415" s="67">
        <f>_xlfn.LET(_xlpm.resultado,_xlfn.XLOOKUP(Libromaestro[[#This Row],[CODIGO DEL DOCUMENTO]],Arreglo_Binaps[Codigo Documento],Arreglo_Binaps[Fecha_Aprobacion],"",0,1),IF(_xlpm.resultado=0,"",_xlpm.resultado))</f>
        <v>46176</v>
      </c>
      <c r="Q415" s="172"/>
      <c r="R415" s="68"/>
      <c r="S415" s="69"/>
      <c r="T415" s="87"/>
    </row>
    <row r="416" spans="1:20" ht="33.75" customHeight="1" x14ac:dyDescent="0.3">
      <c r="A416" s="60" t="str">
        <f>IFERROR(VLOOKUP(Libromaestro[[#This Row],[MACROPROCESO]],Tabla1[],2,FALSE),"")</f>
        <v>Corportativa</v>
      </c>
      <c r="B416" s="98" t="s">
        <v>32</v>
      </c>
      <c r="C416" s="60" t="s">
        <v>59</v>
      </c>
      <c r="D416" s="103" t="s">
        <v>16</v>
      </c>
      <c r="E416"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16"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16" s="60">
        <v>31</v>
      </c>
      <c r="H416" s="60" t="str">
        <f>_xlfn.CONCAT(Libromaestro[[#This Row],[SIGLAS]],"-",Libromaestro[[#This Row],[T. DOC]],"-",Libromaestro[[#This Row],[CONSECUTIVO]])</f>
        <v>H-FT-31</v>
      </c>
      <c r="I416" s="70" t="s">
        <v>496</v>
      </c>
      <c r="J416" s="60">
        <v>2</v>
      </c>
      <c r="K416" s="64" t="str">
        <f>_xlfn.XLOOKUP(Libromaestro[[#This Row],[CODIGO DEL DOCUMENTO]],Arreglo_Binaps[Codigo Documento],Arreglo_Binaps[Estado],"No creado",0)</f>
        <v>Aprobado</v>
      </c>
      <c r="L416" s="66" t="str">
        <f>_xlfn.XLOOKUP(Libromaestro[[#This Row],[CODIGO DEL DOCUMENTO]],Arreglo_Binaps[Codigo Documento],Arreglo_Binaps[Fecha de creación],"",0,1)</f>
        <v>2020-01-12</v>
      </c>
      <c r="M416" s="66">
        <v>45748</v>
      </c>
      <c r="N41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46844</v>
      </c>
      <c r="O41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46844</v>
      </c>
      <c r="P416" s="67">
        <f>_xlfn.LET(_xlpm.resultado,_xlfn.XLOOKUP(Libromaestro[[#This Row],[CODIGO DEL DOCUMENTO]],Arreglo_Binaps[Codigo Documento],Arreglo_Binaps[Fecha_Aprobacion],"",0,1),IF(_xlpm.resultado=0,"",_xlpm.resultado))</f>
        <v>45877</v>
      </c>
      <c r="Q416" s="172"/>
      <c r="R416" s="68"/>
      <c r="S416" s="69" t="s">
        <v>11</v>
      </c>
      <c r="T416" s="70"/>
    </row>
    <row r="417" spans="1:20" ht="33.75" customHeight="1" x14ac:dyDescent="0.3">
      <c r="A417" s="60" t="str">
        <f>IFERROR(VLOOKUP(Libromaestro[[#This Row],[MACROPROCESO]],Tabla1[],2,FALSE),"")</f>
        <v>Suministros</v>
      </c>
      <c r="B417" s="98" t="s">
        <v>45</v>
      </c>
      <c r="C417" s="103" t="s">
        <v>54</v>
      </c>
      <c r="D417" s="103" t="s">
        <v>27</v>
      </c>
      <c r="E417"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417"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417" s="103">
        <v>24</v>
      </c>
      <c r="H417" s="60" t="str">
        <f>_xlfn.CONCAT(Libromaestro[[#This Row],[SIGLAS]],"-",Libromaestro[[#This Row],[T. DOC]],"-",Libromaestro[[#This Row],[CONSECUTIVO]])</f>
        <v>S-IN-24</v>
      </c>
      <c r="I417" s="98" t="s">
        <v>608</v>
      </c>
      <c r="J417" s="103">
        <v>1</v>
      </c>
      <c r="K417" s="64" t="str">
        <f>_xlfn.XLOOKUP(Libromaestro[[#This Row],[CODIGO DEL DOCUMENTO]],Arreglo_Binaps[Codigo Documento],Arreglo_Binaps[Estado],"No creado",0)</f>
        <v>No creado</v>
      </c>
      <c r="L417" s="66" t="str">
        <f>_xlfn.XLOOKUP(Libromaestro[[#This Row],[CODIGO DEL DOCUMENTO]],Arreglo_Binaps[Codigo Documento],Arreglo_Binaps[Fecha de creación],"",0,1)</f>
        <v/>
      </c>
      <c r="M417" s="93"/>
      <c r="N417" s="65"/>
      <c r="O417" s="10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17" s="104" t="str">
        <f>_xlfn.LET(_xlpm.resultado,_xlfn.XLOOKUP(Libromaestro[[#This Row],[CODIGO DEL DOCUMENTO]],Arreglo_Binaps[Codigo Documento],Arreglo_Binaps[Fecha_Aprobacion],"",0,1),IF(_xlpm.resultado=0,"",_xlpm.resultado))</f>
        <v/>
      </c>
      <c r="Q417" s="181"/>
      <c r="R417" s="105"/>
      <c r="S417" s="106"/>
      <c r="T417" s="237"/>
    </row>
    <row r="418" spans="1:20" ht="33.75" customHeight="1" x14ac:dyDescent="0.3">
      <c r="A418" s="60" t="str">
        <f>IFERROR(VLOOKUP(Libromaestro[[#This Row],[MACROPROCESO]],Tabla1[],2,FALSE),"")</f>
        <v>Alumbrado Público</v>
      </c>
      <c r="B418" s="98" t="s">
        <v>7</v>
      </c>
      <c r="C418" s="103" t="s">
        <v>61</v>
      </c>
      <c r="D418" s="103" t="s">
        <v>34</v>
      </c>
      <c r="E418"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418"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418" s="103">
        <v>8</v>
      </c>
      <c r="H418" s="60" t="str">
        <f>_xlfn.CONCAT(Libromaestro[[#This Row],[SIGLAS]],"-",Libromaestro[[#This Row],[T. DOC]],"-",Libromaestro[[#This Row],[CONSECUTIVO]])</f>
        <v>A-PR-8</v>
      </c>
      <c r="I418" s="70" t="s">
        <v>498</v>
      </c>
      <c r="J418" s="60">
        <v>1</v>
      </c>
      <c r="K418" s="64" t="str">
        <f>_xlfn.XLOOKUP(Libromaestro[[#This Row],[CODIGO DEL DOCUMENTO]],Arreglo_Binaps[Codigo Documento],Arreglo_Binaps[Estado],"No creado",0)</f>
        <v>No creado</v>
      </c>
      <c r="L418" s="66" t="str">
        <f>_xlfn.XLOOKUP(Libromaestro[[#This Row],[CODIGO DEL DOCUMENTO]],Arreglo_Binaps[Codigo Documento],Arreglo_Binaps[Fecha de creación],"",0,1)</f>
        <v/>
      </c>
      <c r="M418" s="66"/>
      <c r="N418"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418"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18" s="67" t="str">
        <f>_xlfn.LET(_xlpm.resultado,_xlfn.XLOOKUP(Libromaestro[[#This Row],[CODIGO DEL DOCUMENTO]],Arreglo_Binaps[Codigo Documento],Arreglo_Binaps[Fecha_Aprobacion],"",0,1),IF(_xlpm.resultado=0,"",_xlpm.resultado))</f>
        <v/>
      </c>
      <c r="Q418" s="172"/>
      <c r="R418" s="68"/>
      <c r="S418" s="69"/>
      <c r="T418" s="70"/>
    </row>
    <row r="419" spans="1:20" ht="33.75" customHeight="1" x14ac:dyDescent="0.3">
      <c r="A419" s="60" t="str">
        <f>IFERROR(VLOOKUP(Libromaestro[[#This Row],[MACROPROCESO]],Tabla1[],2,FALSE),"")</f>
        <v>Corportativa</v>
      </c>
      <c r="B419" s="98" t="s">
        <v>32</v>
      </c>
      <c r="C419" s="103" t="s">
        <v>51</v>
      </c>
      <c r="D419" s="103" t="s">
        <v>16</v>
      </c>
      <c r="E419"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19"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19" s="103">
        <v>32</v>
      </c>
      <c r="H419" s="60" t="str">
        <f>_xlfn.CONCAT(Libromaestro[[#This Row],[SIGLAS]],"-",Libromaestro[[#This Row],[T. DOC]],"-",Libromaestro[[#This Row],[CONSECUTIVO]])</f>
        <v>H-FT-32</v>
      </c>
      <c r="I419" s="98" t="s">
        <v>499</v>
      </c>
      <c r="J419" s="103">
        <v>1</v>
      </c>
      <c r="K419" s="64" t="str">
        <f>_xlfn.XLOOKUP(Libromaestro[[#This Row],[CODIGO DEL DOCUMENTO]],Arreglo_Binaps[Codigo Documento],Arreglo_Binaps[Estado],"No creado",0)</f>
        <v>No creado</v>
      </c>
      <c r="L419" s="66" t="str">
        <f>_xlfn.XLOOKUP(Libromaestro[[#This Row],[CODIGO DEL DOCUMENTO]],Arreglo_Binaps[Codigo Documento],Arreglo_Binaps[Fecha de creación],"",0,1)</f>
        <v/>
      </c>
      <c r="M419" s="93"/>
      <c r="N419"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419" s="93"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19" s="104" t="str">
        <f>_xlfn.LET(_xlpm.resultado,_xlfn.XLOOKUP(Libromaestro[[#This Row],[CODIGO DEL DOCUMENTO]],Arreglo_Binaps[Codigo Documento],Arreglo_Binaps[Fecha_Aprobacion],"",0,1),IF(_xlpm.resultado=0,"",_xlpm.resultado))</f>
        <v/>
      </c>
      <c r="Q419" s="181"/>
      <c r="R419" s="105"/>
      <c r="S419" s="106"/>
      <c r="T419" s="98"/>
    </row>
    <row r="420" spans="1:20" ht="33.75" customHeight="1" x14ac:dyDescent="0.3">
      <c r="A420" s="195" t="str">
        <f>IFERROR(VLOOKUP(Libromaestro[[#This Row],[MACROPROCESO]],Tabla1[],2,FALSE),"")</f>
        <v>Suministros</v>
      </c>
      <c r="B420" s="98" t="s">
        <v>45</v>
      </c>
      <c r="C420" s="103" t="s">
        <v>30</v>
      </c>
      <c r="D420" s="103" t="s">
        <v>27</v>
      </c>
      <c r="E420" s="209"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420" s="209"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420" s="209">
        <v>25</v>
      </c>
      <c r="H420" s="195" t="str">
        <f>_xlfn.CONCAT(Libromaestro[[#This Row],[SIGLAS]],"-",Libromaestro[[#This Row],[T. DOC]],"-",Libromaestro[[#This Row],[CONSECUTIVO]])</f>
        <v>S-IN-25</v>
      </c>
      <c r="I420" s="211" t="s">
        <v>2476</v>
      </c>
      <c r="J420" s="209">
        <v>1</v>
      </c>
      <c r="K420" s="64" t="str">
        <f>_xlfn.XLOOKUP(Libromaestro[[#This Row],[CODIGO DEL DOCUMENTO]],Arreglo_Binaps[Codigo Documento],Arreglo_Binaps[Estado],"No creado",0)</f>
        <v>Aprobado</v>
      </c>
      <c r="L420" s="66" t="str">
        <f>_xlfn.XLOOKUP(Libromaestro[[#This Row],[CODIGO DEL DOCUMENTO]],Arreglo_Binaps[Codigo Documento],Arreglo_Binaps[Fecha de creación],"",0,1)</f>
        <v>2026-06-03</v>
      </c>
      <c r="M420" s="214"/>
      <c r="N420" s="216"/>
      <c r="O420" s="219">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420" s="219">
        <f>_xlfn.LET(_xlpm.resultado,_xlfn.XLOOKUP(Libromaestro[[#This Row],[CODIGO DEL DOCUMENTO]],Arreglo_Binaps[Codigo Documento],Arreglo_Binaps[Fecha_Aprobacion],"",0,1),IF(_xlpm.resultado=0,"",_xlpm.resultado))</f>
        <v>46176</v>
      </c>
      <c r="Q420" s="225"/>
      <c r="R420" s="229"/>
      <c r="S420" s="233"/>
      <c r="T420" s="239"/>
    </row>
    <row r="421" spans="1:20" ht="33.75" customHeight="1" x14ac:dyDescent="0.3">
      <c r="A421" s="60" t="str">
        <f>IFERROR(VLOOKUP(Libromaestro[[#This Row],[MACROPROCESO]],Tabla1[],2,FALSE),"")</f>
        <v>Corportativa</v>
      </c>
      <c r="B421" s="98" t="s">
        <v>32</v>
      </c>
      <c r="C421" s="103" t="s">
        <v>59</v>
      </c>
      <c r="D421" s="103" t="s">
        <v>37</v>
      </c>
      <c r="E421"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21"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421" s="103">
        <v>6</v>
      </c>
      <c r="H421" s="60" t="str">
        <f>_xlfn.CONCAT(Libromaestro[[#This Row],[SIGLAS]],"-",Libromaestro[[#This Row],[T. DOC]],"-",Libromaestro[[#This Row],[CONSECUTIVO]])</f>
        <v>H-PO-6</v>
      </c>
      <c r="I421" s="98" t="s">
        <v>501</v>
      </c>
      <c r="J421" s="103">
        <v>1</v>
      </c>
      <c r="K421" s="64" t="str">
        <f>_xlfn.XLOOKUP(Libromaestro[[#This Row],[CODIGO DEL DOCUMENTO]],Arreglo_Binaps[Codigo Documento],Arreglo_Binaps[Estado],"No creado",0)</f>
        <v>Aprobado</v>
      </c>
      <c r="L421" s="66" t="str">
        <f>_xlfn.XLOOKUP(Libromaestro[[#This Row],[CODIGO DEL DOCUMENTO]],Arreglo_Binaps[Codigo Documento],Arreglo_Binaps[Fecha de creación],"",0,1)</f>
        <v>2024-06-05</v>
      </c>
      <c r="M421" s="93"/>
      <c r="N42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46543</v>
      </c>
      <c r="O421"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46543</v>
      </c>
      <c r="P421" s="104">
        <f>_xlfn.LET(_xlpm.resultado,_xlfn.XLOOKUP(Libromaestro[[#This Row],[CODIGO DEL DOCUMENTO]],Arreglo_Binaps[Codigo Documento],Arreglo_Binaps[Fecha_Aprobacion],"",0,1),IF(_xlpm.resultado=0,"",_xlpm.resultado))</f>
        <v>45574</v>
      </c>
      <c r="Q421" s="181"/>
      <c r="R421" s="105"/>
      <c r="S421" s="106"/>
      <c r="T421" s="98"/>
    </row>
    <row r="422" spans="1:20" ht="33.75" customHeight="1" x14ac:dyDescent="0.3">
      <c r="A422" s="195" t="str">
        <f>IFERROR(VLOOKUP(Libromaestro[[#This Row],[MACROPROCESO]],Tabla1[],2,FALSE),"")</f>
        <v>Suministros</v>
      </c>
      <c r="B422" s="98" t="s">
        <v>45</v>
      </c>
      <c r="C422" s="103" t="s">
        <v>30</v>
      </c>
      <c r="D422" s="103" t="s">
        <v>27</v>
      </c>
      <c r="E422" s="209"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422" s="209"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422" s="209">
        <v>26</v>
      </c>
      <c r="H422" s="195" t="str">
        <f>_xlfn.CONCAT(Libromaestro[[#This Row],[SIGLAS]],"-",Libromaestro[[#This Row],[T. DOC]],"-",Libromaestro[[#This Row],[CONSECUTIVO]])</f>
        <v>S-IN-26</v>
      </c>
      <c r="I422" s="211" t="s">
        <v>2518</v>
      </c>
      <c r="J422" s="209">
        <v>1</v>
      </c>
      <c r="K422" s="64" t="str">
        <f>_xlfn.XLOOKUP(Libromaestro[[#This Row],[CODIGO DEL DOCUMENTO]],Arreglo_Binaps[Codigo Documento],Arreglo_Binaps[Estado],"No creado",0)</f>
        <v>Aprobado</v>
      </c>
      <c r="L422" s="66" t="str">
        <f>_xlfn.XLOOKUP(Libromaestro[[#This Row],[CODIGO DEL DOCUMENTO]],Arreglo_Binaps[Codigo Documento],Arreglo_Binaps[Fecha de creación],"",0,1)</f>
        <v>2026-06-03</v>
      </c>
      <c r="M422" s="214"/>
      <c r="N422" s="216"/>
      <c r="O422" s="219">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422" s="219">
        <f>_xlfn.LET(_xlpm.resultado,_xlfn.XLOOKUP(Libromaestro[[#This Row],[CODIGO DEL DOCUMENTO]],Arreglo_Binaps[Codigo Documento],Arreglo_Binaps[Fecha_Aprobacion],"",0,1),IF(_xlpm.resultado=0,"",_xlpm.resultado))</f>
        <v>46176</v>
      </c>
      <c r="Q422" s="225"/>
      <c r="R422" s="229"/>
      <c r="S422" s="233"/>
      <c r="T422" s="239"/>
    </row>
    <row r="423" spans="1:20" ht="33.75" customHeight="1" x14ac:dyDescent="0.3">
      <c r="A423" s="60" t="str">
        <f>IFERROR(VLOOKUP(Libromaestro[[#This Row],[MACROPROCESO]],Tabla1[],2,FALSE),"")</f>
        <v>Corportativa</v>
      </c>
      <c r="B423" s="98" t="s">
        <v>32</v>
      </c>
      <c r="C423" s="103" t="s">
        <v>59</v>
      </c>
      <c r="D423" s="103" t="s">
        <v>34</v>
      </c>
      <c r="E423"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23"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423" s="103">
        <v>10</v>
      </c>
      <c r="H423" s="60" t="str">
        <f>_xlfn.CONCAT(Libromaestro[[#This Row],[SIGLAS]],"-",Libromaestro[[#This Row],[T. DOC]],"-",Libromaestro[[#This Row],[CONSECUTIVO]])</f>
        <v>H-PR-10</v>
      </c>
      <c r="I423" s="98" t="s">
        <v>503</v>
      </c>
      <c r="J423" s="103">
        <v>1</v>
      </c>
      <c r="K423" s="64" t="str">
        <f>_xlfn.XLOOKUP(Libromaestro[[#This Row],[CODIGO DEL DOCUMENTO]],Arreglo_Binaps[Codigo Documento],Arreglo_Binaps[Estado],"No creado",0)</f>
        <v>No creado</v>
      </c>
      <c r="L423" s="66" t="str">
        <f>_xlfn.XLOOKUP(Libromaestro[[#This Row],[CODIGO DEL DOCUMENTO]],Arreglo_Binaps[Codigo Documento],Arreglo_Binaps[Fecha de creación],"",0,1)</f>
        <v/>
      </c>
      <c r="M423" s="93"/>
      <c r="N423"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423" s="93"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23" s="104" t="str">
        <f>_xlfn.LET(_xlpm.resultado,_xlfn.XLOOKUP(Libromaestro[[#This Row],[CODIGO DEL DOCUMENTO]],Arreglo_Binaps[Codigo Documento],Arreglo_Binaps[Fecha_Aprobacion],"",0,1),IF(_xlpm.resultado=0,"",_xlpm.resultado))</f>
        <v/>
      </c>
      <c r="Q423" s="181"/>
      <c r="R423" s="105"/>
      <c r="S423" s="106"/>
      <c r="T423" s="98"/>
    </row>
    <row r="424" spans="1:20" ht="33.75" customHeight="1" x14ac:dyDescent="0.3">
      <c r="A424" s="195" t="str">
        <f>IFERROR(VLOOKUP(Libromaestro[[#This Row],[MACROPROCESO]],Tabla1[],2,FALSE),"")</f>
        <v>Suministros</v>
      </c>
      <c r="B424" s="98" t="s">
        <v>45</v>
      </c>
      <c r="C424" s="103" t="s">
        <v>30</v>
      </c>
      <c r="D424" s="103" t="s">
        <v>27</v>
      </c>
      <c r="E424" s="209"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424" s="209"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424" s="209">
        <v>27</v>
      </c>
      <c r="H424" s="195" t="str">
        <f>_xlfn.CONCAT(Libromaestro[[#This Row],[SIGLAS]],"-",Libromaestro[[#This Row],[T. DOC]],"-",Libromaestro[[#This Row],[CONSECUTIVO]])</f>
        <v>S-IN-27</v>
      </c>
      <c r="I424" s="211" t="s">
        <v>2519</v>
      </c>
      <c r="J424" s="209">
        <v>1</v>
      </c>
      <c r="K424" s="64" t="str">
        <f>_xlfn.XLOOKUP(Libromaestro[[#This Row],[CODIGO DEL DOCUMENTO]],Arreglo_Binaps[Codigo Documento],Arreglo_Binaps[Estado],"No creado",0)</f>
        <v>Aprobado</v>
      </c>
      <c r="L424" s="66" t="str">
        <f>_xlfn.XLOOKUP(Libromaestro[[#This Row],[CODIGO DEL DOCUMENTO]],Arreglo_Binaps[Codigo Documento],Arreglo_Binaps[Fecha de creación],"",0,1)</f>
        <v>2026-06-03</v>
      </c>
      <c r="M424" s="214"/>
      <c r="N424" s="216"/>
      <c r="O424" s="219">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424" s="219">
        <f>_xlfn.LET(_xlpm.resultado,_xlfn.XLOOKUP(Libromaestro[[#This Row],[CODIGO DEL DOCUMENTO]],Arreglo_Binaps[Codigo Documento],Arreglo_Binaps[Fecha_Aprobacion],"",0,1),IF(_xlpm.resultado=0,"",_xlpm.resultado))</f>
        <v>46176</v>
      </c>
      <c r="Q424" s="225"/>
      <c r="R424" s="229"/>
      <c r="S424" s="233"/>
      <c r="T424" s="239"/>
    </row>
    <row r="425" spans="1:20" ht="33.75" customHeight="1" x14ac:dyDescent="0.3">
      <c r="A425" s="60" t="str">
        <f>IFERROR(VLOOKUP(Libromaestro[[#This Row],[MACROPROCESO]],Tabla1[],2,FALSE),"")</f>
        <v>Corportativa</v>
      </c>
      <c r="B425" s="70" t="s">
        <v>32</v>
      </c>
      <c r="C425" s="60" t="s">
        <v>59</v>
      </c>
      <c r="D425" s="60" t="s">
        <v>16</v>
      </c>
      <c r="E425"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25"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25" s="60">
        <v>35</v>
      </c>
      <c r="H425" s="60" t="str">
        <f>_xlfn.CONCAT(Libromaestro[[#This Row],[SIGLAS]],"-",Libromaestro[[#This Row],[T. DOC]],"-",Libromaestro[[#This Row],[CONSECUTIVO]])</f>
        <v>H-FT-35</v>
      </c>
      <c r="I425" s="70" t="s">
        <v>505</v>
      </c>
      <c r="J425" s="60">
        <v>2</v>
      </c>
      <c r="K425" s="64" t="str">
        <f>_xlfn.XLOOKUP(Libromaestro[[#This Row],[CODIGO DEL DOCUMENTO]],Arreglo_Binaps[Codigo Documento],Arreglo_Binaps[Estado],"No creado",0)</f>
        <v>Aprobado</v>
      </c>
      <c r="L425" s="66" t="str">
        <f>_xlfn.XLOOKUP(Libromaestro[[#This Row],[CODIGO DEL DOCUMENTO]],Arreglo_Binaps[Codigo Documento],Arreglo_Binaps[Fecha de creación],"",0,1)</f>
        <v>2020-01-20</v>
      </c>
      <c r="M425" s="66">
        <v>45748</v>
      </c>
      <c r="N42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46844</v>
      </c>
      <c r="O425"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46844</v>
      </c>
      <c r="P425" s="104">
        <f>_xlfn.LET(_xlpm.resultado,_xlfn.XLOOKUP(Libromaestro[[#This Row],[CODIGO DEL DOCUMENTO]],Arreglo_Binaps[Codigo Documento],Arreglo_Binaps[Fecha_Aprobacion],"",0,1),IF(_xlpm.resultado=0,"",_xlpm.resultado))</f>
        <v>45877</v>
      </c>
      <c r="Q425" s="172"/>
      <c r="R425" s="68"/>
      <c r="S425" s="69" t="s">
        <v>11</v>
      </c>
      <c r="T425" s="70"/>
    </row>
    <row r="426" spans="1:20" ht="33.75" customHeight="1" x14ac:dyDescent="0.3">
      <c r="A426" s="195" t="str">
        <f>IFERROR(VLOOKUP(Libromaestro[[#This Row],[MACROPROCESO]],Tabla1[],2,FALSE),"")</f>
        <v>Suministros</v>
      </c>
      <c r="B426" s="206" t="s">
        <v>45</v>
      </c>
      <c r="C426" s="204" t="s">
        <v>54</v>
      </c>
      <c r="D426" s="204" t="s">
        <v>27</v>
      </c>
      <c r="E426" s="20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426" s="20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426" s="204">
        <v>28</v>
      </c>
      <c r="H426" s="204" t="str">
        <f>_xlfn.CONCAT(Libromaestro[[#This Row],[SIGLAS]],"-",Libromaestro[[#This Row],[T. DOC]],"-",Libromaestro[[#This Row],[CONSECUTIVO]])</f>
        <v>S-IN-28</v>
      </c>
      <c r="I426" s="206" t="s">
        <v>2527</v>
      </c>
      <c r="J426" s="204">
        <v>1</v>
      </c>
      <c r="K426" s="64" t="str">
        <f>_xlfn.XLOOKUP(Libromaestro[[#This Row],[CODIGO DEL DOCUMENTO]],Arreglo_Binaps[Codigo Documento],Arreglo_Binaps[Estado],"No creado",0)</f>
        <v>Aprobado</v>
      </c>
      <c r="L426" s="66" t="str">
        <f>_xlfn.XLOOKUP(Libromaestro[[#This Row],[CODIGO DEL DOCUMENTO]],Arreglo_Binaps[Codigo Documento],Arreglo_Binaps[Fecha de creación],"",0,1)</f>
        <v>2026-06-03</v>
      </c>
      <c r="M426" s="197"/>
      <c r="N426" s="215"/>
      <c r="O426" s="218">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426" s="218">
        <f>_xlfn.LET(_xlpm.resultado,_xlfn.XLOOKUP(Libromaestro[[#This Row],[CODIGO DEL DOCUMENTO]],Arreglo_Binaps[Codigo Documento],Arreglo_Binaps[Fecha_Aprobacion],"",0,1),IF(_xlpm.resultado=0,"",_xlpm.resultado))</f>
        <v>46218</v>
      </c>
      <c r="Q426" s="223"/>
      <c r="R426" s="227"/>
      <c r="S426" s="231"/>
      <c r="T426" s="236"/>
    </row>
    <row r="427" spans="1:20" ht="33.75" customHeight="1" x14ac:dyDescent="0.3">
      <c r="A427" s="60" t="str">
        <f>IFERROR(VLOOKUP(Libromaestro[[#This Row],[MACROPROCESO]],Tabla1[],2,FALSE),"")</f>
        <v>Corportativa</v>
      </c>
      <c r="B427" s="98" t="s">
        <v>32</v>
      </c>
      <c r="C427" s="103" t="s">
        <v>59</v>
      </c>
      <c r="D427" s="103" t="s">
        <v>16</v>
      </c>
      <c r="E427"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27"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27" s="103">
        <v>36</v>
      </c>
      <c r="H427" s="60" t="str">
        <f>_xlfn.CONCAT(Libromaestro[[#This Row],[SIGLAS]],"-",Libromaestro[[#This Row],[T. DOC]],"-",Libromaestro[[#This Row],[CONSECUTIVO]])</f>
        <v>H-FT-36</v>
      </c>
      <c r="I427" s="98" t="s">
        <v>507</v>
      </c>
      <c r="J427" s="103">
        <v>1</v>
      </c>
      <c r="K427" s="64" t="str">
        <f>_xlfn.XLOOKUP(Libromaestro[[#This Row],[CODIGO DEL DOCUMENTO]],Arreglo_Binaps[Codigo Documento],Arreglo_Binaps[Estado],"No creado",0)</f>
        <v>Aprobado</v>
      </c>
      <c r="L427" s="66" t="str">
        <f>_xlfn.XLOOKUP(Libromaestro[[#This Row],[CODIGO DEL DOCUMENTO]],Arreglo_Binaps[Codigo Documento],Arreglo_Binaps[Fecha de creación],"",0,1)</f>
        <v>2020-01-20</v>
      </c>
      <c r="M427" s="93"/>
      <c r="N42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44946</v>
      </c>
      <c r="O427"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44946</v>
      </c>
      <c r="P427" s="104">
        <f>_xlfn.LET(_xlpm.resultado,_xlfn.XLOOKUP(Libromaestro[[#This Row],[CODIGO DEL DOCUMENTO]],Arreglo_Binaps[Codigo Documento],Arreglo_Binaps[Fecha_Aprobacion],"",0,1),IF(_xlpm.resultado=0,"",_xlpm.resultado))</f>
        <v>43850</v>
      </c>
      <c r="Q427" s="181"/>
      <c r="R427" s="105"/>
      <c r="S427" s="106" t="s">
        <v>11</v>
      </c>
      <c r="T427" s="98"/>
    </row>
    <row r="428" spans="1:20" ht="33.75" customHeight="1" x14ac:dyDescent="0.3">
      <c r="A428" s="195" t="str">
        <f>IFERROR(VLOOKUP(Libromaestro[[#This Row],[MACROPROCESO]],Tabla1[],2,FALSE),"")</f>
        <v>Suministros</v>
      </c>
      <c r="B428" s="205" t="s">
        <v>45</v>
      </c>
      <c r="C428" s="208" t="s">
        <v>54</v>
      </c>
      <c r="D428" s="208" t="s">
        <v>27</v>
      </c>
      <c r="E428" s="208"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428" s="208"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428" s="204">
        <v>29</v>
      </c>
      <c r="H428" s="204" t="str">
        <f>_xlfn.CONCAT(Libromaestro[[#This Row],[SIGLAS]],"-",Libromaestro[[#This Row],[T. DOC]],"-",Libromaestro[[#This Row],[CONSECUTIVO]])</f>
        <v>S-IN-29</v>
      </c>
      <c r="I428" s="206" t="s">
        <v>2528</v>
      </c>
      <c r="J428" s="208">
        <v>1</v>
      </c>
      <c r="K428" s="64" t="str">
        <f>_xlfn.XLOOKUP(Libromaestro[[#This Row],[CODIGO DEL DOCUMENTO]],Arreglo_Binaps[Codigo Documento],Arreglo_Binaps[Estado],"No creado",0)</f>
        <v>Aprobado</v>
      </c>
      <c r="L428" s="66" t="str">
        <f>_xlfn.XLOOKUP(Libromaestro[[#This Row],[CODIGO DEL DOCUMENTO]],Arreglo_Binaps[Codigo Documento],Arreglo_Binaps[Fecha de creación],"",0,1)</f>
        <v>2026-06-03</v>
      </c>
      <c r="M428" s="213"/>
      <c r="N428" s="215"/>
      <c r="O428" s="217">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428" s="217">
        <f>_xlfn.LET(_xlpm.resultado,_xlfn.XLOOKUP(Libromaestro[[#This Row],[CODIGO DEL DOCUMENTO]],Arreglo_Binaps[Codigo Documento],Arreglo_Binaps[Fecha_Aprobacion],"",0,1),IF(_xlpm.resultado=0,"",_xlpm.resultado))</f>
        <v>46218</v>
      </c>
      <c r="Q428" s="222"/>
      <c r="R428" s="226"/>
      <c r="S428" s="230"/>
      <c r="T428" s="235"/>
    </row>
    <row r="429" spans="1:20" ht="33.75" customHeight="1" x14ac:dyDescent="0.3">
      <c r="A429" s="60" t="str">
        <f>IFERROR(VLOOKUP(Libromaestro[[#This Row],[MACROPROCESO]],Tabla1[],2,FALSE),"")</f>
        <v>Corportativa</v>
      </c>
      <c r="B429" s="70" t="s">
        <v>32</v>
      </c>
      <c r="C429" s="60" t="s">
        <v>59</v>
      </c>
      <c r="D429" s="60" t="s">
        <v>16</v>
      </c>
      <c r="E429"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29"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29" s="60">
        <v>37</v>
      </c>
      <c r="H429" s="60" t="str">
        <f>_xlfn.CONCAT(Libromaestro[[#This Row],[SIGLAS]],"-",Libromaestro[[#This Row],[T. DOC]],"-",Libromaestro[[#This Row],[CONSECUTIVO]])</f>
        <v>H-FT-37</v>
      </c>
      <c r="I429" s="109" t="s">
        <v>509</v>
      </c>
      <c r="J429" s="60">
        <v>1</v>
      </c>
      <c r="K429" s="64" t="str">
        <f>_xlfn.XLOOKUP(Libromaestro[[#This Row],[CODIGO DEL DOCUMENTO]],Arreglo_Binaps[Codigo Documento],Arreglo_Binaps[Estado],"No creado",0)</f>
        <v>Rechazado</v>
      </c>
      <c r="L429" s="66" t="str">
        <f>_xlfn.XLOOKUP(Libromaestro[[#This Row],[CODIGO DEL DOCUMENTO]],Arreglo_Binaps[Codigo Documento],Arreglo_Binaps[Fecha de creación],"",0,1)</f>
        <v>2025-05-29</v>
      </c>
      <c r="M429" s="66">
        <v>45806</v>
      </c>
      <c r="N42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O42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P429" s="67" t="str">
        <f>_xlfn.LET(_xlpm.resultado,_xlfn.XLOOKUP(Libromaestro[[#This Row],[CODIGO DEL DOCUMENTO]],Arreglo_Binaps[Codigo Documento],Arreglo_Binaps[Fecha_Aprobacion],"",0,1),IF(_xlpm.resultado=0,"",_xlpm.resultado))</f>
        <v/>
      </c>
      <c r="Q429" s="172"/>
      <c r="R429" s="68"/>
      <c r="S429" s="69"/>
      <c r="T429" s="70"/>
    </row>
    <row r="430" spans="1:20" ht="33.75" customHeight="1" x14ac:dyDescent="0.3">
      <c r="A430" s="60" t="str">
        <f>IFERROR(VLOOKUP(Libromaestro[[#This Row],[MACROPROCESO]],Tabla1[],2,FALSE),"")</f>
        <v>Suministros</v>
      </c>
      <c r="B430" s="70" t="s">
        <v>45</v>
      </c>
      <c r="C430" s="60" t="s">
        <v>30</v>
      </c>
      <c r="D430" s="60" t="s">
        <v>31</v>
      </c>
      <c r="E430"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430"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430" s="195">
        <v>1</v>
      </c>
      <c r="H430" s="60" t="str">
        <f>_xlfn.CONCAT(Libromaestro[[#This Row],[SIGLAS]],"-",Libromaestro[[#This Row],[T. DOC]],"-",Libromaestro[[#This Row],[CONSECUTIVO]])</f>
        <v>S-MA-1</v>
      </c>
      <c r="I430" s="212" t="s">
        <v>2524</v>
      </c>
      <c r="J430" s="60">
        <v>1</v>
      </c>
      <c r="K430" s="64" t="str">
        <f>_xlfn.XLOOKUP(Libromaestro[[#This Row],[CODIGO DEL DOCUMENTO]],Arreglo_Binaps[Codigo Documento],Arreglo_Binaps[Estado],"No creado",0)</f>
        <v>Aprobado</v>
      </c>
      <c r="L430" s="66" t="str">
        <f>_xlfn.XLOOKUP(Libromaestro[[#This Row],[CODIGO DEL DOCUMENTO]],Arreglo_Binaps[Codigo Documento],Arreglo_Binaps[Fecha de creación],"",0,1)</f>
        <v>2026-06-03</v>
      </c>
      <c r="M430" s="110"/>
      <c r="N43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O43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430" s="67">
        <f>_xlfn.LET(_xlpm.resultado,_xlfn.XLOOKUP(Libromaestro[[#This Row],[CODIGO DEL DOCUMENTO]],Arreglo_Binaps[Codigo Documento],Arreglo_Binaps[Fecha_Aprobacion],"",0,1),IF(_xlpm.resultado=0,"",_xlpm.resultado))</f>
        <v>46176</v>
      </c>
      <c r="Q430" s="177"/>
      <c r="R430" s="69"/>
      <c r="S430" s="85"/>
      <c r="T430" s="86"/>
    </row>
    <row r="431" spans="1:20" ht="33.75" customHeight="1" x14ac:dyDescent="0.3">
      <c r="A431" s="60" t="str">
        <f>IFERROR(VLOOKUP(Libromaestro[[#This Row],[MACROPROCESO]],Tabla1[],2,FALSE),"")</f>
        <v>Corportativa</v>
      </c>
      <c r="B431" s="98" t="s">
        <v>32</v>
      </c>
      <c r="C431" s="103" t="s">
        <v>59</v>
      </c>
      <c r="D431" s="103" t="s">
        <v>16</v>
      </c>
      <c r="E431"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31"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31" s="103">
        <v>38</v>
      </c>
      <c r="H431" s="60" t="str">
        <f>_xlfn.CONCAT(Libromaestro[[#This Row],[SIGLAS]],"-",Libromaestro[[#This Row],[T. DOC]],"-",Libromaestro[[#This Row],[CONSECUTIVO]])</f>
        <v>H-FT-38</v>
      </c>
      <c r="I431" s="98" t="s">
        <v>511</v>
      </c>
      <c r="J431" s="103">
        <v>1</v>
      </c>
      <c r="K431" s="64" t="str">
        <f>_xlfn.XLOOKUP(Libromaestro[[#This Row],[CODIGO DEL DOCUMENTO]],Arreglo_Binaps[Codigo Documento],Arreglo_Binaps[Estado],"No creado",0)</f>
        <v>Rechazado</v>
      </c>
      <c r="L431" s="66" t="str">
        <f>_xlfn.XLOOKUP(Libromaestro[[#This Row],[CODIGO DEL DOCUMENTO]],Arreglo_Binaps[Codigo Documento],Arreglo_Binaps[Fecha de creación],"",0,1)</f>
        <v>2025-05-29</v>
      </c>
      <c r="M431" s="93">
        <v>45806</v>
      </c>
      <c r="N43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O431" s="9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P431" s="104" t="str">
        <f>_xlfn.LET(_xlpm.resultado,_xlfn.XLOOKUP(Libromaestro[[#This Row],[CODIGO DEL DOCUMENTO]],Arreglo_Binaps[Codigo Documento],Arreglo_Binaps[Fecha_Aprobacion],"",0,1),IF(_xlpm.resultado=0,"",_xlpm.resultado))</f>
        <v/>
      </c>
      <c r="Q431" s="181"/>
      <c r="R431" s="105"/>
      <c r="S431" s="106"/>
      <c r="T431" s="98"/>
    </row>
    <row r="432" spans="1:20" ht="33.75" customHeight="1" x14ac:dyDescent="0.3">
      <c r="A432" s="204" t="str">
        <f>IFERROR(VLOOKUP(Libromaestro[[#This Row],[MACROPROCESO]],Tabla1[],2,FALSE),"")</f>
        <v>Suministros</v>
      </c>
      <c r="B432" s="205" t="s">
        <v>45</v>
      </c>
      <c r="C432" s="208" t="s">
        <v>54</v>
      </c>
      <c r="D432" s="208" t="s">
        <v>31</v>
      </c>
      <c r="E432" s="208"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432" s="208"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432" s="208">
        <v>2</v>
      </c>
      <c r="H432" s="204" t="str">
        <f>_xlfn.CONCAT(Libromaestro[[#This Row],[SIGLAS]],"-",Libromaestro[[#This Row],[T. DOC]],"-",Libromaestro[[#This Row],[CONSECUTIVO]])</f>
        <v>S-MA-2</v>
      </c>
      <c r="I432" s="256" t="s">
        <v>2544</v>
      </c>
      <c r="J432" s="208">
        <v>1</v>
      </c>
      <c r="K432" s="64" t="str">
        <f>_xlfn.XLOOKUP(Libromaestro[[#This Row],[CODIGO DEL DOCUMENTO]],Arreglo_Binaps[Codigo Documento],Arreglo_Binaps[Estado],"No creado",0)</f>
        <v>Aprobado</v>
      </c>
      <c r="L432" s="66" t="str">
        <f>_xlfn.XLOOKUP(Libromaestro[[#This Row],[CODIGO DEL DOCUMENTO]],Arreglo_Binaps[Codigo Documento],Arreglo_Binaps[Fecha de creación],"",0,1)</f>
        <v>2026-06-03</v>
      </c>
      <c r="M432" s="213"/>
      <c r="N432" s="215"/>
      <c r="O432" s="217">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432" s="217">
        <f>_xlfn.LET(_xlpm.resultado,_xlfn.XLOOKUP(Libromaestro[[#This Row],[CODIGO DEL DOCUMENTO]],Arreglo_Binaps[Codigo Documento],Arreglo_Binaps[Fecha_Aprobacion],"",0,1),IF(_xlpm.resultado=0,"",_xlpm.resultado))</f>
        <v>46218</v>
      </c>
      <c r="Q432" s="222"/>
      <c r="R432" s="226"/>
      <c r="S432" s="230"/>
      <c r="T432" s="235"/>
    </row>
    <row r="433" spans="1:20" ht="33.75" customHeight="1" x14ac:dyDescent="0.3">
      <c r="A433" s="60" t="str">
        <f>IFERROR(VLOOKUP(Libromaestro[[#This Row],[MACROPROCESO]],Tabla1[],2,FALSE),"")</f>
        <v>Alumbrado Público</v>
      </c>
      <c r="B433" s="70" t="s">
        <v>7</v>
      </c>
      <c r="C433" s="60" t="s">
        <v>61</v>
      </c>
      <c r="D433" s="60" t="s">
        <v>16</v>
      </c>
      <c r="E433"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433"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33" s="60">
        <v>39</v>
      </c>
      <c r="H433" s="60" t="str">
        <f>_xlfn.CONCAT(Libromaestro[[#This Row],[SIGLAS]],"-",Libromaestro[[#This Row],[T. DOC]],"-",Libromaestro[[#This Row],[CONSECUTIVO]])</f>
        <v>A-FT-39</v>
      </c>
      <c r="I433" s="109" t="s">
        <v>513</v>
      </c>
      <c r="J433" s="60">
        <v>1</v>
      </c>
      <c r="K433" s="64" t="str">
        <f>_xlfn.XLOOKUP(Libromaestro[[#This Row],[CODIGO DEL DOCUMENTO]],Arreglo_Binaps[Codigo Documento],Arreglo_Binaps[Estado],"No creado",0)</f>
        <v>Aprobado</v>
      </c>
      <c r="L433" s="66" t="str">
        <f>_xlfn.XLOOKUP(Libromaestro[[#This Row],[CODIGO DEL DOCUMENTO]],Arreglo_Binaps[Codigo Documento],Arreglo_Binaps[Fecha de creación],"",0,1)</f>
        <v>2023-05-05</v>
      </c>
      <c r="M433" s="110"/>
      <c r="N43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46147</v>
      </c>
      <c r="O43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46147</v>
      </c>
      <c r="P433" s="67">
        <f>_xlfn.LET(_xlpm.resultado,_xlfn.XLOOKUP(Libromaestro[[#This Row],[CODIGO DEL DOCUMENTO]],Arreglo_Binaps[Codigo Documento],Arreglo_Binaps[Fecha_Aprobacion],"",0,1),IF(_xlpm.resultado=0,"",_xlpm.resultado))</f>
        <v>45630</v>
      </c>
      <c r="Q433" s="172"/>
      <c r="R433" s="68"/>
      <c r="S433" s="69" t="s">
        <v>28</v>
      </c>
      <c r="T433" s="70" t="s">
        <v>514</v>
      </c>
    </row>
    <row r="434" spans="1:20" ht="33.75" customHeight="1" x14ac:dyDescent="0.3">
      <c r="A434" s="60" t="str">
        <f>IFERROR(VLOOKUP(Libromaestro[[#This Row],[MACROPROCESO]],Tabla1[],2,FALSE),"")</f>
        <v>Corportativa</v>
      </c>
      <c r="B434" s="70" t="s">
        <v>32</v>
      </c>
      <c r="C434" s="60" t="s">
        <v>59</v>
      </c>
      <c r="D434" s="60" t="s">
        <v>16</v>
      </c>
      <c r="E434"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34"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34" s="60">
        <v>39</v>
      </c>
      <c r="H434" s="60" t="str">
        <f>_xlfn.CONCAT(Libromaestro[[#This Row],[SIGLAS]],"-",Libromaestro[[#This Row],[T. DOC]],"-",Libromaestro[[#This Row],[CONSECUTIVO]])</f>
        <v>H-FT-39</v>
      </c>
      <c r="I434" s="109" t="s">
        <v>515</v>
      </c>
      <c r="J434" s="60">
        <v>1</v>
      </c>
      <c r="K434" s="64" t="str">
        <f>_xlfn.XLOOKUP(Libromaestro[[#This Row],[CODIGO DEL DOCUMENTO]],Arreglo_Binaps[Codigo Documento],Arreglo_Binaps[Estado],"No creado",0)</f>
        <v>Rechazado</v>
      </c>
      <c r="L434" s="66" t="str">
        <f>_xlfn.XLOOKUP(Libromaestro[[#This Row],[CODIGO DEL DOCUMENTO]],Arreglo_Binaps[Codigo Documento],Arreglo_Binaps[Fecha de creación],"",0,1)</f>
        <v>2025-05-29</v>
      </c>
      <c r="M434" s="110">
        <v>45806</v>
      </c>
      <c r="N43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O43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P434" s="67" t="str">
        <f>_xlfn.LET(_xlpm.resultado,_xlfn.XLOOKUP(Libromaestro[[#This Row],[CODIGO DEL DOCUMENTO]],Arreglo_Binaps[Codigo Documento],Arreglo_Binaps[Fecha_Aprobacion],"",0,1),IF(_xlpm.resultado=0,"",_xlpm.resultado))</f>
        <v/>
      </c>
      <c r="Q434" s="172"/>
      <c r="R434" s="68"/>
      <c r="S434" s="69"/>
      <c r="T434" s="70"/>
    </row>
    <row r="435" spans="1:20" ht="33.75" customHeight="1" x14ac:dyDescent="0.3">
      <c r="A435" s="60" t="str">
        <f>IFERROR(VLOOKUP(Libromaestro[[#This Row],[MACROPROCESO]],Tabla1[],2,FALSE),"")</f>
        <v>Alumbrado Público</v>
      </c>
      <c r="B435" s="98" t="s">
        <v>7</v>
      </c>
      <c r="C435" s="64" t="s">
        <v>61</v>
      </c>
      <c r="D435" s="60" t="s">
        <v>16</v>
      </c>
      <c r="E435"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435"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35" s="60">
        <v>40</v>
      </c>
      <c r="H435" s="60" t="str">
        <f>_xlfn.CONCAT(Libromaestro[[#This Row],[SIGLAS]],"-",Libromaestro[[#This Row],[T. DOC]],"-",Libromaestro[[#This Row],[CONSECUTIVO]])</f>
        <v>A-FT-40</v>
      </c>
      <c r="I435" s="98" t="s">
        <v>516</v>
      </c>
      <c r="J435" s="60">
        <v>1</v>
      </c>
      <c r="K435" s="64" t="str">
        <f>_xlfn.XLOOKUP(Libromaestro[[#This Row],[CODIGO DEL DOCUMENTO]],Arreglo_Binaps[Codigo Documento],Arreglo_Binaps[Estado],"No creado",0)</f>
        <v>Aprobado</v>
      </c>
      <c r="L435" s="66" t="str">
        <f>_xlfn.XLOOKUP(Libromaestro[[#This Row],[CODIGO DEL DOCUMENTO]],Arreglo_Binaps[Codigo Documento],Arreglo_Binaps[Fecha de creación],"",0,1)</f>
        <v>2023-07-25</v>
      </c>
      <c r="M435" s="110">
        <v>45812</v>
      </c>
      <c r="N43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46908</v>
      </c>
      <c r="O43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46908</v>
      </c>
      <c r="P435" s="67">
        <f>_xlfn.LET(_xlpm.resultado,_xlfn.XLOOKUP(Libromaestro[[#This Row],[CODIGO DEL DOCUMENTO]],Arreglo_Binaps[Codigo Documento],Arreglo_Binaps[Fecha_Aprobacion],"",0,1),IF(_xlpm.resultado=0,"",_xlpm.resultado))</f>
        <v>46154</v>
      </c>
      <c r="Q435" s="172"/>
      <c r="R435" s="68"/>
      <c r="S435" s="69" t="s">
        <v>28</v>
      </c>
      <c r="T435" s="70"/>
    </row>
    <row r="436" spans="1:20" ht="33.75" customHeight="1" x14ac:dyDescent="0.3">
      <c r="A436" s="60" t="str">
        <f>IFERROR(VLOOKUP(Libromaestro[[#This Row],[MACROPROCESO]],Tabla1[],2,FALSE),"")</f>
        <v>Corportativa</v>
      </c>
      <c r="B436" s="70" t="s">
        <v>32</v>
      </c>
      <c r="C436" s="64" t="s">
        <v>59</v>
      </c>
      <c r="D436" s="60" t="s">
        <v>34</v>
      </c>
      <c r="E436"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36"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436" s="60">
        <v>14</v>
      </c>
      <c r="H436" s="60" t="str">
        <f>_xlfn.CONCAT(Libromaestro[[#This Row],[SIGLAS]],"-",Libromaestro[[#This Row],[T. DOC]],"-",Libromaestro[[#This Row],[CONSECUTIVO]])</f>
        <v>H-PR-14</v>
      </c>
      <c r="I436" s="70" t="s">
        <v>517</v>
      </c>
      <c r="J436" s="60">
        <v>1</v>
      </c>
      <c r="K436" s="64" t="str">
        <f>_xlfn.XLOOKUP(Libromaestro[[#This Row],[CODIGO DEL DOCUMENTO]],Arreglo_Binaps[Codigo Documento],Arreglo_Binaps[Estado],"No creado",0)</f>
        <v>No creado</v>
      </c>
      <c r="L436" s="66" t="str">
        <f>_xlfn.XLOOKUP(Libromaestro[[#This Row],[CODIGO DEL DOCUMENTO]],Arreglo_Binaps[Codigo Documento],Arreglo_Binaps[Fecha de creación],"",0,1)</f>
        <v/>
      </c>
      <c r="M436" s="66"/>
      <c r="N436"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436"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36" s="67" t="str">
        <f>_xlfn.LET(_xlpm.resultado,_xlfn.XLOOKUP(Libromaestro[[#This Row],[CODIGO DEL DOCUMENTO]],Arreglo_Binaps[Codigo Documento],Arreglo_Binaps[Fecha_Aprobacion],"",0,1),IF(_xlpm.resultado=0,"",_xlpm.resultado))</f>
        <v/>
      </c>
      <c r="Q436" s="172"/>
      <c r="R436" s="68"/>
      <c r="S436" s="69"/>
      <c r="T436" s="70"/>
    </row>
    <row r="437" spans="1:20" ht="33.75" customHeight="1" x14ac:dyDescent="0.3">
      <c r="A437" s="60" t="str">
        <f>IFERROR(VLOOKUP(Libromaestro[[#This Row],[MACROPROCESO]],Tabla1[],2,FALSE),"")</f>
        <v>Corportativa</v>
      </c>
      <c r="B437" s="98" t="s">
        <v>32</v>
      </c>
      <c r="C437" s="103" t="s">
        <v>59</v>
      </c>
      <c r="D437" s="103" t="s">
        <v>16</v>
      </c>
      <c r="E437" s="103"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37" s="103"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37" s="103">
        <v>41</v>
      </c>
      <c r="H437" s="60" t="str">
        <f>_xlfn.CONCAT(Libromaestro[[#This Row],[SIGLAS]],"-",Libromaestro[[#This Row],[T. DOC]],"-",Libromaestro[[#This Row],[CONSECUTIVO]])</f>
        <v>H-FT-41</v>
      </c>
      <c r="I437" s="98" t="s">
        <v>518</v>
      </c>
      <c r="J437" s="103">
        <v>2</v>
      </c>
      <c r="K437" s="64" t="str">
        <f>_xlfn.XLOOKUP(Libromaestro[[#This Row],[CODIGO DEL DOCUMENTO]],Arreglo_Binaps[Codigo Documento],Arreglo_Binaps[Estado],"No creado",0)</f>
        <v>Rechazado</v>
      </c>
      <c r="L437" s="66" t="str">
        <f>_xlfn.XLOOKUP(Libromaestro[[#This Row],[CODIGO DEL DOCUMENTO]],Arreglo_Binaps[Codigo Documento],Arreglo_Binaps[Fecha de creación],"",0,1)</f>
        <v>2021-08-03</v>
      </c>
      <c r="M437" s="66">
        <v>45747</v>
      </c>
      <c r="N43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46843</v>
      </c>
      <c r="O43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46843</v>
      </c>
      <c r="P437" s="67" t="str">
        <f>_xlfn.LET(_xlpm.resultado,_xlfn.XLOOKUP(Libromaestro[[#This Row],[CODIGO DEL DOCUMENTO]],Arreglo_Binaps[Codigo Documento],Arreglo_Binaps[Fecha_Aprobacion],"",0,1),IF(_xlpm.resultado=0,"",_xlpm.resultado))</f>
        <v/>
      </c>
      <c r="Q437" s="172"/>
      <c r="R437" s="68"/>
      <c r="S437" s="69"/>
      <c r="T437" s="70"/>
    </row>
    <row r="438" spans="1:20" ht="33.75" customHeight="1" x14ac:dyDescent="0.3">
      <c r="A438" s="60" t="str">
        <f>IFERROR(VLOOKUP(Libromaestro[[#This Row],[MACROPROCESO]],Tabla1[],2,FALSE),"")</f>
        <v>Corportativa</v>
      </c>
      <c r="B438" s="70" t="s">
        <v>32</v>
      </c>
      <c r="C438" s="60" t="s">
        <v>59</v>
      </c>
      <c r="D438" s="60" t="s">
        <v>16</v>
      </c>
      <c r="E438"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38"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38" s="60">
        <v>42</v>
      </c>
      <c r="H438" s="60" t="str">
        <f>_xlfn.CONCAT(Libromaestro[[#This Row],[SIGLAS]],"-",Libromaestro[[#This Row],[T. DOC]],"-",Libromaestro[[#This Row],[CONSECUTIVO]])</f>
        <v>H-FT-42</v>
      </c>
      <c r="I438" s="70" t="s">
        <v>519</v>
      </c>
      <c r="J438" s="60">
        <v>2</v>
      </c>
      <c r="K438" s="64" t="str">
        <f>_xlfn.XLOOKUP(Libromaestro[[#This Row],[CODIGO DEL DOCUMENTO]],Arreglo_Binaps[Codigo Documento],Arreglo_Binaps[Estado],"No creado",0)</f>
        <v>Aprobado</v>
      </c>
      <c r="L438" s="66" t="str">
        <f>_xlfn.XLOOKUP(Libromaestro[[#This Row],[CODIGO DEL DOCUMENTO]],Arreglo_Binaps[Codigo Documento],Arreglo_Binaps[Fecha de creación],"",0,1)</f>
        <v>2022-09-29</v>
      </c>
      <c r="M438" s="66">
        <v>45394</v>
      </c>
      <c r="N43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46489</v>
      </c>
      <c r="O43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46489</v>
      </c>
      <c r="P438" s="67">
        <f>_xlfn.LET(_xlpm.resultado,_xlfn.XLOOKUP(Libromaestro[[#This Row],[CODIGO DEL DOCUMENTO]],Arreglo_Binaps[Codigo Documento],Arreglo_Binaps[Fecha_Aprobacion],"",0,1),IF(_xlpm.resultado=0,"",_xlpm.resultado))</f>
        <v>45455</v>
      </c>
      <c r="Q438" s="172"/>
      <c r="R438" s="68"/>
      <c r="S438" s="69" t="s">
        <v>11</v>
      </c>
      <c r="T438" s="70"/>
    </row>
    <row r="439" spans="1:20" ht="33.75" customHeight="1" x14ac:dyDescent="0.3">
      <c r="A439" s="60" t="str">
        <f>IFERROR(VLOOKUP(Libromaestro[[#This Row],[MACROPROCESO]],Tabla1[],2,FALSE),"")</f>
        <v>Corportativa</v>
      </c>
      <c r="B439" s="73" t="s">
        <v>32</v>
      </c>
      <c r="C439" s="64" t="s">
        <v>59</v>
      </c>
      <c r="D439" s="64" t="s">
        <v>16</v>
      </c>
      <c r="E43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3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39" s="64">
        <v>43</v>
      </c>
      <c r="H439" s="60" t="str">
        <f>_xlfn.CONCAT(Libromaestro[[#This Row],[SIGLAS]],"-",Libromaestro[[#This Row],[T. DOC]],"-",Libromaestro[[#This Row],[CONSECUTIVO]])</f>
        <v>H-FT-43</v>
      </c>
      <c r="I439" s="73" t="s">
        <v>520</v>
      </c>
      <c r="J439" s="64">
        <v>1</v>
      </c>
      <c r="K439" s="64" t="str">
        <f>_xlfn.XLOOKUP(Libromaestro[[#This Row],[CODIGO DEL DOCUMENTO]],Arreglo_Binaps[Codigo Documento],Arreglo_Binaps[Estado],"No creado",0)</f>
        <v>Aprobado</v>
      </c>
      <c r="L439" s="66" t="str">
        <f>_xlfn.XLOOKUP(Libromaestro[[#This Row],[CODIGO DEL DOCUMENTO]],Arreglo_Binaps[Codigo Documento],Arreglo_Binaps[Fecha de creación],"",0,1)</f>
        <v>2022-09-29</v>
      </c>
      <c r="M439" s="66">
        <v>45744</v>
      </c>
      <c r="N43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46840</v>
      </c>
      <c r="O439"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46840</v>
      </c>
      <c r="P439" s="74">
        <f>_xlfn.LET(_xlpm.resultado,_xlfn.XLOOKUP(Libromaestro[[#This Row],[CODIGO DEL DOCUMENTO]],Arreglo_Binaps[Codigo Documento],Arreglo_Binaps[Fecha_Aprobacion],"",0,1),IF(_xlpm.resultado=0,"",_xlpm.resultado))</f>
        <v>44833</v>
      </c>
      <c r="Q439" s="173"/>
      <c r="R439" s="75"/>
      <c r="S439" s="76" t="s">
        <v>11</v>
      </c>
      <c r="T439" s="73"/>
    </row>
    <row r="440" spans="1:20" ht="33.75" customHeight="1" x14ac:dyDescent="0.3">
      <c r="A440" s="60" t="str">
        <f>IFERROR(VLOOKUP(Libromaestro[[#This Row],[MACROPROCESO]],Tabla1[],2,FALSE),"")</f>
        <v>Corportativa</v>
      </c>
      <c r="B440" s="73" t="s">
        <v>32</v>
      </c>
      <c r="C440" s="60" t="s">
        <v>59</v>
      </c>
      <c r="D440" s="64" t="s">
        <v>16</v>
      </c>
      <c r="E44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4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40" s="60">
        <v>44</v>
      </c>
      <c r="H440" s="60" t="str">
        <f>_xlfn.CONCAT(Libromaestro[[#This Row],[SIGLAS]],"-",Libromaestro[[#This Row],[T. DOC]],"-",Libromaestro[[#This Row],[CONSECUTIVO]])</f>
        <v>H-FT-44</v>
      </c>
      <c r="I440" s="70" t="s">
        <v>521</v>
      </c>
      <c r="J440" s="60">
        <v>2</v>
      </c>
      <c r="K440" s="64" t="str">
        <f>_xlfn.XLOOKUP(Libromaestro[[#This Row],[CODIGO DEL DOCUMENTO]],Arreglo_Binaps[Codigo Documento],Arreglo_Binaps[Estado],"No creado",0)</f>
        <v>En Revision</v>
      </c>
      <c r="L440" s="66" t="str">
        <f>_xlfn.XLOOKUP(Libromaestro[[#This Row],[CODIGO DEL DOCUMENTO]],Arreglo_Binaps[Codigo Documento],Arreglo_Binaps[Fecha de creación],"",0,1)</f>
        <v>2022-11-25</v>
      </c>
      <c r="M440" s="66">
        <v>45806</v>
      </c>
      <c r="N44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O44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P440" s="67">
        <f>_xlfn.LET(_xlpm.resultado,_xlfn.XLOOKUP(Libromaestro[[#This Row],[CODIGO DEL DOCUMENTO]],Arreglo_Binaps[Codigo Documento],Arreglo_Binaps[Fecha_Aprobacion],"",0,1),IF(_xlpm.resultado=0,"",_xlpm.resultado))</f>
        <v>45853</v>
      </c>
      <c r="Q440" s="172"/>
      <c r="R440" s="68"/>
      <c r="S440" s="69" t="s">
        <v>11</v>
      </c>
      <c r="T440" s="70"/>
    </row>
    <row r="441" spans="1:20" ht="33.75" customHeight="1" x14ac:dyDescent="0.3">
      <c r="A441" s="60" t="str">
        <f>IFERROR(VLOOKUP(Libromaestro[[#This Row],[MACROPROCESO]],Tabla1[],2,FALSE),"")</f>
        <v>Corportativa</v>
      </c>
      <c r="B441" s="73" t="s">
        <v>32</v>
      </c>
      <c r="C441" s="60" t="s">
        <v>59</v>
      </c>
      <c r="D441" s="64" t="s">
        <v>16</v>
      </c>
      <c r="E44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4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41" s="60">
        <v>45</v>
      </c>
      <c r="H441" s="60" t="str">
        <f>_xlfn.CONCAT(Libromaestro[[#This Row],[SIGLAS]],"-",Libromaestro[[#This Row],[T. DOC]],"-",Libromaestro[[#This Row],[CONSECUTIVO]])</f>
        <v>H-FT-45</v>
      </c>
      <c r="I441" s="70" t="s">
        <v>522</v>
      </c>
      <c r="J441" s="60">
        <v>2</v>
      </c>
      <c r="K441" s="64" t="str">
        <f>_xlfn.XLOOKUP(Libromaestro[[#This Row],[CODIGO DEL DOCUMENTO]],Arreglo_Binaps[Codigo Documento],Arreglo_Binaps[Estado],"No creado",0)</f>
        <v>Aprobado</v>
      </c>
      <c r="L441" s="66" t="str">
        <f>_xlfn.XLOOKUP(Libromaestro[[#This Row],[CODIGO DEL DOCUMENTO]],Arreglo_Binaps[Codigo Documento],Arreglo_Binaps[Fecha de creación],"",0,1)</f>
        <v>2022-12-26</v>
      </c>
      <c r="M441" s="66">
        <v>45806</v>
      </c>
      <c r="N44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O44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P441" s="67">
        <f>_xlfn.LET(_xlpm.resultado,_xlfn.XLOOKUP(Libromaestro[[#This Row],[CODIGO DEL DOCUMENTO]],Arreglo_Binaps[Codigo Documento],Arreglo_Binaps[Fecha_Aprobacion],"",0,1),IF(_xlpm.resultado=0,"",_xlpm.resultado))</f>
        <v>45877</v>
      </c>
      <c r="Q441" s="172"/>
      <c r="R441" s="68"/>
      <c r="S441" s="69" t="s">
        <v>11</v>
      </c>
      <c r="T441" s="70"/>
    </row>
    <row r="442" spans="1:20" ht="33.75" customHeight="1" x14ac:dyDescent="0.3">
      <c r="A442" s="60" t="str">
        <f>IFERROR(VLOOKUP(Libromaestro[[#This Row],[MACROPROCESO]],Tabla1[],2,FALSE),"")</f>
        <v>Corportativa</v>
      </c>
      <c r="B442" s="73" t="s">
        <v>32</v>
      </c>
      <c r="C442" s="60" t="s">
        <v>59</v>
      </c>
      <c r="D442" s="64" t="s">
        <v>16</v>
      </c>
      <c r="E44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4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42" s="60">
        <v>46</v>
      </c>
      <c r="H442" s="60" t="str">
        <f>_xlfn.CONCAT(Libromaestro[[#This Row],[SIGLAS]],"-",Libromaestro[[#This Row],[T. DOC]],"-",Libromaestro[[#This Row],[CONSECUTIVO]])</f>
        <v>H-FT-46</v>
      </c>
      <c r="I442" s="70" t="s">
        <v>523</v>
      </c>
      <c r="J442" s="60">
        <v>1</v>
      </c>
      <c r="K442" s="64" t="str">
        <f>_xlfn.XLOOKUP(Libromaestro[[#This Row],[CODIGO DEL DOCUMENTO]],Arreglo_Binaps[Codigo Documento],Arreglo_Binaps[Estado],"No creado",0)</f>
        <v>Aprobado</v>
      </c>
      <c r="L442" s="66" t="str">
        <f>_xlfn.XLOOKUP(Libromaestro[[#This Row],[CODIGO DEL DOCUMENTO]],Arreglo_Binaps[Codigo Documento],Arreglo_Binaps[Fecha de creación],"",0,1)</f>
        <v>2022-12-26</v>
      </c>
      <c r="M442" s="66"/>
      <c r="N44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46017</v>
      </c>
      <c r="O44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46017</v>
      </c>
      <c r="P442" s="67">
        <f>_xlfn.LET(_xlpm.resultado,_xlfn.XLOOKUP(Libromaestro[[#This Row],[CODIGO DEL DOCUMENTO]],Arreglo_Binaps[Codigo Documento],Arreglo_Binaps[Fecha_Aprobacion],"",0,1),IF(_xlpm.resultado=0,"",_xlpm.resultado))</f>
        <v>44921</v>
      </c>
      <c r="Q442" s="172"/>
      <c r="R442" s="68"/>
      <c r="S442" s="69" t="s">
        <v>11</v>
      </c>
      <c r="T442" s="70"/>
    </row>
    <row r="443" spans="1:20" ht="33.75" customHeight="1" x14ac:dyDescent="0.3">
      <c r="A443" s="60" t="str">
        <f>IFERROR(VLOOKUP(Libromaestro[[#This Row],[MACROPROCESO]],Tabla1[],2,FALSE),"")</f>
        <v>Corportativa</v>
      </c>
      <c r="B443" s="70" t="s">
        <v>32</v>
      </c>
      <c r="C443" s="60" t="s">
        <v>51</v>
      </c>
      <c r="D443" s="60" t="s">
        <v>16</v>
      </c>
      <c r="E443"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43"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43" s="60">
        <v>47</v>
      </c>
      <c r="H443" s="60" t="str">
        <f>_xlfn.CONCAT(Libromaestro[[#This Row],[SIGLAS]],"-",Libromaestro[[#This Row],[T. DOC]],"-",Libromaestro[[#This Row],[CONSECUTIVO]])</f>
        <v>H-FT-47</v>
      </c>
      <c r="I443" s="70" t="s">
        <v>524</v>
      </c>
      <c r="J443" s="60">
        <v>1</v>
      </c>
      <c r="K443" s="64" t="str">
        <f>_xlfn.XLOOKUP(Libromaestro[[#This Row],[CODIGO DEL DOCUMENTO]],Arreglo_Binaps[Codigo Documento],Arreglo_Binaps[Estado],"No creado",0)</f>
        <v>Aprobado</v>
      </c>
      <c r="L443" s="66" t="str">
        <f>_xlfn.XLOOKUP(Libromaestro[[#This Row],[CODIGO DEL DOCUMENTO]],Arreglo_Binaps[Codigo Documento],Arreglo_Binaps[Fecha de creación],"",0,1)</f>
        <v>2023-02-21</v>
      </c>
      <c r="M443" s="66"/>
      <c r="N44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46074</v>
      </c>
      <c r="O44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46074</v>
      </c>
      <c r="P443" s="67">
        <f>_xlfn.LET(_xlpm.resultado,_xlfn.XLOOKUP(Libromaestro[[#This Row],[CODIGO DEL DOCUMENTO]],Arreglo_Binaps[Codigo Documento],Arreglo_Binaps[Fecha_Aprobacion],"",0,1),IF(_xlpm.resultado=0,"",_xlpm.resultado))</f>
        <v>44978</v>
      </c>
      <c r="Q443" s="172"/>
      <c r="R443" s="68"/>
      <c r="S443" s="69" t="s">
        <v>11</v>
      </c>
      <c r="T443" s="70"/>
    </row>
    <row r="444" spans="1:20" ht="33.75" customHeight="1" x14ac:dyDescent="0.3">
      <c r="A444" s="60" t="str">
        <f>IFERROR(VLOOKUP(Libromaestro[[#This Row],[MACROPROCESO]],Tabla1[],2,FALSE),"")</f>
        <v>Corportativa</v>
      </c>
      <c r="B444" s="70" t="s">
        <v>32</v>
      </c>
      <c r="C444" s="60" t="s">
        <v>51</v>
      </c>
      <c r="D444" s="60" t="s">
        <v>16</v>
      </c>
      <c r="E444"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44"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44" s="60">
        <v>48</v>
      </c>
      <c r="H444" s="60" t="str">
        <f>_xlfn.CONCAT(Libromaestro[[#This Row],[SIGLAS]],"-",Libromaestro[[#This Row],[T. DOC]],"-",Libromaestro[[#This Row],[CONSECUTIVO]])</f>
        <v>H-FT-48</v>
      </c>
      <c r="I444" s="70" t="s">
        <v>525</v>
      </c>
      <c r="J444" s="60">
        <v>1</v>
      </c>
      <c r="K444" s="64" t="str">
        <f>_xlfn.XLOOKUP(Libromaestro[[#This Row],[CODIGO DEL DOCUMENTO]],Arreglo_Binaps[Codigo Documento],Arreglo_Binaps[Estado],"No creado",0)</f>
        <v>Aprobado</v>
      </c>
      <c r="L444" s="66" t="str">
        <f>_xlfn.XLOOKUP(Libromaestro[[#This Row],[CODIGO DEL DOCUMENTO]],Arreglo_Binaps[Codigo Documento],Arreglo_Binaps[Fecha de creación],"",0,1)</f>
        <v>2023-02-22</v>
      </c>
      <c r="M444" s="66"/>
      <c r="N44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46075</v>
      </c>
      <c r="O44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46075</v>
      </c>
      <c r="P444" s="67">
        <f>_xlfn.LET(_xlpm.resultado,_xlfn.XLOOKUP(Libromaestro[[#This Row],[CODIGO DEL DOCUMENTO]],Arreglo_Binaps[Codigo Documento],Arreglo_Binaps[Fecha_Aprobacion],"",0,1),IF(_xlpm.resultado=0,"",_xlpm.resultado))</f>
        <v>44979</v>
      </c>
      <c r="Q444" s="172"/>
      <c r="R444" s="68"/>
      <c r="S444" s="69" t="s">
        <v>11</v>
      </c>
      <c r="T444" s="70"/>
    </row>
    <row r="445" spans="1:20" ht="33.75" customHeight="1" x14ac:dyDescent="0.3">
      <c r="A445" s="60" t="str">
        <f>IFERROR(VLOOKUP(Libromaestro[[#This Row],[MACROPROCESO]],Tabla1[],2,FALSE),"")</f>
        <v>Corportativa</v>
      </c>
      <c r="B445" s="70" t="s">
        <v>32</v>
      </c>
      <c r="C445" s="64" t="s">
        <v>51</v>
      </c>
      <c r="D445" s="60" t="s">
        <v>16</v>
      </c>
      <c r="E445"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45"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45" s="60">
        <v>49</v>
      </c>
      <c r="H445" s="60" t="str">
        <f>_xlfn.CONCAT(Libromaestro[[#This Row],[SIGLAS]],"-",Libromaestro[[#This Row],[T. DOC]],"-",Libromaestro[[#This Row],[CONSECUTIVO]])</f>
        <v>H-FT-49</v>
      </c>
      <c r="I445" s="70" t="s">
        <v>526</v>
      </c>
      <c r="J445" s="60">
        <v>1</v>
      </c>
      <c r="K445" s="64" t="str">
        <f>_xlfn.XLOOKUP(Libromaestro[[#This Row],[CODIGO DEL DOCUMENTO]],Arreglo_Binaps[Codigo Documento],Arreglo_Binaps[Estado],"No creado",0)</f>
        <v>Aprobado</v>
      </c>
      <c r="L445" s="66" t="str">
        <f>_xlfn.XLOOKUP(Libromaestro[[#This Row],[CODIGO DEL DOCUMENTO]],Arreglo_Binaps[Codigo Documento],Arreglo_Binaps[Fecha de creación],"",0,1)</f>
        <v>2023-05-30</v>
      </c>
      <c r="M445" s="110"/>
      <c r="N44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46172</v>
      </c>
      <c r="O44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46172</v>
      </c>
      <c r="P445" s="67">
        <f>_xlfn.LET(_xlpm.resultado,_xlfn.XLOOKUP(Libromaestro[[#This Row],[CODIGO DEL DOCUMENTO]],Arreglo_Binaps[Codigo Documento],Arreglo_Binaps[Fecha_Aprobacion],"",0,1),IF(_xlpm.resultado=0,"",_xlpm.resultado))</f>
        <v>45076</v>
      </c>
      <c r="Q445" s="172"/>
      <c r="R445" s="68"/>
      <c r="S445" s="69" t="s">
        <v>11</v>
      </c>
      <c r="T445" s="70"/>
    </row>
    <row r="446" spans="1:20" ht="33.75" customHeight="1" x14ac:dyDescent="0.3">
      <c r="A446" s="60" t="str">
        <f>IFERROR(VLOOKUP(Libromaestro[[#This Row],[MACROPROCESO]],Tabla1[],2,FALSE),"")</f>
        <v>Corportativa</v>
      </c>
      <c r="B446" s="73" t="s">
        <v>32</v>
      </c>
      <c r="C446" s="64" t="s">
        <v>51</v>
      </c>
      <c r="D446" s="64" t="s">
        <v>16</v>
      </c>
      <c r="E44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4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46" s="64">
        <v>50</v>
      </c>
      <c r="H446" s="60" t="str">
        <f>_xlfn.CONCAT(Libromaestro[[#This Row],[SIGLAS]],"-",Libromaestro[[#This Row],[T. DOC]],"-",Libromaestro[[#This Row],[CONSECUTIVO]])</f>
        <v>H-FT-50</v>
      </c>
      <c r="I446" s="73" t="s">
        <v>527</v>
      </c>
      <c r="J446" s="64">
        <v>1</v>
      </c>
      <c r="K446" s="64" t="str">
        <f>_xlfn.XLOOKUP(Libromaestro[[#This Row],[CODIGO DEL DOCUMENTO]],Arreglo_Binaps[Codigo Documento],Arreglo_Binaps[Estado],"No creado",0)</f>
        <v>No creado</v>
      </c>
      <c r="L446" s="66" t="str">
        <f>_xlfn.XLOOKUP(Libromaestro[[#This Row],[CODIGO DEL DOCUMENTO]],Arreglo_Binaps[Codigo Documento],Arreglo_Binaps[Fecha de creación],"",0,1)</f>
        <v/>
      </c>
      <c r="M446" s="66"/>
      <c r="N446"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446"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46" s="74" t="str">
        <f>_xlfn.LET(_xlpm.resultado,_xlfn.XLOOKUP(Libromaestro[[#This Row],[CODIGO DEL DOCUMENTO]],Arreglo_Binaps[Codigo Documento],Arreglo_Binaps[Fecha_Aprobacion],"",0,1),IF(_xlpm.resultado=0,"",_xlpm.resultado))</f>
        <v/>
      </c>
      <c r="Q446" s="173"/>
      <c r="R446" s="75"/>
      <c r="S446" s="76"/>
      <c r="T446" s="73"/>
    </row>
    <row r="447" spans="1:20" ht="33.75" customHeight="1" x14ac:dyDescent="0.3">
      <c r="A447" s="60" t="str">
        <f>IFERROR(VLOOKUP(Libromaestro[[#This Row],[MACROPROCESO]],Tabla1[],2,FALSE),"")</f>
        <v>Corportativa</v>
      </c>
      <c r="B447" s="73" t="s">
        <v>32</v>
      </c>
      <c r="C447" s="60" t="s">
        <v>59</v>
      </c>
      <c r="D447" s="64" t="s">
        <v>16</v>
      </c>
      <c r="E44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4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47" s="60">
        <v>51</v>
      </c>
      <c r="H447" s="60" t="str">
        <f>_xlfn.CONCAT(Libromaestro[[#This Row],[SIGLAS]],"-",Libromaestro[[#This Row],[T. DOC]],"-",Libromaestro[[#This Row],[CONSECUTIVO]])</f>
        <v>H-FT-51</v>
      </c>
      <c r="I447" s="70" t="s">
        <v>528</v>
      </c>
      <c r="J447" s="60">
        <v>1</v>
      </c>
      <c r="K447" s="64" t="str">
        <f>_xlfn.XLOOKUP(Libromaestro[[#This Row],[CODIGO DEL DOCUMENTO]],Arreglo_Binaps[Codigo Documento],Arreglo_Binaps[Estado],"No creado",0)</f>
        <v>Aprobado</v>
      </c>
      <c r="L447" s="66" t="str">
        <f>_xlfn.XLOOKUP(Libromaestro[[#This Row],[CODIGO DEL DOCUMENTO]],Arreglo_Binaps[Codigo Documento],Arreglo_Binaps[Fecha de creación],"",0,1)</f>
        <v>2024-01-15</v>
      </c>
      <c r="M447" s="66"/>
      <c r="N44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46402</v>
      </c>
      <c r="O44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46402</v>
      </c>
      <c r="P447" s="67">
        <f>_xlfn.LET(_xlpm.resultado,_xlfn.XLOOKUP(Libromaestro[[#This Row],[CODIGO DEL DOCUMENTO]],Arreglo_Binaps[Codigo Documento],Arreglo_Binaps[Fecha_Aprobacion],"",0,1),IF(_xlpm.resultado=0,"",_xlpm.resultado))</f>
        <v>45355</v>
      </c>
      <c r="Q447" s="172"/>
      <c r="R447" s="68"/>
      <c r="S447" s="69" t="s">
        <v>28</v>
      </c>
      <c r="T447" s="70"/>
    </row>
    <row r="448" spans="1:20" ht="33.75" customHeight="1" x14ac:dyDescent="0.3">
      <c r="A448" s="60" t="str">
        <f>IFERROR(VLOOKUP(Libromaestro[[#This Row],[MACROPROCESO]],Tabla1[],2,FALSE),"")</f>
        <v>Corportativa</v>
      </c>
      <c r="B448" s="73" t="s">
        <v>32</v>
      </c>
      <c r="C448" s="60" t="s">
        <v>59</v>
      </c>
      <c r="D448" s="64" t="s">
        <v>16</v>
      </c>
      <c r="E44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4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48" s="60">
        <v>52</v>
      </c>
      <c r="H448" s="60" t="str">
        <f>_xlfn.CONCAT(Libromaestro[[#This Row],[SIGLAS]],"-",Libromaestro[[#This Row],[T. DOC]],"-",Libromaestro[[#This Row],[CONSECUTIVO]])</f>
        <v>H-FT-52</v>
      </c>
      <c r="I448" s="70" t="s">
        <v>529</v>
      </c>
      <c r="J448" s="60">
        <v>1</v>
      </c>
      <c r="K448" s="64" t="str">
        <f>_xlfn.XLOOKUP(Libromaestro[[#This Row],[CODIGO DEL DOCUMENTO]],Arreglo_Binaps[Codigo Documento],Arreglo_Binaps[Estado],"No creado",0)</f>
        <v>Aprobado</v>
      </c>
      <c r="L448" s="66" t="str">
        <f>_xlfn.XLOOKUP(Libromaestro[[#This Row],[CODIGO DEL DOCUMENTO]],Arreglo_Binaps[Codigo Documento],Arreglo_Binaps[Fecha de creación],"",0,1)</f>
        <v>2024-01-15</v>
      </c>
      <c r="M448" s="66"/>
      <c r="N44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46402</v>
      </c>
      <c r="O44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46402</v>
      </c>
      <c r="P448" s="67">
        <f>_xlfn.LET(_xlpm.resultado,_xlfn.XLOOKUP(Libromaestro[[#This Row],[CODIGO DEL DOCUMENTO]],Arreglo_Binaps[Codigo Documento],Arreglo_Binaps[Fecha_Aprobacion],"",0,1),IF(_xlpm.resultado=0,"",_xlpm.resultado))</f>
        <v>45355</v>
      </c>
      <c r="Q448" s="172"/>
      <c r="R448" s="68"/>
      <c r="S448" s="69" t="s">
        <v>28</v>
      </c>
      <c r="T448" s="70"/>
    </row>
    <row r="449" spans="1:20" ht="33.75" customHeight="1" x14ac:dyDescent="0.3">
      <c r="A449" s="60" t="str">
        <f>IFERROR(VLOOKUP(Libromaestro[[#This Row],[MACROPROCESO]],Tabla1[],2,FALSE),"")</f>
        <v>Corportativa</v>
      </c>
      <c r="B449" s="73" t="s">
        <v>32</v>
      </c>
      <c r="C449" s="60" t="s">
        <v>59</v>
      </c>
      <c r="D449" s="64" t="s">
        <v>16</v>
      </c>
      <c r="E44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4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49" s="60">
        <v>53</v>
      </c>
      <c r="H449" s="60" t="str">
        <f>_xlfn.CONCAT(Libromaestro[[#This Row],[SIGLAS]],"-",Libromaestro[[#This Row],[T. DOC]],"-",Libromaestro[[#This Row],[CONSECUTIVO]])</f>
        <v>H-FT-53</v>
      </c>
      <c r="I449" s="70" t="s">
        <v>530</v>
      </c>
      <c r="J449" s="60">
        <v>1</v>
      </c>
      <c r="K449" s="64" t="str">
        <f>_xlfn.XLOOKUP(Libromaestro[[#This Row],[CODIGO DEL DOCUMENTO]],Arreglo_Binaps[Codigo Documento],Arreglo_Binaps[Estado],"No creado",0)</f>
        <v>Aprobado</v>
      </c>
      <c r="L449" s="66" t="str">
        <f>_xlfn.XLOOKUP(Libromaestro[[#This Row],[CODIGO DEL DOCUMENTO]],Arreglo_Binaps[Codigo Documento],Arreglo_Binaps[Fecha de creación],"",0,1)</f>
        <v>2024-01-15</v>
      </c>
      <c r="M449" s="66"/>
      <c r="N44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46402</v>
      </c>
      <c r="O44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46402</v>
      </c>
      <c r="P449" s="67">
        <f>_xlfn.LET(_xlpm.resultado,_xlfn.XLOOKUP(Libromaestro[[#This Row],[CODIGO DEL DOCUMENTO]],Arreglo_Binaps[Codigo Documento],Arreglo_Binaps[Fecha_Aprobacion],"",0,1),IF(_xlpm.resultado=0,"",_xlpm.resultado))</f>
        <v>45351</v>
      </c>
      <c r="Q449" s="172"/>
      <c r="R449" s="68"/>
      <c r="S449" s="69" t="s">
        <v>23</v>
      </c>
      <c r="T449" s="70"/>
    </row>
    <row r="450" spans="1:20" ht="33.75" customHeight="1" x14ac:dyDescent="0.3">
      <c r="A450" s="60" t="str">
        <f>IFERROR(VLOOKUP(Libromaestro[[#This Row],[MACROPROCESO]],Tabla1[],2,FALSE),"")</f>
        <v>Corportativa</v>
      </c>
      <c r="B450" s="70" t="s">
        <v>32</v>
      </c>
      <c r="C450" s="60" t="s">
        <v>59</v>
      </c>
      <c r="D450" s="60" t="s">
        <v>16</v>
      </c>
      <c r="E450"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50"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50" s="60">
        <v>54</v>
      </c>
      <c r="H450" s="60" t="str">
        <f>_xlfn.CONCAT(Libromaestro[[#This Row],[SIGLAS]],"-",Libromaestro[[#This Row],[T. DOC]],"-",Libromaestro[[#This Row],[CONSECUTIVO]])</f>
        <v>H-FT-54</v>
      </c>
      <c r="I450" s="70" t="s">
        <v>531</v>
      </c>
      <c r="J450" s="60">
        <v>1</v>
      </c>
      <c r="K450" s="64" t="str">
        <f>_xlfn.XLOOKUP(Libromaestro[[#This Row],[CODIGO DEL DOCUMENTO]],Arreglo_Binaps[Codigo Documento],Arreglo_Binaps[Estado],"No creado",0)</f>
        <v>Aprobado</v>
      </c>
      <c r="L450" s="66" t="str">
        <f>_xlfn.XLOOKUP(Libromaestro[[#This Row],[CODIGO DEL DOCUMENTO]],Arreglo_Binaps[Codigo Documento],Arreglo_Binaps[Fecha de creación],"",0,1)</f>
        <v>2024-01-15</v>
      </c>
      <c r="M450" s="66"/>
      <c r="N45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46402</v>
      </c>
      <c r="O45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46402</v>
      </c>
      <c r="P450" s="67">
        <f>_xlfn.LET(_xlpm.resultado,_xlfn.XLOOKUP(Libromaestro[[#This Row],[CODIGO DEL DOCUMENTO]],Arreglo_Binaps[Codigo Documento],Arreglo_Binaps[Fecha_Aprobacion],"",0,1),IF(_xlpm.resultado=0,"",_xlpm.resultado))</f>
        <v>45351</v>
      </c>
      <c r="Q450" s="172"/>
      <c r="R450" s="68"/>
      <c r="S450" s="69" t="s">
        <v>28</v>
      </c>
      <c r="T450" s="70"/>
    </row>
    <row r="451" spans="1:20" ht="33.75" customHeight="1" x14ac:dyDescent="0.3">
      <c r="A451" s="60" t="str">
        <f>IFERROR(VLOOKUP(Libromaestro[[#This Row],[MACROPROCESO]],Tabla1[],2,FALSE),"")</f>
        <v>Corportativa</v>
      </c>
      <c r="B451" s="73" t="s">
        <v>32</v>
      </c>
      <c r="C451" s="64" t="s">
        <v>59</v>
      </c>
      <c r="D451" s="64" t="s">
        <v>16</v>
      </c>
      <c r="E45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5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51" s="64">
        <v>55</v>
      </c>
      <c r="H451" s="60" t="str">
        <f>_xlfn.CONCAT(Libromaestro[[#This Row],[SIGLAS]],"-",Libromaestro[[#This Row],[T. DOC]],"-",Libromaestro[[#This Row],[CONSECUTIVO]])</f>
        <v>H-FT-55</v>
      </c>
      <c r="I451" s="73" t="s">
        <v>532</v>
      </c>
      <c r="J451" s="64">
        <v>2</v>
      </c>
      <c r="K451" s="64" t="str">
        <f>_xlfn.XLOOKUP(Libromaestro[[#This Row],[CODIGO DEL DOCUMENTO]],Arreglo_Binaps[Codigo Documento],Arreglo_Binaps[Estado],"No creado",0)</f>
        <v>Aprobado</v>
      </c>
      <c r="L451" s="66" t="str">
        <f>_xlfn.XLOOKUP(Libromaestro[[#This Row],[CODIGO DEL DOCUMENTO]],Arreglo_Binaps[Codigo Documento],Arreglo_Binaps[Fecha de creación],"",0,1)</f>
        <v>2024-01-22</v>
      </c>
      <c r="M451" s="66">
        <v>45806</v>
      </c>
      <c r="N45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O451"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46902</v>
      </c>
      <c r="P451" s="74">
        <f>_xlfn.LET(_xlpm.resultado,_xlfn.XLOOKUP(Libromaestro[[#This Row],[CODIGO DEL DOCUMENTO]],Arreglo_Binaps[Codigo Documento],Arreglo_Binaps[Fecha_Aprobacion],"",0,1),IF(_xlpm.resultado=0,"",_xlpm.resultado))</f>
        <v>45877</v>
      </c>
      <c r="Q451" s="173"/>
      <c r="R451" s="75"/>
      <c r="S451" s="76" t="s">
        <v>28</v>
      </c>
      <c r="T451" s="73"/>
    </row>
    <row r="452" spans="1:20" ht="33.75" customHeight="1" x14ac:dyDescent="0.3">
      <c r="A452" s="60" t="str">
        <f>IFERROR(VLOOKUP(Libromaestro[[#This Row],[MACROPROCESO]],Tabla1[],2,FALSE),"")</f>
        <v>Corportativa</v>
      </c>
      <c r="B452" s="73" t="s">
        <v>32</v>
      </c>
      <c r="C452" s="64" t="s">
        <v>59</v>
      </c>
      <c r="D452" s="64" t="s">
        <v>16</v>
      </c>
      <c r="E45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5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52" s="64">
        <v>56</v>
      </c>
      <c r="H452" s="60" t="str">
        <f>_xlfn.CONCAT(Libromaestro[[#This Row],[SIGLAS]],"-",Libromaestro[[#This Row],[T. DOC]],"-",Libromaestro[[#This Row],[CONSECUTIVO]])</f>
        <v>H-FT-56</v>
      </c>
      <c r="I452" s="73" t="s">
        <v>533</v>
      </c>
      <c r="J452" s="64">
        <v>1</v>
      </c>
      <c r="K452" s="64" t="str">
        <f>_xlfn.XLOOKUP(Libromaestro[[#This Row],[CODIGO DEL DOCUMENTO]],Arreglo_Binaps[Codigo Documento],Arreglo_Binaps[Estado],"No creado",0)</f>
        <v>Aprobado</v>
      </c>
      <c r="L452" s="66" t="str">
        <f>_xlfn.XLOOKUP(Libromaestro[[#This Row],[CODIGO DEL DOCUMENTO]],Arreglo_Binaps[Codigo Documento],Arreglo_Binaps[Fecha de creación],"",0,1)</f>
        <v>2024-01-16</v>
      </c>
      <c r="M452" s="66"/>
      <c r="N45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46403</v>
      </c>
      <c r="O452"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46403</v>
      </c>
      <c r="P452" s="74">
        <f>_xlfn.LET(_xlpm.resultado,_xlfn.XLOOKUP(Libromaestro[[#This Row],[CODIGO DEL DOCUMENTO]],Arreglo_Binaps[Codigo Documento],Arreglo_Binaps[Fecha_Aprobacion],"",0,1),IF(_xlpm.resultado=0,"",_xlpm.resultado))</f>
        <v>45427</v>
      </c>
      <c r="Q452" s="173"/>
      <c r="R452" s="75"/>
      <c r="S452" s="76" t="s">
        <v>23</v>
      </c>
      <c r="T452" s="73"/>
    </row>
    <row r="453" spans="1:20" ht="33.75" customHeight="1" x14ac:dyDescent="0.3">
      <c r="A453" s="60" t="str">
        <f>IFERROR(VLOOKUP(Libromaestro[[#This Row],[MACROPROCESO]],Tabla1[],2,FALSE),"")</f>
        <v>Corportativa</v>
      </c>
      <c r="B453" s="73" t="s">
        <v>32</v>
      </c>
      <c r="C453" s="64" t="s">
        <v>59</v>
      </c>
      <c r="D453" s="64" t="s">
        <v>16</v>
      </c>
      <c r="E45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5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53" s="64">
        <v>57</v>
      </c>
      <c r="H453" s="60" t="str">
        <f>_xlfn.CONCAT(Libromaestro[[#This Row],[SIGLAS]],"-",Libromaestro[[#This Row],[T. DOC]],"-",Libromaestro[[#This Row],[CONSECUTIVO]])</f>
        <v>H-FT-57</v>
      </c>
      <c r="I453" s="73" t="s">
        <v>534</v>
      </c>
      <c r="J453" s="64">
        <v>1</v>
      </c>
      <c r="K453" s="64" t="str">
        <f>_xlfn.XLOOKUP(Libromaestro[[#This Row],[CODIGO DEL DOCUMENTO]],Arreglo_Binaps[Codigo Documento],Arreglo_Binaps[Estado],"No creado",0)</f>
        <v>Aprobado</v>
      </c>
      <c r="L453" s="66" t="str">
        <f>_xlfn.XLOOKUP(Libromaestro[[#This Row],[CODIGO DEL DOCUMENTO]],Arreglo_Binaps[Codigo Documento],Arreglo_Binaps[Fecha de creación],"",0,1)</f>
        <v>2024-02-09</v>
      </c>
      <c r="M453" s="66"/>
      <c r="N45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46427</v>
      </c>
      <c r="O453"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46427</v>
      </c>
      <c r="P453" s="74">
        <f>_xlfn.LET(_xlpm.resultado,_xlfn.XLOOKUP(Libromaestro[[#This Row],[CODIGO DEL DOCUMENTO]],Arreglo_Binaps[Codigo Documento],Arreglo_Binaps[Fecha_Aprobacion],"",0,1),IF(_xlpm.resultado=0,"",_xlpm.resultado))</f>
        <v>45427</v>
      </c>
      <c r="Q453" s="173"/>
      <c r="R453" s="75"/>
      <c r="S453" s="76" t="s">
        <v>23</v>
      </c>
      <c r="T453" s="73"/>
    </row>
    <row r="454" spans="1:20" ht="33.75" customHeight="1" x14ac:dyDescent="0.3">
      <c r="A454" s="60" t="str">
        <f>IFERROR(VLOOKUP(Libromaestro[[#This Row],[MACROPROCESO]],Tabla1[],2,FALSE),"")</f>
        <v>Corportativa</v>
      </c>
      <c r="B454" s="73" t="s">
        <v>32</v>
      </c>
      <c r="C454" s="64" t="s">
        <v>59</v>
      </c>
      <c r="D454" s="64" t="s">
        <v>16</v>
      </c>
      <c r="E45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5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54" s="64">
        <v>58</v>
      </c>
      <c r="H454" s="60" t="str">
        <f>_xlfn.CONCAT(Libromaestro[[#This Row],[SIGLAS]],"-",Libromaestro[[#This Row],[T. DOC]],"-",Libromaestro[[#This Row],[CONSECUTIVO]])</f>
        <v>H-FT-58</v>
      </c>
      <c r="I454" s="73" t="s">
        <v>535</v>
      </c>
      <c r="J454" s="64">
        <v>1</v>
      </c>
      <c r="K454" s="64" t="str">
        <f>_xlfn.XLOOKUP(Libromaestro[[#This Row],[CODIGO DEL DOCUMENTO]],Arreglo_Binaps[Codigo Documento],Arreglo_Binaps[Estado],"No creado",0)</f>
        <v>Aprobado</v>
      </c>
      <c r="L454" s="66" t="str">
        <f>_xlfn.XLOOKUP(Libromaestro[[#This Row],[CODIGO DEL DOCUMENTO]],Arreglo_Binaps[Codigo Documento],Arreglo_Binaps[Fecha de creación],"",0,1)</f>
        <v>2025-06-12</v>
      </c>
      <c r="M454" s="66"/>
      <c r="N45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46916</v>
      </c>
      <c r="O454"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46916</v>
      </c>
      <c r="P454" s="74">
        <f>_xlfn.LET(_xlpm.resultado,_xlfn.XLOOKUP(Libromaestro[[#This Row],[CODIGO DEL DOCUMENTO]],Arreglo_Binaps[Codigo Documento],Arreglo_Binaps[Fecha_Aprobacion],"",0,1),IF(_xlpm.resultado=0,"",_xlpm.resultado))</f>
        <v>45877</v>
      </c>
      <c r="Q454" s="173"/>
      <c r="R454" s="75"/>
      <c r="S454" s="76" t="s">
        <v>23</v>
      </c>
      <c r="T454" s="73"/>
    </row>
    <row r="455" spans="1:20" ht="33.75" customHeight="1" x14ac:dyDescent="0.3">
      <c r="A455" s="60" t="str">
        <f>IFERROR(VLOOKUP(Libromaestro[[#This Row],[MACROPROCESO]],Tabla1[],2,FALSE),"")</f>
        <v>Corportativa</v>
      </c>
      <c r="B455" s="73" t="s">
        <v>32</v>
      </c>
      <c r="C455" s="64" t="s">
        <v>59</v>
      </c>
      <c r="D455" s="64" t="s">
        <v>16</v>
      </c>
      <c r="E45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5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55" s="64">
        <v>59</v>
      </c>
      <c r="H455" s="60" t="str">
        <f>_xlfn.CONCAT(Libromaestro[[#This Row],[SIGLAS]],"-",Libromaestro[[#This Row],[T. DOC]],"-",Libromaestro[[#This Row],[CONSECUTIVO]])</f>
        <v>H-FT-59</v>
      </c>
      <c r="I455" s="73" t="s">
        <v>536</v>
      </c>
      <c r="J455" s="64">
        <v>1</v>
      </c>
      <c r="K455" s="64" t="str">
        <f>_xlfn.XLOOKUP(Libromaestro[[#This Row],[CODIGO DEL DOCUMENTO]],Arreglo_Binaps[Codigo Documento],Arreglo_Binaps[Estado],"No creado",0)</f>
        <v>Aprobado</v>
      </c>
      <c r="L455" s="66" t="str">
        <f>_xlfn.XLOOKUP(Libromaestro[[#This Row],[CODIGO DEL DOCUMENTO]],Arreglo_Binaps[Codigo Documento],Arreglo_Binaps[Fecha de creación],"",0,1)</f>
        <v>2024-02-19</v>
      </c>
      <c r="M455" s="66"/>
      <c r="N45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46437</v>
      </c>
      <c r="O455"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46437</v>
      </c>
      <c r="P455" s="74">
        <f>_xlfn.LET(_xlpm.resultado,_xlfn.XLOOKUP(Libromaestro[[#This Row],[CODIGO DEL DOCUMENTO]],Arreglo_Binaps[Codigo Documento],Arreglo_Binaps[Fecha_Aprobacion],"",0,1),IF(_xlpm.resultado=0,"",_xlpm.resultado))</f>
        <v>45509</v>
      </c>
      <c r="Q455" s="173"/>
      <c r="R455" s="75"/>
      <c r="S455" s="76" t="s">
        <v>28</v>
      </c>
      <c r="T455" s="73"/>
    </row>
    <row r="456" spans="1:20" ht="33.75" customHeight="1" x14ac:dyDescent="0.3">
      <c r="A456" s="60" t="str">
        <f>IFERROR(VLOOKUP(Libromaestro[[#This Row],[MACROPROCESO]],Tabla1[],2,FALSE),"")</f>
        <v>Corportativa</v>
      </c>
      <c r="B456" s="73" t="s">
        <v>32</v>
      </c>
      <c r="C456" s="64" t="s">
        <v>51</v>
      </c>
      <c r="D456" s="64" t="s">
        <v>16</v>
      </c>
      <c r="E45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5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56" s="64">
        <v>60</v>
      </c>
      <c r="H456" s="60" t="str">
        <f>_xlfn.CONCAT(Libromaestro[[#This Row],[SIGLAS]],"-",Libromaestro[[#This Row],[T. DOC]],"-",Libromaestro[[#This Row],[CONSECUTIVO]])</f>
        <v>H-FT-60</v>
      </c>
      <c r="I456" s="73" t="s">
        <v>537</v>
      </c>
      <c r="J456" s="64">
        <v>1</v>
      </c>
      <c r="K456" s="64" t="str">
        <f>_xlfn.XLOOKUP(Libromaestro[[#This Row],[CODIGO DEL DOCUMENTO]],Arreglo_Binaps[Codigo Documento],Arreglo_Binaps[Estado],"No creado",0)</f>
        <v>Aprobado</v>
      </c>
      <c r="L456" s="66" t="str">
        <f>_xlfn.XLOOKUP(Libromaestro[[#This Row],[CODIGO DEL DOCUMENTO]],Arreglo_Binaps[Codigo Documento],Arreglo_Binaps[Fecha de creación],"",0,1)</f>
        <v>2024-03-27</v>
      </c>
      <c r="M456" s="66"/>
      <c r="N45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46473</v>
      </c>
      <c r="O456"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46473</v>
      </c>
      <c r="P456" s="74">
        <f>_xlfn.LET(_xlpm.resultado,_xlfn.XLOOKUP(Libromaestro[[#This Row],[CODIGO DEL DOCUMENTO]],Arreglo_Binaps[Codigo Documento],Arreglo_Binaps[Fecha_Aprobacion],"",0,1),IF(_xlpm.resultado=0,"",_xlpm.resultado))</f>
        <v>45414</v>
      </c>
      <c r="Q456" s="173"/>
      <c r="R456" s="75"/>
      <c r="S456" s="76" t="s">
        <v>23</v>
      </c>
      <c r="T456" s="73"/>
    </row>
    <row r="457" spans="1:20" ht="33.75" customHeight="1" x14ac:dyDescent="0.3">
      <c r="A457" s="60" t="str">
        <f>IFERROR(VLOOKUP(Libromaestro[[#This Row],[MACROPROCESO]],Tabla1[],2,FALSE),"")</f>
        <v>Corportativa</v>
      </c>
      <c r="B457" s="73" t="s">
        <v>32</v>
      </c>
      <c r="C457" s="60" t="s">
        <v>51</v>
      </c>
      <c r="D457" s="64" t="s">
        <v>16</v>
      </c>
      <c r="E45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5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57" s="64">
        <v>61</v>
      </c>
      <c r="H457" s="60" t="str">
        <f>_xlfn.CONCAT(Libromaestro[[#This Row],[SIGLAS]],"-",Libromaestro[[#This Row],[T. DOC]],"-",Libromaestro[[#This Row],[CONSECUTIVO]])</f>
        <v>H-FT-61</v>
      </c>
      <c r="I457" s="73" t="s">
        <v>538</v>
      </c>
      <c r="J457" s="64">
        <v>1</v>
      </c>
      <c r="K457" s="64" t="str">
        <f>_xlfn.XLOOKUP(Libromaestro[[#This Row],[CODIGO DEL DOCUMENTO]],Arreglo_Binaps[Codigo Documento],Arreglo_Binaps[Estado],"No creado",0)</f>
        <v>Aprobado</v>
      </c>
      <c r="L457" s="66" t="str">
        <f>_xlfn.XLOOKUP(Libromaestro[[#This Row],[CODIGO DEL DOCUMENTO]],Arreglo_Binaps[Codigo Documento],Arreglo_Binaps[Fecha de creación],"",0,1)</f>
        <v>2024-06-28</v>
      </c>
      <c r="M457" s="66"/>
      <c r="N45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46566</v>
      </c>
      <c r="O457"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46566</v>
      </c>
      <c r="P457" s="74">
        <f>_xlfn.LET(_xlpm.resultado,_xlfn.XLOOKUP(Libromaestro[[#This Row],[CODIGO DEL DOCUMENTO]],Arreglo_Binaps[Codigo Documento],Arreglo_Binaps[Fecha_Aprobacion],"",0,1),IF(_xlpm.resultado=0,"",_xlpm.resultado))</f>
        <v>45472</v>
      </c>
      <c r="Q457" s="173"/>
      <c r="R457" s="75"/>
      <c r="S457" s="76" t="s">
        <v>23</v>
      </c>
      <c r="T457" s="73"/>
    </row>
    <row r="458" spans="1:20" ht="33.75" customHeight="1" x14ac:dyDescent="0.3">
      <c r="A458" s="60" t="str">
        <f>IFERROR(VLOOKUP(Libromaestro[[#This Row],[MACROPROCESO]],Tabla1[],2,FALSE),"")</f>
        <v>Corportativa</v>
      </c>
      <c r="B458" s="73" t="s">
        <v>32</v>
      </c>
      <c r="C458" s="60" t="s">
        <v>59</v>
      </c>
      <c r="D458" s="64" t="s">
        <v>16</v>
      </c>
      <c r="E45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5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58" s="64">
        <v>62</v>
      </c>
      <c r="H458" s="60" t="str">
        <f>_xlfn.CONCAT(Libromaestro[[#This Row],[SIGLAS]],"-",Libromaestro[[#This Row],[T. DOC]],"-",Libromaestro[[#This Row],[CONSECUTIVO]])</f>
        <v>H-FT-62</v>
      </c>
      <c r="I458" s="73" t="s">
        <v>539</v>
      </c>
      <c r="J458" s="64">
        <v>2</v>
      </c>
      <c r="K458" s="64" t="str">
        <f>_xlfn.XLOOKUP(Libromaestro[[#This Row],[CODIGO DEL DOCUMENTO]],Arreglo_Binaps[Codigo Documento],Arreglo_Binaps[Estado],"No creado",0)</f>
        <v>Aprobado</v>
      </c>
      <c r="L458" s="66" t="str">
        <f>_xlfn.XLOOKUP(Libromaestro[[#This Row],[CODIGO DEL DOCUMENTO]],Arreglo_Binaps[Codigo Documento],Arreglo_Binaps[Fecha de creación],"",0,1)</f>
        <v>2024-05-30</v>
      </c>
      <c r="M458" s="66">
        <v>45762</v>
      </c>
      <c r="N45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46858</v>
      </c>
      <c r="O458"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46858</v>
      </c>
      <c r="P458" s="74">
        <f>_xlfn.LET(_xlpm.resultado,_xlfn.XLOOKUP(Libromaestro[[#This Row],[CODIGO DEL DOCUMENTO]],Arreglo_Binaps[Codigo Documento],Arreglo_Binaps[Fecha_Aprobacion],"",0,1),IF(_xlpm.resultado=0,"",_xlpm.resultado))</f>
        <v>45762</v>
      </c>
      <c r="Q458" s="173"/>
      <c r="R458" s="75"/>
      <c r="S458" s="76"/>
      <c r="T458" s="73"/>
    </row>
    <row r="459" spans="1:20" ht="33.75" customHeight="1" x14ac:dyDescent="0.3">
      <c r="A459" s="60" t="str">
        <f>IFERROR(VLOOKUP(Libromaestro[[#This Row],[MACROPROCESO]],Tabla1[],2,FALSE),"")</f>
        <v>Corportativa</v>
      </c>
      <c r="B459" s="73" t="s">
        <v>32</v>
      </c>
      <c r="C459" s="64" t="s">
        <v>59</v>
      </c>
      <c r="D459" s="64" t="s">
        <v>16</v>
      </c>
      <c r="E45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5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59" s="64">
        <v>63</v>
      </c>
      <c r="H459" s="60" t="str">
        <f>_xlfn.CONCAT(Libromaestro[[#This Row],[SIGLAS]],"-",Libromaestro[[#This Row],[T. DOC]],"-",Libromaestro[[#This Row],[CONSECUTIVO]])</f>
        <v>H-FT-63</v>
      </c>
      <c r="I459" s="73" t="s">
        <v>540</v>
      </c>
      <c r="J459" s="64">
        <v>2</v>
      </c>
      <c r="K459" s="64" t="str">
        <f>_xlfn.XLOOKUP(Libromaestro[[#This Row],[CODIGO DEL DOCUMENTO]],Arreglo_Binaps[Codigo Documento],Arreglo_Binaps[Estado],"No creado",0)</f>
        <v>Aprobado</v>
      </c>
      <c r="L459" s="66" t="str">
        <f>_xlfn.XLOOKUP(Libromaestro[[#This Row],[CODIGO DEL DOCUMENTO]],Arreglo_Binaps[Codigo Documento],Arreglo_Binaps[Fecha de creación],"",0,1)</f>
        <v>2024-05-30</v>
      </c>
      <c r="M459" s="66">
        <v>45762</v>
      </c>
      <c r="N45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46858</v>
      </c>
      <c r="O459"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46858</v>
      </c>
      <c r="P459" s="74">
        <f>_xlfn.LET(_xlpm.resultado,_xlfn.XLOOKUP(Libromaestro[[#This Row],[CODIGO DEL DOCUMENTO]],Arreglo_Binaps[Codigo Documento],Arreglo_Binaps[Fecha_Aprobacion],"",0,1),IF(_xlpm.resultado=0,"",_xlpm.resultado))</f>
        <v>45762</v>
      </c>
      <c r="Q459" s="173"/>
      <c r="R459" s="75"/>
      <c r="S459" s="76"/>
      <c r="T459" s="73"/>
    </row>
    <row r="460" spans="1:20" ht="33.75" customHeight="1" x14ac:dyDescent="0.3">
      <c r="A460" s="60" t="str">
        <f>IFERROR(VLOOKUP(Libromaestro[[#This Row],[MACROPROCESO]],Tabla1[],2,FALSE),"")</f>
        <v>Corportativa</v>
      </c>
      <c r="B460" s="73" t="s">
        <v>32</v>
      </c>
      <c r="C460" s="64" t="s">
        <v>59</v>
      </c>
      <c r="D460" s="64" t="s">
        <v>16</v>
      </c>
      <c r="E46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6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60" s="64">
        <v>64</v>
      </c>
      <c r="H460" s="60" t="str">
        <f>_xlfn.CONCAT(Libromaestro[[#This Row],[SIGLAS]],"-",Libromaestro[[#This Row],[T. DOC]],"-",Libromaestro[[#This Row],[CONSECUTIVO]])</f>
        <v>H-FT-64</v>
      </c>
      <c r="I460" s="73" t="s">
        <v>541</v>
      </c>
      <c r="J460" s="64">
        <v>2</v>
      </c>
      <c r="K460" s="64" t="str">
        <f>_xlfn.XLOOKUP(Libromaestro[[#This Row],[CODIGO DEL DOCUMENTO]],Arreglo_Binaps[Codigo Documento],Arreglo_Binaps[Estado],"No creado",0)</f>
        <v>Aprobado</v>
      </c>
      <c r="L460" s="66" t="str">
        <f>_xlfn.XLOOKUP(Libromaestro[[#This Row],[CODIGO DEL DOCUMENTO]],Arreglo_Binaps[Codigo Documento],Arreglo_Binaps[Fecha de creación],"",0,1)</f>
        <v>2024-05-30</v>
      </c>
      <c r="M460" s="66">
        <v>45762</v>
      </c>
      <c r="N46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46858</v>
      </c>
      <c r="O460"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46858</v>
      </c>
      <c r="P460" s="74">
        <f>_xlfn.LET(_xlpm.resultado,_xlfn.XLOOKUP(Libromaestro[[#This Row],[CODIGO DEL DOCUMENTO]],Arreglo_Binaps[Codigo Documento],Arreglo_Binaps[Fecha_Aprobacion],"",0,1),IF(_xlpm.resultado=0,"",_xlpm.resultado))</f>
        <v>45762</v>
      </c>
      <c r="Q460" s="173"/>
      <c r="R460" s="75"/>
      <c r="S460" s="76"/>
      <c r="T460" s="73"/>
    </row>
    <row r="461" spans="1:20" ht="33.75" customHeight="1" x14ac:dyDescent="0.3">
      <c r="A461" s="60" t="str">
        <f>IFERROR(VLOOKUP(Libromaestro[[#This Row],[MACROPROCESO]],Tabla1[],2,FALSE),"")</f>
        <v>Corportativa</v>
      </c>
      <c r="B461" s="73" t="s">
        <v>32</v>
      </c>
      <c r="C461" s="64" t="s">
        <v>59</v>
      </c>
      <c r="D461" s="64" t="s">
        <v>16</v>
      </c>
      <c r="E46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6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61" s="64">
        <v>65</v>
      </c>
      <c r="H461" s="60" t="str">
        <f>_xlfn.CONCAT(Libromaestro[[#This Row],[SIGLAS]],"-",Libromaestro[[#This Row],[T. DOC]],"-",Libromaestro[[#This Row],[CONSECUTIVO]])</f>
        <v>H-FT-65</v>
      </c>
      <c r="I461" s="73" t="s">
        <v>542</v>
      </c>
      <c r="J461" s="64">
        <v>1</v>
      </c>
      <c r="K461" s="64" t="str">
        <f>_xlfn.XLOOKUP(Libromaestro[[#This Row],[CODIGO DEL DOCUMENTO]],Arreglo_Binaps[Codigo Documento],Arreglo_Binaps[Estado],"No creado",0)</f>
        <v>Aprobado</v>
      </c>
      <c r="L461" s="66" t="str">
        <f>_xlfn.XLOOKUP(Libromaestro[[#This Row],[CODIGO DEL DOCUMENTO]],Arreglo_Binaps[Codigo Documento],Arreglo_Binaps[Fecha de creación],"",0,1)</f>
        <v>2024-05-30</v>
      </c>
      <c r="M461" s="66"/>
      <c r="N46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46537</v>
      </c>
      <c r="O461"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46537</v>
      </c>
      <c r="P461" s="74">
        <f>_xlfn.LET(_xlpm.resultado,_xlfn.XLOOKUP(Libromaestro[[#This Row],[CODIGO DEL DOCUMENTO]],Arreglo_Binaps[Codigo Documento],Arreglo_Binaps[Fecha_Aprobacion],"",0,1),IF(_xlpm.resultado=0,"",_xlpm.resultado))</f>
        <v>45455</v>
      </c>
      <c r="Q461" s="173"/>
      <c r="R461" s="75"/>
      <c r="S461" s="76"/>
      <c r="T461" s="73"/>
    </row>
    <row r="462" spans="1:20" ht="33.75" customHeight="1" x14ac:dyDescent="0.3">
      <c r="A462" s="60" t="str">
        <f>IFERROR(VLOOKUP(Libromaestro[[#This Row],[MACROPROCESO]],Tabla1[],2,FALSE),"")</f>
        <v>Suministros</v>
      </c>
      <c r="B462" s="70" t="s">
        <v>45</v>
      </c>
      <c r="C462" s="60" t="s">
        <v>54</v>
      </c>
      <c r="D462" s="60" t="s">
        <v>37</v>
      </c>
      <c r="E462"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462"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462" s="60">
        <v>1</v>
      </c>
      <c r="H462" s="60" t="str">
        <f>_xlfn.CONCAT(Libromaestro[[#This Row],[SIGLAS]],"-",Libromaestro[[#This Row],[T. DOC]],"-",Libromaestro[[#This Row],[CONSECUTIVO]])</f>
        <v>S-PO-1</v>
      </c>
      <c r="I462" s="70" t="s">
        <v>134</v>
      </c>
      <c r="J462" s="60">
        <v>1</v>
      </c>
      <c r="K462" s="64" t="str">
        <f>_xlfn.XLOOKUP(Libromaestro[[#This Row],[CODIGO DEL DOCUMENTO]],Arreglo_Binaps[Codigo Documento],Arreglo_Binaps[Estado],"No creado",0)</f>
        <v>Aprobado</v>
      </c>
      <c r="L462" s="66" t="str">
        <f>_xlfn.XLOOKUP(Libromaestro[[#This Row],[CODIGO DEL DOCUMENTO]],Arreglo_Binaps[Codigo Documento],Arreglo_Binaps[Fecha de creación],"",0,1)</f>
        <v>2026-06-03</v>
      </c>
      <c r="M462" s="66">
        <v>46176</v>
      </c>
      <c r="N46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O46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462" s="67">
        <f>_xlfn.LET(_xlpm.resultado,_xlfn.XLOOKUP(Libromaestro[[#This Row],[CODIGO DEL DOCUMENTO]],Arreglo_Binaps[Codigo Documento],Arreglo_Binaps[Fecha_Aprobacion],"",0,1),IF(_xlpm.resultado=0,"",_xlpm.resultado))</f>
        <v>46218</v>
      </c>
      <c r="Q462" s="172"/>
      <c r="R462" s="68"/>
      <c r="S462" s="69"/>
      <c r="T462" s="88"/>
    </row>
    <row r="463" spans="1:20" ht="33.75" customHeight="1" x14ac:dyDescent="0.3">
      <c r="A463" s="60" t="str">
        <f>IFERROR(VLOOKUP(Libromaestro[[#This Row],[MACROPROCESO]],Tabla1[],2,FALSE),"")</f>
        <v>Corportativa</v>
      </c>
      <c r="B463" s="73" t="s">
        <v>32</v>
      </c>
      <c r="C463" s="64" t="s">
        <v>59</v>
      </c>
      <c r="D463" s="64" t="s">
        <v>16</v>
      </c>
      <c r="E46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6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63" s="64">
        <v>67</v>
      </c>
      <c r="H463" s="60" t="str">
        <f>_xlfn.CONCAT(Libromaestro[[#This Row],[SIGLAS]],"-",Libromaestro[[#This Row],[T. DOC]],"-",Libromaestro[[#This Row],[CONSECUTIVO]])</f>
        <v>H-FT-67</v>
      </c>
      <c r="I463" s="73" t="s">
        <v>544</v>
      </c>
      <c r="J463" s="64">
        <v>1</v>
      </c>
      <c r="K463" s="64" t="str">
        <f>_xlfn.XLOOKUP(Libromaestro[[#This Row],[CODIGO DEL DOCUMENTO]],Arreglo_Binaps[Codigo Documento],Arreglo_Binaps[Estado],"No creado",0)</f>
        <v>Aprobado</v>
      </c>
      <c r="L463" s="66" t="str">
        <f>_xlfn.XLOOKUP(Libromaestro[[#This Row],[CODIGO DEL DOCUMENTO]],Arreglo_Binaps[Codigo Documento],Arreglo_Binaps[Fecha de creación],"",0,1)</f>
        <v>2025-03-18</v>
      </c>
      <c r="M463" s="66"/>
      <c r="N46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46830</v>
      </c>
      <c r="O463"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46830</v>
      </c>
      <c r="P463" s="74">
        <f>_xlfn.LET(_xlpm.resultado,_xlfn.XLOOKUP(Libromaestro[[#This Row],[CODIGO DEL DOCUMENTO]],Arreglo_Binaps[Codigo Documento],Arreglo_Binaps[Fecha_Aprobacion],"",0,1),IF(_xlpm.resultado=0,"",_xlpm.resultado))</f>
        <v>45877</v>
      </c>
      <c r="Q463" s="173"/>
      <c r="R463" s="75"/>
      <c r="S463" s="76"/>
      <c r="T463" s="73"/>
    </row>
    <row r="464" spans="1:20" ht="33.75" customHeight="1" x14ac:dyDescent="0.3">
      <c r="A464" s="60" t="str">
        <f>IFERROR(VLOOKUP(Libromaestro[[#This Row],[MACROPROCESO]],Tabla1[],2,FALSE),"")</f>
        <v>Corportativa</v>
      </c>
      <c r="B464" s="73" t="s">
        <v>32</v>
      </c>
      <c r="C464" s="64" t="s">
        <v>51</v>
      </c>
      <c r="D464" s="64" t="s">
        <v>16</v>
      </c>
      <c r="E46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6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64" s="64">
        <v>68</v>
      </c>
      <c r="H464" s="60" t="str">
        <f>_xlfn.CONCAT(Libromaestro[[#This Row],[SIGLAS]],"-",Libromaestro[[#This Row],[T. DOC]],"-",Libromaestro[[#This Row],[CONSECUTIVO]])</f>
        <v>H-FT-68</v>
      </c>
      <c r="I464" s="73" t="s">
        <v>545</v>
      </c>
      <c r="J464" s="64">
        <v>1</v>
      </c>
      <c r="K464" s="64" t="str">
        <f>_xlfn.XLOOKUP(Libromaestro[[#This Row],[CODIGO DEL DOCUMENTO]],Arreglo_Binaps[Codigo Documento],Arreglo_Binaps[Estado],"No creado",0)</f>
        <v>Aprobado</v>
      </c>
      <c r="L464" s="66" t="str">
        <f>_xlfn.XLOOKUP(Libromaestro[[#This Row],[CODIGO DEL DOCUMENTO]],Arreglo_Binaps[Codigo Documento],Arreglo_Binaps[Fecha de creación],"",0,1)</f>
        <v>2024-07-18</v>
      </c>
      <c r="M464" s="66"/>
      <c r="N46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46586</v>
      </c>
      <c r="O464"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46586</v>
      </c>
      <c r="P464" s="74">
        <f>_xlfn.LET(_xlpm.resultado,_xlfn.XLOOKUP(Libromaestro[[#This Row],[CODIGO DEL DOCUMENTO]],Arreglo_Binaps[Codigo Documento],Arreglo_Binaps[Fecha_Aprobacion],"",0,1),IF(_xlpm.resultado=0,"",_xlpm.resultado))</f>
        <v>45509</v>
      </c>
      <c r="Q464" s="173"/>
      <c r="R464" s="75"/>
      <c r="S464" s="76" t="s">
        <v>23</v>
      </c>
      <c r="T464" s="73"/>
    </row>
    <row r="465" spans="1:20" ht="33.75" customHeight="1" x14ac:dyDescent="0.3">
      <c r="A465" s="60" t="str">
        <f>IFERROR(VLOOKUP(Libromaestro[[#This Row],[MACROPROCESO]],Tabla1[],2,FALSE),"")</f>
        <v>Corportativa</v>
      </c>
      <c r="B465" s="70" t="s">
        <v>32</v>
      </c>
      <c r="C465" s="60" t="s">
        <v>59</v>
      </c>
      <c r="D465" s="60" t="s">
        <v>16</v>
      </c>
      <c r="E465"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65"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65" s="60">
        <v>69</v>
      </c>
      <c r="H465" s="60" t="str">
        <f>_xlfn.CONCAT(Libromaestro[[#This Row],[SIGLAS]],"-",Libromaestro[[#This Row],[T. DOC]],"-",Libromaestro[[#This Row],[CONSECUTIVO]])</f>
        <v>H-FT-69</v>
      </c>
      <c r="I465" s="70" t="s">
        <v>546</v>
      </c>
      <c r="J465" s="60">
        <v>1</v>
      </c>
      <c r="K465" s="64" t="str">
        <f>_xlfn.XLOOKUP(Libromaestro[[#This Row],[CODIGO DEL DOCUMENTO]],Arreglo_Binaps[Codigo Documento],Arreglo_Binaps[Estado],"No creado",0)</f>
        <v>Rechazado</v>
      </c>
      <c r="L465" s="66" t="str">
        <f>_xlfn.XLOOKUP(Libromaestro[[#This Row],[CODIGO DEL DOCUMENTO]],Arreglo_Binaps[Codigo Documento],Arreglo_Binaps[Fecha de creación],"",0,1)</f>
        <v>2025-01-23</v>
      </c>
      <c r="M465" s="66">
        <v>45734</v>
      </c>
      <c r="N46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46830</v>
      </c>
      <c r="O46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46830</v>
      </c>
      <c r="P465" s="67">
        <f>_xlfn.LET(_xlpm.resultado,_xlfn.XLOOKUP(Libromaestro[[#This Row],[CODIGO DEL DOCUMENTO]],Arreglo_Binaps[Codigo Documento],Arreglo_Binaps[Fecha_Aprobacion],"",0,1),IF(_xlpm.resultado=0,"",_xlpm.resultado))</f>
        <v>45734</v>
      </c>
      <c r="Q465" s="172"/>
      <c r="R465" s="68"/>
      <c r="S465" s="69" t="s">
        <v>28</v>
      </c>
      <c r="T465" s="70"/>
    </row>
    <row r="466" spans="1:20" ht="33.75" customHeight="1" x14ac:dyDescent="0.3">
      <c r="A466" s="60" t="str">
        <f>IFERROR(VLOOKUP(Libromaestro[[#This Row],[MACROPROCESO]],Tabla1[],2,FALSE),"")</f>
        <v>Corportativa</v>
      </c>
      <c r="B466" s="73" t="s">
        <v>32</v>
      </c>
      <c r="C466" s="64" t="s">
        <v>59</v>
      </c>
      <c r="D466" s="64" t="s">
        <v>16</v>
      </c>
      <c r="E46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6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66" s="64">
        <v>70</v>
      </c>
      <c r="H466" s="60" t="str">
        <f>_xlfn.CONCAT(Libromaestro[[#This Row],[SIGLAS]],"-",Libromaestro[[#This Row],[T. DOC]],"-",Libromaestro[[#This Row],[CONSECUTIVO]])</f>
        <v>H-FT-70</v>
      </c>
      <c r="I466" s="73" t="s">
        <v>547</v>
      </c>
      <c r="J466" s="64">
        <v>1</v>
      </c>
      <c r="K466" s="64" t="str">
        <f>_xlfn.XLOOKUP(Libromaestro[[#This Row],[CODIGO DEL DOCUMENTO]],Arreglo_Binaps[Codigo Documento],Arreglo_Binaps[Estado],"No creado",0)</f>
        <v>Rechazado</v>
      </c>
      <c r="L466" s="66" t="str">
        <f>_xlfn.XLOOKUP(Libromaestro[[#This Row],[CODIGO DEL DOCUMENTO]],Arreglo_Binaps[Codigo Documento],Arreglo_Binaps[Fecha de creación],"",0,1)</f>
        <v>2025-01-23</v>
      </c>
      <c r="M466" s="66">
        <v>45734</v>
      </c>
      <c r="N46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46830</v>
      </c>
      <c r="O466"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46830</v>
      </c>
      <c r="P466" s="74">
        <f>_xlfn.LET(_xlpm.resultado,_xlfn.XLOOKUP(Libromaestro[[#This Row],[CODIGO DEL DOCUMENTO]],Arreglo_Binaps[Codigo Documento],Arreglo_Binaps[Fecha_Aprobacion],"",0,1),IF(_xlpm.resultado=0,"",_xlpm.resultado))</f>
        <v>45734</v>
      </c>
      <c r="Q466" s="173"/>
      <c r="R466" s="75"/>
      <c r="S466" s="76" t="s">
        <v>28</v>
      </c>
      <c r="T466" s="73"/>
    </row>
    <row r="467" spans="1:20" ht="33.75" customHeight="1" x14ac:dyDescent="0.3">
      <c r="A467" s="60" t="str">
        <f>IFERROR(VLOOKUP(Libromaestro[[#This Row],[MACROPROCESO]],Tabla1[],2,FALSE),"")</f>
        <v>Corportativa</v>
      </c>
      <c r="B467" s="73" t="s">
        <v>32</v>
      </c>
      <c r="C467" s="64" t="s">
        <v>59</v>
      </c>
      <c r="D467" s="64" t="s">
        <v>34</v>
      </c>
      <c r="E46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6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467" s="64">
        <v>17</v>
      </c>
      <c r="H467" s="60" t="str">
        <f>_xlfn.CONCAT(Libromaestro[[#This Row],[SIGLAS]],"-",Libromaestro[[#This Row],[T. DOC]],"-",Libromaestro[[#This Row],[CONSECUTIVO]])</f>
        <v>H-PR-17</v>
      </c>
      <c r="I467" s="70" t="s">
        <v>548</v>
      </c>
      <c r="J467" s="64">
        <v>1</v>
      </c>
      <c r="K467" s="64" t="str">
        <f>_xlfn.XLOOKUP(Libromaestro[[#This Row],[CODIGO DEL DOCUMENTO]],Arreglo_Binaps[Codigo Documento],Arreglo_Binaps[Estado],"No creado",0)</f>
        <v>No creado</v>
      </c>
      <c r="L467" s="66" t="str">
        <f>_xlfn.XLOOKUP(Libromaestro[[#This Row],[CODIGO DEL DOCUMENTO]],Arreglo_Binaps[Codigo Documento],Arreglo_Binaps[Fecha de creación],"",0,1)</f>
        <v/>
      </c>
      <c r="M467" s="66"/>
      <c r="N467"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467" s="65"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67" s="67" t="str">
        <f>_xlfn.LET(_xlpm.resultado,_xlfn.XLOOKUP(Libromaestro[[#This Row],[CODIGO DEL DOCUMENTO]],Arreglo_Binaps[Codigo Documento],Arreglo_Binaps[Fecha_Aprobacion],"",0,1),IF(_xlpm.resultado=0,"",_xlpm.resultado))</f>
        <v/>
      </c>
      <c r="Q467" s="172"/>
      <c r="R467" s="68"/>
      <c r="S467" s="69" t="s">
        <v>28</v>
      </c>
      <c r="T467" s="70"/>
    </row>
    <row r="468" spans="1:20" ht="33.75" customHeight="1" x14ac:dyDescent="0.3">
      <c r="A468" s="60" t="str">
        <f>IFERROR(VLOOKUP(Libromaestro[[#This Row],[MACROPROCESO]],Tabla1[],2,FALSE),"")</f>
        <v>Corportativa</v>
      </c>
      <c r="B468" s="73" t="s">
        <v>32</v>
      </c>
      <c r="C468" s="64" t="s">
        <v>59</v>
      </c>
      <c r="D468" s="64" t="s">
        <v>16</v>
      </c>
      <c r="E46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6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68" s="64">
        <v>72</v>
      </c>
      <c r="H468" s="60" t="str">
        <f>_xlfn.CONCAT(Libromaestro[[#This Row],[SIGLAS]],"-",Libromaestro[[#This Row],[T. DOC]],"-",Libromaestro[[#This Row],[CONSECUTIVO]])</f>
        <v>H-FT-72</v>
      </c>
      <c r="I468" s="70" t="s">
        <v>549</v>
      </c>
      <c r="J468" s="64">
        <v>1</v>
      </c>
      <c r="K468" s="64" t="str">
        <f>_xlfn.XLOOKUP(Libromaestro[[#This Row],[CODIGO DEL DOCUMENTO]],Arreglo_Binaps[Codigo Documento],Arreglo_Binaps[Estado],"No creado",0)</f>
        <v>Aprobado</v>
      </c>
      <c r="L468" s="66" t="str">
        <f>_xlfn.XLOOKUP(Libromaestro[[#This Row],[CODIGO DEL DOCUMENTO]],Arreglo_Binaps[Codigo Documento],Arreglo_Binaps[Fecha de creación],"",0,1)</f>
        <v>2025-01-23</v>
      </c>
      <c r="M468" s="66">
        <v>45734</v>
      </c>
      <c r="N46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46830</v>
      </c>
      <c r="O468"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46830</v>
      </c>
      <c r="P468" s="67">
        <f>_xlfn.LET(_xlpm.resultado,_xlfn.XLOOKUP(Libromaestro[[#This Row],[CODIGO DEL DOCUMENTO]],Arreglo_Binaps[Codigo Documento],Arreglo_Binaps[Fecha_Aprobacion],"",0,1),IF(_xlpm.resultado=0,"",_xlpm.resultado))</f>
        <v>45877</v>
      </c>
      <c r="Q468" s="172"/>
      <c r="R468" s="68"/>
      <c r="S468" s="69" t="s">
        <v>28</v>
      </c>
      <c r="T468" s="70"/>
    </row>
    <row r="469" spans="1:20" ht="33.75" customHeight="1" x14ac:dyDescent="0.3">
      <c r="A469" s="60" t="str">
        <f>IFERROR(VLOOKUP(Libromaestro[[#This Row],[MACROPROCESO]],Tabla1[],2,FALSE),"")</f>
        <v>Corportativa</v>
      </c>
      <c r="B469" s="73" t="s">
        <v>32</v>
      </c>
      <c r="C469" s="64" t="s">
        <v>57</v>
      </c>
      <c r="D469" s="64" t="s">
        <v>16</v>
      </c>
      <c r="E46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6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69" s="64">
        <v>73</v>
      </c>
      <c r="H469" s="60" t="str">
        <f>_xlfn.CONCAT(Libromaestro[[#This Row],[SIGLAS]],"-",Libromaestro[[#This Row],[T. DOC]],"-",Libromaestro[[#This Row],[CONSECUTIVO]])</f>
        <v>H-FT-73</v>
      </c>
      <c r="I469" s="70" t="s">
        <v>550</v>
      </c>
      <c r="J469" s="64">
        <v>1</v>
      </c>
      <c r="K469" s="64" t="str">
        <f>_xlfn.XLOOKUP(Libromaestro[[#This Row],[CODIGO DEL DOCUMENTO]],Arreglo_Binaps[Codigo Documento],Arreglo_Binaps[Estado],"No creado",0)</f>
        <v>Aprobado</v>
      </c>
      <c r="L469" s="66" t="str">
        <f>_xlfn.XLOOKUP(Libromaestro[[#This Row],[CODIGO DEL DOCUMENTO]],Arreglo_Binaps[Codigo Documento],Arreglo_Binaps[Fecha de creación],"",0,1)</f>
        <v>2025-05-09</v>
      </c>
      <c r="M469" s="66">
        <v>45786</v>
      </c>
      <c r="N46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46882</v>
      </c>
      <c r="O469"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46882</v>
      </c>
      <c r="P469" s="67">
        <f>_xlfn.LET(_xlpm.resultado,_xlfn.XLOOKUP(Libromaestro[[#This Row],[CODIGO DEL DOCUMENTO]],Arreglo_Binaps[Codigo Documento],Arreglo_Binaps[Fecha_Aprobacion],"",0,1),IF(_xlpm.resultado=0,"",_xlpm.resultado))</f>
        <v>45877</v>
      </c>
      <c r="Q469" s="172"/>
      <c r="R469" s="68"/>
      <c r="S469" s="69"/>
      <c r="T469" s="70"/>
    </row>
    <row r="470" spans="1:20" ht="33.75" customHeight="1" x14ac:dyDescent="0.3">
      <c r="A470" s="60" t="str">
        <f>IFERROR(VLOOKUP(Libromaestro[[#This Row],[MACROPROCESO]],Tabla1[],2,FALSE),"")</f>
        <v>Corportativa</v>
      </c>
      <c r="B470" s="73" t="s">
        <v>32</v>
      </c>
      <c r="C470" s="64" t="s">
        <v>59</v>
      </c>
      <c r="D470" s="64" t="s">
        <v>16</v>
      </c>
      <c r="E47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7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70" s="64">
        <v>74</v>
      </c>
      <c r="H470" s="60" t="str">
        <f>_xlfn.CONCAT(Libromaestro[[#This Row],[SIGLAS]],"-",Libromaestro[[#This Row],[T. DOC]],"-",Libromaestro[[#This Row],[CONSECUTIVO]])</f>
        <v>H-FT-74</v>
      </c>
      <c r="I470" s="73" t="s">
        <v>551</v>
      </c>
      <c r="J470" s="64">
        <v>1</v>
      </c>
      <c r="K470" s="64" t="str">
        <f>_xlfn.XLOOKUP(Libromaestro[[#This Row],[CODIGO DEL DOCUMENTO]],Arreglo_Binaps[Codigo Documento],Arreglo_Binaps[Estado],"No creado",0)</f>
        <v>Aprobado</v>
      </c>
      <c r="L470" s="66" t="str">
        <f>_xlfn.XLOOKUP(Libromaestro[[#This Row],[CODIGO DEL DOCUMENTO]],Arreglo_Binaps[Codigo Documento],Arreglo_Binaps[Fecha de creación],"",0,1)</f>
        <v>2025-01-23</v>
      </c>
      <c r="M470" s="66"/>
      <c r="N470"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46775</v>
      </c>
      <c r="O470"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46775</v>
      </c>
      <c r="P470" s="74">
        <f>_xlfn.LET(_xlpm.resultado,_xlfn.XLOOKUP(Libromaestro[[#This Row],[CODIGO DEL DOCUMENTO]],Arreglo_Binaps[Codigo Documento],Arreglo_Binaps[Fecha_Aprobacion],"",0,1),IF(_xlpm.resultado=0,"",_xlpm.resultado))</f>
        <v>45877</v>
      </c>
      <c r="Q470" s="173"/>
      <c r="R470" s="75"/>
      <c r="S470" s="76"/>
      <c r="T470" s="73"/>
    </row>
    <row r="471" spans="1:20" s="17" customFormat="1" ht="33.75" customHeight="1" x14ac:dyDescent="0.3">
      <c r="A471" s="60" t="str">
        <f>IFERROR(VLOOKUP(Libromaestro[[#This Row],[MACROPROCESO]],Tabla1[],2,FALSE),"")</f>
        <v>Suministros</v>
      </c>
      <c r="B471" s="73" t="s">
        <v>45</v>
      </c>
      <c r="C471" s="64" t="s">
        <v>54</v>
      </c>
      <c r="D471" s="64" t="s">
        <v>37</v>
      </c>
      <c r="E47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47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471" s="64">
        <v>2</v>
      </c>
      <c r="H471" s="60" t="str">
        <f>_xlfn.CONCAT(Libromaestro[[#This Row],[SIGLAS]],"-",Libromaestro[[#This Row],[T. DOC]],"-",Libromaestro[[#This Row],[CONSECUTIVO]])</f>
        <v>S-PO-2</v>
      </c>
      <c r="I471" s="73" t="s">
        <v>177</v>
      </c>
      <c r="J471" s="64">
        <v>1</v>
      </c>
      <c r="K471" s="64" t="str">
        <f>_xlfn.XLOOKUP(Libromaestro[[#This Row],[CODIGO DEL DOCUMENTO]],Arreglo_Binaps[Codigo Documento],Arreglo_Binaps[Estado],"No creado",0)</f>
        <v>Aprobado</v>
      </c>
      <c r="L471" s="66" t="str">
        <f>_xlfn.XLOOKUP(Libromaestro[[#This Row],[CODIGO DEL DOCUMENTO]],Arreglo_Binaps[Codigo Documento],Arreglo_Binaps[Fecha de creación],"",0,1)</f>
        <v>2025-01-20</v>
      </c>
      <c r="M471" s="66">
        <v>46176</v>
      </c>
      <c r="N471"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O471"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471" s="74">
        <f>_xlfn.LET(_xlpm.resultado,_xlfn.XLOOKUP(Libromaestro[[#This Row],[CODIGO DEL DOCUMENTO]],Arreglo_Binaps[Codigo Documento],Arreglo_Binaps[Fecha_Aprobacion],"",0,1),IF(_xlpm.resultado=0,"",_xlpm.resultado))</f>
        <v>46218</v>
      </c>
      <c r="Q471" s="173"/>
      <c r="R471" s="75"/>
      <c r="S471" s="76"/>
      <c r="T471" s="82"/>
    </row>
    <row r="472" spans="1:20" ht="33.75" customHeight="1" x14ac:dyDescent="0.3">
      <c r="A472" s="60" t="str">
        <f>IFERROR(VLOOKUP(Libromaestro[[#This Row],[MACROPROCESO]],Tabla1[],2,FALSE),"")</f>
        <v>Suministros</v>
      </c>
      <c r="B472" s="73" t="s">
        <v>45</v>
      </c>
      <c r="C472" s="64" t="s">
        <v>54</v>
      </c>
      <c r="D472" s="64" t="s">
        <v>37</v>
      </c>
      <c r="E47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47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472" s="60">
        <v>3</v>
      </c>
      <c r="H472" s="60" t="str">
        <f>_xlfn.CONCAT(Libromaestro[[#This Row],[SIGLAS]],"-",Libromaestro[[#This Row],[T. DOC]],"-",Libromaestro[[#This Row],[CONSECUTIVO]])</f>
        <v>S-PO-3</v>
      </c>
      <c r="I472" s="70" t="s">
        <v>209</v>
      </c>
      <c r="J472" s="60">
        <v>1</v>
      </c>
      <c r="K472" s="64" t="str">
        <f>_xlfn.XLOOKUP(Libromaestro[[#This Row],[CODIGO DEL DOCUMENTO]],Arreglo_Binaps[Codigo Documento],Arreglo_Binaps[Estado],"No creado",0)</f>
        <v>Aprobado</v>
      </c>
      <c r="L472" s="66" t="str">
        <f>_xlfn.XLOOKUP(Libromaestro[[#This Row],[CODIGO DEL DOCUMENTO]],Arreglo_Binaps[Codigo Documento],Arreglo_Binaps[Fecha de creación],"",0,1)</f>
        <v>2025-01-20</v>
      </c>
      <c r="M472" s="66">
        <v>46176</v>
      </c>
      <c r="N47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O472"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472" s="67">
        <f>_xlfn.LET(_xlpm.resultado,_xlfn.XLOOKUP(Libromaestro[[#This Row],[CODIGO DEL DOCUMENTO]],Arreglo_Binaps[Codigo Documento],Arreglo_Binaps[Fecha_Aprobacion],"",0,1),IF(_xlpm.resultado=0,"",_xlpm.resultado))</f>
        <v>46218</v>
      </c>
      <c r="Q472" s="172"/>
      <c r="R472" s="68"/>
      <c r="S472" s="69"/>
      <c r="T472" s="88"/>
    </row>
    <row r="473" spans="1:20" ht="33.75" customHeight="1" x14ac:dyDescent="0.3">
      <c r="A473" s="60" t="str">
        <f>IFERROR(VLOOKUP(Libromaestro[[#This Row],[MACROPROCESO]],Tabla1[],2,FALSE),"")</f>
        <v>Suministros</v>
      </c>
      <c r="B473" s="73" t="s">
        <v>45</v>
      </c>
      <c r="C473" s="64" t="s">
        <v>30</v>
      </c>
      <c r="D473" s="64" t="s">
        <v>37</v>
      </c>
      <c r="E47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47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473" s="195">
        <v>8</v>
      </c>
      <c r="H473" s="60" t="str">
        <f>_xlfn.CONCAT(Libromaestro[[#This Row],[SIGLAS]],"-",Libromaestro[[#This Row],[T. DOC]],"-",Libromaestro[[#This Row],[CONSECUTIVO]])</f>
        <v>S-PO-8</v>
      </c>
      <c r="I473" s="194" t="s">
        <v>2525</v>
      </c>
      <c r="J473" s="60">
        <v>1</v>
      </c>
      <c r="K473" s="64" t="str">
        <f>_xlfn.XLOOKUP(Libromaestro[[#This Row],[CODIGO DEL DOCUMENTO]],Arreglo_Binaps[Codigo Documento],Arreglo_Binaps[Estado],"No creado",0)</f>
        <v>Aprobado</v>
      </c>
      <c r="L473" s="66" t="str">
        <f>_xlfn.XLOOKUP(Libromaestro[[#This Row],[CODIGO DEL DOCUMENTO]],Arreglo_Binaps[Codigo Documento],Arreglo_Binaps[Fecha de creación],"",0,1)</f>
        <v>2026-06-03</v>
      </c>
      <c r="M473" s="66"/>
      <c r="N47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O473"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473" s="67">
        <f>_xlfn.LET(_xlpm.resultado,_xlfn.XLOOKUP(Libromaestro[[#This Row],[CODIGO DEL DOCUMENTO]],Arreglo_Binaps[Codigo Documento],Arreglo_Binaps[Fecha_Aprobacion],"",0,1),IF(_xlpm.resultado=0,"",_xlpm.resultado))</f>
        <v>46176</v>
      </c>
      <c r="Q473" s="177"/>
      <c r="R473" s="69"/>
      <c r="S473" s="85"/>
      <c r="T473" s="86"/>
    </row>
    <row r="474" spans="1:20" ht="33.75" customHeight="1" x14ac:dyDescent="0.3">
      <c r="A474" s="60" t="str">
        <f>IFERROR(VLOOKUP(Libromaestro[[#This Row],[MACROPROCESO]],Tabla1[],2,FALSE),"")</f>
        <v>Corportativa</v>
      </c>
      <c r="B474" s="73" t="s">
        <v>32</v>
      </c>
      <c r="C474" s="64" t="s">
        <v>51</v>
      </c>
      <c r="D474" s="64" t="s">
        <v>16</v>
      </c>
      <c r="E47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7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74" s="64">
        <v>78</v>
      </c>
      <c r="H474" s="60" t="str">
        <f>_xlfn.CONCAT(Libromaestro[[#This Row],[SIGLAS]],"-",Libromaestro[[#This Row],[T. DOC]],"-",Libromaestro[[#This Row],[CONSECUTIVO]])</f>
        <v>H-FT-78</v>
      </c>
      <c r="I474" s="150" t="s">
        <v>555</v>
      </c>
      <c r="J474" s="64">
        <v>1</v>
      </c>
      <c r="K474" s="64" t="str">
        <f>_xlfn.XLOOKUP(Libromaestro[[#This Row],[CODIGO DEL DOCUMENTO]],Arreglo_Binaps[Codigo Documento],Arreglo_Binaps[Estado],"No creado",0)</f>
        <v>Aprobado</v>
      </c>
      <c r="L474" s="66" t="str">
        <f>_xlfn.XLOOKUP(Libromaestro[[#This Row],[CODIGO DEL DOCUMENTO]],Arreglo_Binaps[Codigo Documento],Arreglo_Binaps[Fecha de creación],"",0,1)</f>
        <v>2026-02-20</v>
      </c>
      <c r="M474" s="66"/>
      <c r="N474"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47169</v>
      </c>
      <c r="O474"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47169</v>
      </c>
      <c r="P474" s="74">
        <f>_xlfn.LET(_xlpm.resultado,_xlfn.XLOOKUP(Libromaestro[[#This Row],[CODIGO DEL DOCUMENTO]],Arreglo_Binaps[Codigo Documento],Arreglo_Binaps[Fecha_Aprobacion],"",0,1),IF(_xlpm.resultado=0,"",_xlpm.resultado))</f>
        <v>46093</v>
      </c>
      <c r="Q474" s="173"/>
      <c r="R474" s="75"/>
      <c r="S474" s="69"/>
      <c r="T474" s="80"/>
    </row>
    <row r="475" spans="1:20" ht="33.75" customHeight="1" x14ac:dyDescent="0.3">
      <c r="A475" s="60" t="str">
        <f>IFERROR(VLOOKUP(Libromaestro[[#This Row],[MACROPROCESO]],Tabla1[],2,FALSE),"")</f>
        <v>Corportativa</v>
      </c>
      <c r="B475" s="73" t="s">
        <v>32</v>
      </c>
      <c r="C475" s="64" t="s">
        <v>51</v>
      </c>
      <c r="D475" s="64" t="s">
        <v>16</v>
      </c>
      <c r="E47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7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75" s="64">
        <v>79</v>
      </c>
      <c r="H475" s="60" t="str">
        <f>_xlfn.CONCAT(Libromaestro[[#This Row],[SIGLAS]],"-",Libromaestro[[#This Row],[T. DOC]],"-",Libromaestro[[#This Row],[CONSECUTIVO]])</f>
        <v>H-FT-79</v>
      </c>
      <c r="I475" s="150" t="s">
        <v>2472</v>
      </c>
      <c r="J475" s="64">
        <v>1</v>
      </c>
      <c r="K475" s="64" t="str">
        <f>_xlfn.XLOOKUP(Libromaestro[[#This Row],[CODIGO DEL DOCUMENTO]],Arreglo_Binaps[Codigo Documento],Arreglo_Binaps[Estado],"No creado",0)</f>
        <v>Rechazado</v>
      </c>
      <c r="L475" s="66" t="str">
        <f>_xlfn.XLOOKUP(Libromaestro[[#This Row],[CODIGO DEL DOCUMENTO]],Arreglo_Binaps[Codigo Documento],Arreglo_Binaps[Fecha de creación],"",0,1)</f>
        <v>2026-02-20</v>
      </c>
      <c r="M475" s="66"/>
      <c r="N475"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47169</v>
      </c>
      <c r="O475"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47169</v>
      </c>
      <c r="P475" s="74" t="str">
        <f>_xlfn.LET(_xlpm.resultado,_xlfn.XLOOKUP(Libromaestro[[#This Row],[CODIGO DEL DOCUMENTO]],Arreglo_Binaps[Codigo Documento],Arreglo_Binaps[Fecha_Aprobacion],"",0,1),IF(_xlpm.resultado=0,"",_xlpm.resultado))</f>
        <v/>
      </c>
      <c r="Q475" s="173"/>
      <c r="R475" s="75"/>
      <c r="S475" s="76"/>
      <c r="T475" s="80"/>
    </row>
    <row r="476" spans="1:20" ht="33.75" customHeight="1" x14ac:dyDescent="0.3">
      <c r="A476" s="60" t="str">
        <f>IFERROR(VLOOKUP(Libromaestro[[#This Row],[MACROPROCESO]],Tabla1[],2,FALSE),"")</f>
        <v>Corportativa</v>
      </c>
      <c r="B476" s="73" t="s">
        <v>32</v>
      </c>
      <c r="C476" s="64" t="s">
        <v>51</v>
      </c>
      <c r="D476" s="64" t="s">
        <v>16</v>
      </c>
      <c r="E47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7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76" s="64">
        <v>80</v>
      </c>
      <c r="H476" s="60" t="str">
        <f>_xlfn.CONCAT(Libromaestro[[#This Row],[SIGLAS]],"-",Libromaestro[[#This Row],[T. DOC]],"-",Libromaestro[[#This Row],[CONSECUTIVO]])</f>
        <v>H-FT-80</v>
      </c>
      <c r="I476" s="150" t="s">
        <v>557</v>
      </c>
      <c r="J476" s="64">
        <v>1</v>
      </c>
      <c r="K476" s="64" t="str">
        <f>_xlfn.XLOOKUP(Libromaestro[[#This Row],[CODIGO DEL DOCUMENTO]],Arreglo_Binaps[Codigo Documento],Arreglo_Binaps[Estado],"No creado",0)</f>
        <v>Aprobado</v>
      </c>
      <c r="L476" s="66" t="str">
        <f>_xlfn.XLOOKUP(Libromaestro[[#This Row],[CODIGO DEL DOCUMENTO]],Arreglo_Binaps[Codigo Documento],Arreglo_Binaps[Fecha de creación],"",0,1)</f>
        <v>2026-02-20</v>
      </c>
      <c r="M476" s="66"/>
      <c r="N476"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47169</v>
      </c>
      <c r="O476"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47169</v>
      </c>
      <c r="P476" s="74">
        <f>_xlfn.LET(_xlpm.resultado,_xlfn.XLOOKUP(Libromaestro[[#This Row],[CODIGO DEL DOCUMENTO]],Arreglo_Binaps[Codigo Documento],Arreglo_Binaps[Fecha_Aprobacion],"",0,1),IF(_xlpm.resultado=0,"",_xlpm.resultado))</f>
        <v>46093</v>
      </c>
      <c r="Q476" s="173"/>
      <c r="R476" s="75"/>
      <c r="S476" s="76"/>
      <c r="T476" s="80"/>
    </row>
    <row r="477" spans="1:20" ht="33.75" customHeight="1" x14ac:dyDescent="0.3">
      <c r="A477" s="60" t="str">
        <f>IFERROR(VLOOKUP(Libromaestro[[#This Row],[MACROPROCESO]],Tabla1[],2,FALSE),"")</f>
        <v>Corportativa</v>
      </c>
      <c r="B477" s="73" t="s">
        <v>32</v>
      </c>
      <c r="C477" s="64" t="s">
        <v>51</v>
      </c>
      <c r="D477" s="64" t="s">
        <v>16</v>
      </c>
      <c r="E47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47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77" s="64">
        <v>81</v>
      </c>
      <c r="H477" s="60" t="str">
        <f>_xlfn.CONCAT(Libromaestro[[#This Row],[SIGLAS]],"-",Libromaestro[[#This Row],[T. DOC]],"-",Libromaestro[[#This Row],[CONSECUTIVO]])</f>
        <v>H-FT-81</v>
      </c>
      <c r="I477" s="150" t="s">
        <v>558</v>
      </c>
      <c r="J477" s="64">
        <v>1</v>
      </c>
      <c r="K477" s="64" t="str">
        <f>_xlfn.XLOOKUP(Libromaestro[[#This Row],[CODIGO DEL DOCUMENTO]],Arreglo_Binaps[Codigo Documento],Arreglo_Binaps[Estado],"No creado",0)</f>
        <v>Aprobado</v>
      </c>
      <c r="L477" s="66" t="str">
        <f>_xlfn.XLOOKUP(Libromaestro[[#This Row],[CODIGO DEL DOCUMENTO]],Arreglo_Binaps[Codigo Documento],Arreglo_Binaps[Fecha de creación],"",0,1)</f>
        <v>2026-02-20</v>
      </c>
      <c r="M477" s="66"/>
      <c r="N477" s="65">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47169</v>
      </c>
      <c r="O477"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47169</v>
      </c>
      <c r="P477" s="74">
        <f>_xlfn.LET(_xlpm.resultado,_xlfn.XLOOKUP(Libromaestro[[#This Row],[CODIGO DEL DOCUMENTO]],Arreglo_Binaps[Codigo Documento],Arreglo_Binaps[Fecha_Aprobacion],"",0,1),IF(_xlpm.resultado=0,"",_xlpm.resultado))</f>
        <v>46093</v>
      </c>
      <c r="Q477" s="173"/>
      <c r="R477" s="75"/>
      <c r="S477" s="76"/>
      <c r="T477" s="80"/>
    </row>
    <row r="478" spans="1:20" ht="33.75" customHeight="1" x14ac:dyDescent="0.3">
      <c r="A478" s="60" t="str">
        <f>IFERROR(VLOOKUP(Libromaestro[[#This Row],[MACROPROCESO]],Tabla1[],2,FALSE),"")</f>
        <v>Corporativa</v>
      </c>
      <c r="B478" s="40" t="s">
        <v>13</v>
      </c>
      <c r="C478" s="41" t="s">
        <v>55</v>
      </c>
      <c r="D478" s="64" t="s">
        <v>16</v>
      </c>
      <c r="E47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47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78" s="64">
        <v>32</v>
      </c>
      <c r="H478" s="60" t="str">
        <f>_xlfn.CONCAT(Libromaestro[[#This Row],[SIGLAS]],"-",Libromaestro[[#This Row],[T. DOC]],"-",Libromaestro[[#This Row],[CONSECUTIVO]])</f>
        <v>D-FT-32</v>
      </c>
      <c r="I478" s="46" t="s">
        <v>559</v>
      </c>
      <c r="J478" s="64"/>
      <c r="K478" s="64" t="str">
        <f>_xlfn.XLOOKUP(Libromaestro[[#This Row],[CODIGO DEL DOCUMENTO]],Arreglo_Binaps[Codigo Documento],Arreglo_Binaps[Estado],"No creado",0)</f>
        <v>No creado</v>
      </c>
      <c r="L478" s="66" t="str">
        <f>_xlfn.XLOOKUP(Libromaestro[[#This Row],[CODIGO DEL DOCUMENTO]],Arreglo_Binaps[Codigo Documento],Arreglo_Binaps[Fecha de creación],"",0,1)</f>
        <v/>
      </c>
      <c r="M478" s="66"/>
      <c r="N478" s="65"/>
      <c r="O478"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78" s="74" t="str">
        <f>_xlfn.LET(_xlpm.resultado,_xlfn.XLOOKUP(Libromaestro[[#This Row],[CODIGO DEL DOCUMENTO]],Arreglo_Binaps[Codigo Documento],Arreglo_Binaps[Fecha_Aprobacion],"",0,1),IF(_xlpm.resultado=0,"",_xlpm.resultado))</f>
        <v/>
      </c>
      <c r="Q478" s="173"/>
      <c r="R478" s="75"/>
      <c r="S478" s="76"/>
      <c r="T478" s="80"/>
    </row>
    <row r="479" spans="1:20" ht="33.75" customHeight="1" x14ac:dyDescent="0.3">
      <c r="A479" s="60" t="str">
        <f>IFERROR(VLOOKUP(Libromaestro[[#This Row],[MACROPROCESO]],Tabla1[],2,FALSE),"")</f>
        <v>Corporativa</v>
      </c>
      <c r="B479" s="40" t="s">
        <v>13</v>
      </c>
      <c r="C479" s="41" t="s">
        <v>55</v>
      </c>
      <c r="D479" s="64" t="s">
        <v>16</v>
      </c>
      <c r="E47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47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79" s="64">
        <v>33</v>
      </c>
      <c r="H479" s="60" t="str">
        <f>_xlfn.CONCAT(Libromaestro[[#This Row],[SIGLAS]],"-",Libromaestro[[#This Row],[T. DOC]],"-",Libromaestro[[#This Row],[CONSECUTIVO]])</f>
        <v>D-FT-33</v>
      </c>
      <c r="I479" s="47" t="s">
        <v>560</v>
      </c>
      <c r="J479" s="64"/>
      <c r="K479" s="64" t="str">
        <f>_xlfn.XLOOKUP(Libromaestro[[#This Row],[CODIGO DEL DOCUMENTO]],Arreglo_Binaps[Codigo Documento],Arreglo_Binaps[Estado],"No creado",0)</f>
        <v>No creado</v>
      </c>
      <c r="L479" s="66" t="str">
        <f>_xlfn.XLOOKUP(Libromaestro[[#This Row],[CODIGO DEL DOCUMENTO]],Arreglo_Binaps[Codigo Documento],Arreglo_Binaps[Fecha de creación],"",0,1)</f>
        <v/>
      </c>
      <c r="M479" s="66"/>
      <c r="N479" s="66"/>
      <c r="O479"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79" s="74" t="str">
        <f>_xlfn.LET(_xlpm.resultado,_xlfn.XLOOKUP(Libromaestro[[#This Row],[CODIGO DEL DOCUMENTO]],Arreglo_Binaps[Codigo Documento],Arreglo_Binaps[Fecha_Aprobacion],"",0,1),IF(_xlpm.resultado=0,"",_xlpm.resultado))</f>
        <v/>
      </c>
      <c r="Q479" s="173"/>
      <c r="R479" s="75"/>
      <c r="S479" s="76"/>
      <c r="T479" s="80"/>
    </row>
    <row r="480" spans="1:20" ht="33.75" customHeight="1" x14ac:dyDescent="0.3">
      <c r="A480" s="60" t="str">
        <f>IFERROR(VLOOKUP(Libromaestro[[#This Row],[MACROPROCESO]],Tabla1[],2,FALSE),"")</f>
        <v>Corporativa</v>
      </c>
      <c r="B480" s="38" t="s">
        <v>13</v>
      </c>
      <c r="C480" s="39" t="s">
        <v>55</v>
      </c>
      <c r="D480" s="64" t="s">
        <v>16</v>
      </c>
      <c r="E480"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480"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80" s="60">
        <v>34</v>
      </c>
      <c r="H480" s="60" t="str">
        <f>_xlfn.CONCAT(Libromaestro[[#This Row],[SIGLAS]],"-",Libromaestro[[#This Row],[T. DOC]],"-",Libromaestro[[#This Row],[CONSECUTIVO]])</f>
        <v>D-FT-34</v>
      </c>
      <c r="I480" s="47" t="s">
        <v>561</v>
      </c>
      <c r="J480" s="60"/>
      <c r="K480" s="64" t="str">
        <f>_xlfn.XLOOKUP(Libromaestro[[#This Row],[CODIGO DEL DOCUMENTO]],Arreglo_Binaps[Codigo Documento],Arreglo_Binaps[Estado],"No creado",0)</f>
        <v>No creado</v>
      </c>
      <c r="L480" s="66" t="str">
        <f>_xlfn.XLOOKUP(Libromaestro[[#This Row],[CODIGO DEL DOCUMENTO]],Arreglo_Binaps[Codigo Documento],Arreglo_Binaps[Fecha de creación],"",0,1)</f>
        <v/>
      </c>
      <c r="M480" s="66"/>
      <c r="N480" s="66"/>
      <c r="O480"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80" s="67" t="str">
        <f>_xlfn.LET(_xlpm.resultado,_xlfn.XLOOKUP(Libromaestro[[#This Row],[CODIGO DEL DOCUMENTO]],Arreglo_Binaps[Codigo Documento],Arreglo_Binaps[Fecha_Aprobacion],"",0,1),IF(_xlpm.resultado=0,"",_xlpm.resultado))</f>
        <v/>
      </c>
      <c r="Q480" s="172"/>
      <c r="R480" s="68"/>
      <c r="S480" s="69"/>
      <c r="T480" s="87"/>
    </row>
    <row r="481" spans="1:20" ht="33.75" customHeight="1" x14ac:dyDescent="0.3">
      <c r="A481" s="60" t="str">
        <f>IFERROR(VLOOKUP(Libromaestro[[#This Row],[MACROPROCESO]],Tabla1[],2,FALSE),"")</f>
        <v>Corporativa</v>
      </c>
      <c r="B481" s="38" t="s">
        <v>13</v>
      </c>
      <c r="C481" s="39" t="s">
        <v>55</v>
      </c>
      <c r="D481" s="64" t="s">
        <v>16</v>
      </c>
      <c r="E481"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481"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81" s="60">
        <v>35</v>
      </c>
      <c r="H481" s="60" t="str">
        <f>_xlfn.CONCAT(Libromaestro[[#This Row],[SIGLAS]],"-",Libromaestro[[#This Row],[T. DOC]],"-",Libromaestro[[#This Row],[CONSECUTIVO]])</f>
        <v>D-FT-35</v>
      </c>
      <c r="I481" s="47" t="s">
        <v>562</v>
      </c>
      <c r="J481" s="60"/>
      <c r="K481" s="64" t="str">
        <f>_xlfn.XLOOKUP(Libromaestro[[#This Row],[CODIGO DEL DOCUMENTO]],Arreglo_Binaps[Codigo Documento],Arreglo_Binaps[Estado],"No creado",0)</f>
        <v>No creado</v>
      </c>
      <c r="L481" s="66" t="str">
        <f>_xlfn.XLOOKUP(Libromaestro[[#This Row],[CODIGO DEL DOCUMENTO]],Arreglo_Binaps[Codigo Documento],Arreglo_Binaps[Fecha de creación],"",0,1)</f>
        <v/>
      </c>
      <c r="M481" s="66"/>
      <c r="N481" s="66"/>
      <c r="O481" s="111"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81" s="67" t="str">
        <f>_xlfn.LET(_xlpm.resultado,_xlfn.XLOOKUP(Libromaestro[[#This Row],[CODIGO DEL DOCUMENTO]],Arreglo_Binaps[Codigo Documento],Arreglo_Binaps[Fecha_Aprobacion],"",0,1),IF(_xlpm.resultado=0,"",_xlpm.resultado))</f>
        <v/>
      </c>
      <c r="Q481" s="172"/>
      <c r="R481" s="68"/>
      <c r="S481" s="69"/>
      <c r="T481" s="87"/>
    </row>
    <row r="482" spans="1:20" ht="33.75" customHeight="1" x14ac:dyDescent="0.3">
      <c r="A482" s="60" t="str">
        <f>IFERROR(VLOOKUP(Libromaestro[[#This Row],[MACROPROCESO]],Tabla1[],2,FALSE),"")</f>
        <v>Corporativa</v>
      </c>
      <c r="B482" s="38" t="s">
        <v>13</v>
      </c>
      <c r="C482" s="39" t="s">
        <v>55</v>
      </c>
      <c r="D482" s="64" t="s">
        <v>16</v>
      </c>
      <c r="E482"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482"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82" s="60">
        <v>36</v>
      </c>
      <c r="H482" s="60" t="str">
        <f>_xlfn.CONCAT(Libromaestro[[#This Row],[SIGLAS]],"-",Libromaestro[[#This Row],[T. DOC]],"-",Libromaestro[[#This Row],[CONSECUTIVO]])</f>
        <v>D-FT-36</v>
      </c>
      <c r="I482" s="47" t="s">
        <v>563</v>
      </c>
      <c r="J482" s="60"/>
      <c r="K482" s="64" t="str">
        <f>_xlfn.XLOOKUP(Libromaestro[[#This Row],[CODIGO DEL DOCUMENTO]],Arreglo_Binaps[Codigo Documento],Arreglo_Binaps[Estado],"No creado",0)</f>
        <v>No creado</v>
      </c>
      <c r="L482" s="66" t="str">
        <f>_xlfn.XLOOKUP(Libromaestro[[#This Row],[CODIGO DEL DOCUMENTO]],Arreglo_Binaps[Codigo Documento],Arreglo_Binaps[Fecha de creación],"",0,1)</f>
        <v/>
      </c>
      <c r="M482" s="66"/>
      <c r="N482" s="66"/>
      <c r="O482" s="111"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82" s="67" t="str">
        <f>_xlfn.LET(_xlpm.resultado,_xlfn.XLOOKUP(Libromaestro[[#This Row],[CODIGO DEL DOCUMENTO]],Arreglo_Binaps[Codigo Documento],Arreglo_Binaps[Fecha_Aprobacion],"",0,1),IF(_xlpm.resultado=0,"",_xlpm.resultado))</f>
        <v/>
      </c>
      <c r="Q482" s="172"/>
      <c r="R482" s="68"/>
      <c r="S482" s="69"/>
      <c r="T482" s="87"/>
    </row>
    <row r="483" spans="1:20" ht="33.75" customHeight="1" x14ac:dyDescent="0.3">
      <c r="A483" s="60" t="str">
        <f>IFERROR(VLOOKUP(Libromaestro[[#This Row],[MACROPROCESO]],Tabla1[],2,FALSE),"")</f>
        <v>Corporativa</v>
      </c>
      <c r="B483" s="38" t="s">
        <v>13</v>
      </c>
      <c r="C483" s="39" t="s">
        <v>55</v>
      </c>
      <c r="D483" s="64" t="s">
        <v>16</v>
      </c>
      <c r="E483"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483"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83" s="60">
        <v>37</v>
      </c>
      <c r="H483" s="60" t="str">
        <f>_xlfn.CONCAT(Libromaestro[[#This Row],[SIGLAS]],"-",Libromaestro[[#This Row],[T. DOC]],"-",Libromaestro[[#This Row],[CONSECUTIVO]])</f>
        <v>D-FT-37</v>
      </c>
      <c r="I483" s="47" t="s">
        <v>564</v>
      </c>
      <c r="J483" s="60"/>
      <c r="K483" s="64" t="str">
        <f>_xlfn.XLOOKUP(Libromaestro[[#This Row],[CODIGO DEL DOCUMENTO]],Arreglo_Binaps[Codigo Documento],Arreglo_Binaps[Estado],"No creado",0)</f>
        <v>No creado</v>
      </c>
      <c r="L483" s="66" t="str">
        <f>_xlfn.XLOOKUP(Libromaestro[[#This Row],[CODIGO DEL DOCUMENTO]],Arreglo_Binaps[Codigo Documento],Arreglo_Binaps[Fecha de creación],"",0,1)</f>
        <v/>
      </c>
      <c r="M483" s="66"/>
      <c r="N483" s="66"/>
      <c r="O483" s="111"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83" s="67" t="str">
        <f>_xlfn.LET(_xlpm.resultado,_xlfn.XLOOKUP(Libromaestro[[#This Row],[CODIGO DEL DOCUMENTO]],Arreglo_Binaps[Codigo Documento],Arreglo_Binaps[Fecha_Aprobacion],"",0,1),IF(_xlpm.resultado=0,"",_xlpm.resultado))</f>
        <v/>
      </c>
      <c r="Q483" s="172"/>
      <c r="R483" s="68"/>
      <c r="S483" s="69"/>
      <c r="T483" s="87"/>
    </row>
    <row r="484" spans="1:20" ht="33.75" customHeight="1" x14ac:dyDescent="0.3">
      <c r="A484" s="60" t="str">
        <f>IFERROR(VLOOKUP(Libromaestro[[#This Row],[MACROPROCESO]],Tabla1[],2,FALSE),"")</f>
        <v>Corporativa</v>
      </c>
      <c r="B484" s="38" t="s">
        <v>13</v>
      </c>
      <c r="C484" s="39" t="s">
        <v>55</v>
      </c>
      <c r="D484" s="64" t="s">
        <v>16</v>
      </c>
      <c r="E484"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484"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84" s="60">
        <v>38</v>
      </c>
      <c r="H484" s="60" t="str">
        <f>_xlfn.CONCAT(Libromaestro[[#This Row],[SIGLAS]],"-",Libromaestro[[#This Row],[T. DOC]],"-",Libromaestro[[#This Row],[CONSECUTIVO]])</f>
        <v>D-FT-38</v>
      </c>
      <c r="I484" s="47" t="s">
        <v>565</v>
      </c>
      <c r="J484" s="60"/>
      <c r="K484" s="64" t="str">
        <f>_xlfn.XLOOKUP(Libromaestro[[#This Row],[CODIGO DEL DOCUMENTO]],Arreglo_Binaps[Codigo Documento],Arreglo_Binaps[Estado],"No creado",0)</f>
        <v>No creado</v>
      </c>
      <c r="L484" s="66" t="str">
        <f>_xlfn.XLOOKUP(Libromaestro[[#This Row],[CODIGO DEL DOCUMENTO]],Arreglo_Binaps[Codigo Documento],Arreglo_Binaps[Fecha de creación],"",0,1)</f>
        <v/>
      </c>
      <c r="M484" s="66"/>
      <c r="N484" s="66"/>
      <c r="O484" s="111"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84" s="67" t="str">
        <f>_xlfn.LET(_xlpm.resultado,_xlfn.XLOOKUP(Libromaestro[[#This Row],[CODIGO DEL DOCUMENTO]],Arreglo_Binaps[Codigo Documento],Arreglo_Binaps[Fecha_Aprobacion],"",0,1),IF(_xlpm.resultado=0,"",_xlpm.resultado))</f>
        <v/>
      </c>
      <c r="Q484" s="172"/>
      <c r="R484" s="68"/>
      <c r="S484" s="69"/>
      <c r="T484" s="87"/>
    </row>
    <row r="485" spans="1:20" ht="33.75" customHeight="1" x14ac:dyDescent="0.3">
      <c r="A485" s="60" t="str">
        <f>IFERROR(VLOOKUP(Libromaestro[[#This Row],[MACROPROCESO]],Tabla1[],2,FALSE),"")</f>
        <v>Corporativa</v>
      </c>
      <c r="B485" s="70" t="s">
        <v>13</v>
      </c>
      <c r="C485" s="60" t="s">
        <v>55</v>
      </c>
      <c r="D485" s="64" t="s">
        <v>16</v>
      </c>
      <c r="E485"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485"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85" s="60">
        <v>5</v>
      </c>
      <c r="H485" s="60" t="str">
        <f>_xlfn.CONCAT(Libromaestro[[#This Row],[SIGLAS]],"-",Libromaestro[[#This Row],[T. DOC]],"-",Libromaestro[[#This Row],[CONSECUTIVO]])</f>
        <v>D-FT-5</v>
      </c>
      <c r="I485" s="108" t="s">
        <v>566</v>
      </c>
      <c r="J485" s="60">
        <v>1</v>
      </c>
      <c r="K485" s="64" t="str">
        <f>_xlfn.XLOOKUP(Libromaestro[[#This Row],[CODIGO DEL DOCUMENTO]],Arreglo_Binaps[Codigo Documento],Arreglo_Binaps[Estado],"No creado",0)</f>
        <v>Aprobado</v>
      </c>
      <c r="L485" s="66" t="str">
        <f>_xlfn.XLOOKUP(Libromaestro[[#This Row],[CODIGO DEL DOCUMENTO]],Arreglo_Binaps[Codigo Documento],Arreglo_Binaps[Fecha de creación],"",0,1)</f>
        <v>2020-04-12</v>
      </c>
      <c r="M485" s="66"/>
      <c r="N485"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45028</v>
      </c>
      <c r="O485" s="110">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45028</v>
      </c>
      <c r="P485" s="67">
        <f>_xlfn.LET(_xlpm.resultado,_xlfn.XLOOKUP(Libromaestro[[#This Row],[CODIGO DEL DOCUMENTO]],Arreglo_Binaps[Codigo Documento],Arreglo_Binaps[Fecha_Aprobacion],"",0,1),IF(_xlpm.resultado=0,"",_xlpm.resultado))</f>
        <v>45512</v>
      </c>
      <c r="Q485" s="172"/>
      <c r="R485" s="68"/>
      <c r="S485" s="69" t="s">
        <v>28</v>
      </c>
      <c r="T485" s="70"/>
    </row>
    <row r="486" spans="1:20" ht="33.75" customHeight="1" x14ac:dyDescent="0.3">
      <c r="A486" s="60" t="str">
        <f>IFERROR(VLOOKUP(Libromaestro[[#This Row],[MACROPROCESO]],Tabla1[],2,FALSE),"")</f>
        <v>Corporativa</v>
      </c>
      <c r="B486" s="70" t="s">
        <v>13</v>
      </c>
      <c r="C486" s="60" t="s">
        <v>82</v>
      </c>
      <c r="D486" s="64" t="s">
        <v>16</v>
      </c>
      <c r="E486"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486"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86" s="60">
        <v>7</v>
      </c>
      <c r="H486" s="60" t="str">
        <f>_xlfn.CONCAT(Libromaestro[[#This Row],[SIGLAS]],"-",Libromaestro[[#This Row],[T. DOC]],"-",Libromaestro[[#This Row],[CONSECUTIVO]])</f>
        <v>D-FT-7</v>
      </c>
      <c r="I486" s="47" t="s">
        <v>567</v>
      </c>
      <c r="J486" s="60"/>
      <c r="K486" s="64" t="str">
        <f>_xlfn.XLOOKUP(Libromaestro[[#This Row],[CODIGO DEL DOCUMENTO]],Arreglo_Binaps[Codigo Documento],Arreglo_Binaps[Estado],"No creado",0)</f>
        <v>No creado</v>
      </c>
      <c r="L486" s="66" t="str">
        <f>_xlfn.XLOOKUP(Libromaestro[[#This Row],[CODIGO DEL DOCUMENTO]],Arreglo_Binaps[Codigo Documento],Arreglo_Binaps[Fecha de creación],"",0,1)</f>
        <v/>
      </c>
      <c r="M486" s="66"/>
      <c r="N486" s="66"/>
      <c r="O486" s="111"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86" s="67" t="str">
        <f>_xlfn.LET(_xlpm.resultado,_xlfn.XLOOKUP(Libromaestro[[#This Row],[CODIGO DEL DOCUMENTO]],Arreglo_Binaps[Codigo Documento],Arreglo_Binaps[Fecha_Aprobacion],"",0,1),IF(_xlpm.resultado=0,"",_xlpm.resultado))</f>
        <v/>
      </c>
      <c r="Q486" s="172"/>
      <c r="R486" s="68"/>
      <c r="S486" s="69"/>
      <c r="T486" s="87"/>
    </row>
    <row r="487" spans="1:20" ht="33.75" customHeight="1" x14ac:dyDescent="0.3">
      <c r="A487" s="60" t="str">
        <f>IFERROR(VLOOKUP(Libromaestro[[#This Row],[MACROPROCESO]],Tabla1[],2,FALSE),"")</f>
        <v>Corporativa</v>
      </c>
      <c r="B487" s="38" t="s">
        <v>13</v>
      </c>
      <c r="C487" s="39" t="s">
        <v>55</v>
      </c>
      <c r="D487" s="64" t="s">
        <v>16</v>
      </c>
      <c r="E487"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487"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87" s="60">
        <v>8</v>
      </c>
      <c r="H487" s="60" t="str">
        <f>_xlfn.CONCAT(Libromaestro[[#This Row],[SIGLAS]],"-",Libromaestro[[#This Row],[T. DOC]],"-",Libromaestro[[#This Row],[CONSECUTIVO]])</f>
        <v>D-FT-8</v>
      </c>
      <c r="I487" s="47" t="s">
        <v>568</v>
      </c>
      <c r="J487" s="60"/>
      <c r="K487" s="64" t="str">
        <f>_xlfn.XLOOKUP(Libromaestro[[#This Row],[CODIGO DEL DOCUMENTO]],Arreglo_Binaps[Codigo Documento],Arreglo_Binaps[Estado],"No creado",0)</f>
        <v>No creado</v>
      </c>
      <c r="L487" s="66" t="str">
        <f>_xlfn.XLOOKUP(Libromaestro[[#This Row],[CODIGO DEL DOCUMENTO]],Arreglo_Binaps[Codigo Documento],Arreglo_Binaps[Fecha de creación],"",0,1)</f>
        <v/>
      </c>
      <c r="M487" s="66"/>
      <c r="N487" s="66"/>
      <c r="O487" s="111"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87" s="67" t="str">
        <f>_xlfn.LET(_xlpm.resultado,_xlfn.XLOOKUP(Libromaestro[[#This Row],[CODIGO DEL DOCUMENTO]],Arreglo_Binaps[Codigo Documento],Arreglo_Binaps[Fecha_Aprobacion],"",0,1),IF(_xlpm.resultado=0,"",_xlpm.resultado))</f>
        <v/>
      </c>
      <c r="Q487" s="172"/>
      <c r="R487" s="68"/>
      <c r="S487" s="69"/>
      <c r="T487" s="87"/>
    </row>
    <row r="488" spans="1:20" ht="33.75" customHeight="1" x14ac:dyDescent="0.3">
      <c r="A488" s="60" t="str">
        <f>IFERROR(VLOOKUP(Libromaestro[[#This Row],[MACROPROCESO]],Tabla1[],2,FALSE),"")</f>
        <v>Corporativa</v>
      </c>
      <c r="B488" s="70" t="s">
        <v>13</v>
      </c>
      <c r="C488" s="60" t="s">
        <v>55</v>
      </c>
      <c r="D488" s="64" t="s">
        <v>34</v>
      </c>
      <c r="E488"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488"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488" s="60">
        <v>2</v>
      </c>
      <c r="H488" s="60" t="str">
        <f>_xlfn.CONCAT(Libromaestro[[#This Row],[SIGLAS]],"-",Libromaestro[[#This Row],[T. DOC]],"-",Libromaestro[[#This Row],[CONSECUTIVO]])</f>
        <v>D-PR-2</v>
      </c>
      <c r="I488" s="98" t="s">
        <v>569</v>
      </c>
      <c r="J488" s="60">
        <v>1</v>
      </c>
      <c r="K488" s="64" t="str">
        <f>_xlfn.XLOOKUP(Libromaestro[[#This Row],[CODIGO DEL DOCUMENTO]],Arreglo_Binaps[Codigo Documento],Arreglo_Binaps[Estado],"No creado",0)</f>
        <v>No creado</v>
      </c>
      <c r="L488" s="66" t="str">
        <f>_xlfn.XLOOKUP(Libromaestro[[#This Row],[CODIGO DEL DOCUMENTO]],Arreglo_Binaps[Codigo Documento],Arreglo_Binaps[Fecha de creación],"",0,1)</f>
        <v/>
      </c>
      <c r="M488" s="66"/>
      <c r="N488"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488" s="110"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88" s="67" t="str">
        <f>_xlfn.LET(_xlpm.resultado,_xlfn.XLOOKUP(Libromaestro[[#This Row],[CODIGO DEL DOCUMENTO]],Arreglo_Binaps[Codigo Documento],Arreglo_Binaps[Fecha_Aprobacion],"",0,1),IF(_xlpm.resultado=0,"",_xlpm.resultado))</f>
        <v/>
      </c>
      <c r="Q488" s="172"/>
      <c r="R488" s="68"/>
      <c r="S488" s="69"/>
      <c r="T488" s="70"/>
    </row>
    <row r="489" spans="1:20" ht="33.75" customHeight="1" x14ac:dyDescent="0.3">
      <c r="A489" s="60" t="str">
        <f>IFERROR(VLOOKUP(Libromaestro[[#This Row],[MACROPROCESO]],Tabla1[],2,FALSE),"")</f>
        <v>Suministros</v>
      </c>
      <c r="B489" s="70" t="s">
        <v>45</v>
      </c>
      <c r="C489" s="60" t="s">
        <v>54</v>
      </c>
      <c r="D489" s="64" t="s">
        <v>37</v>
      </c>
      <c r="E489"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489"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489" s="60">
        <v>4</v>
      </c>
      <c r="H489" s="60" t="str">
        <f>_xlfn.CONCAT(Libromaestro[[#This Row],[SIGLAS]],"-",Libromaestro[[#This Row],[T. DOC]],"-",Libromaestro[[#This Row],[CONSECUTIVO]])</f>
        <v>S-PO-4</v>
      </c>
      <c r="I489" s="98" t="s">
        <v>237</v>
      </c>
      <c r="J489" s="60">
        <v>1</v>
      </c>
      <c r="K489" s="64" t="str">
        <f>_xlfn.XLOOKUP(Libromaestro[[#This Row],[CODIGO DEL DOCUMENTO]],Arreglo_Binaps[Codigo Documento],Arreglo_Binaps[Estado],"No creado",0)</f>
        <v>Aprobado</v>
      </c>
      <c r="L489" s="66" t="str">
        <f>_xlfn.XLOOKUP(Libromaestro[[#This Row],[CODIGO DEL DOCUMENTO]],Arreglo_Binaps[Codigo Documento],Arreglo_Binaps[Fecha de creación],"",0,1)</f>
        <v>2025-07-30</v>
      </c>
      <c r="M489" s="66">
        <v>46176</v>
      </c>
      <c r="N489"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O489" s="110">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489" s="67">
        <f>_xlfn.LET(_xlpm.resultado,_xlfn.XLOOKUP(Libromaestro[[#This Row],[CODIGO DEL DOCUMENTO]],Arreglo_Binaps[Codigo Documento],Arreglo_Binaps[Fecha_Aprobacion],"",0,1),IF(_xlpm.resultado=0,"",_xlpm.resultado))</f>
        <v>46218</v>
      </c>
      <c r="Q489" s="172"/>
      <c r="R489" s="68"/>
      <c r="S489" s="69"/>
      <c r="T489" s="88"/>
    </row>
    <row r="490" spans="1:20" ht="33.75" customHeight="1" x14ac:dyDescent="0.3">
      <c r="A490" s="60" t="str">
        <f>IFERROR(VLOOKUP(Libromaestro[[#This Row],[MACROPROCESO]],Tabla1[],2,FALSE),"")</f>
        <v>Corporativa</v>
      </c>
      <c r="B490" s="40" t="s">
        <v>13</v>
      </c>
      <c r="C490" s="41" t="s">
        <v>21</v>
      </c>
      <c r="D490" s="41" t="s">
        <v>27</v>
      </c>
      <c r="E49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49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490" s="64">
        <v>4</v>
      </c>
      <c r="H490" s="60" t="str">
        <f>_xlfn.CONCAT(Libromaestro[[#This Row],[SIGLAS]],"-",Libromaestro[[#This Row],[T. DOC]],"-",Libromaestro[[#This Row],[CONSECUTIVO]])</f>
        <v>D-IN-4</v>
      </c>
      <c r="I490" s="47" t="s">
        <v>571</v>
      </c>
      <c r="J490" s="64"/>
      <c r="K490" s="64" t="str">
        <f>_xlfn.XLOOKUP(Libromaestro[[#This Row],[CODIGO DEL DOCUMENTO]],Arreglo_Binaps[Codigo Documento],Arreglo_Binaps[Estado],"No creado",0)</f>
        <v>No creado</v>
      </c>
      <c r="L490" s="66" t="str">
        <f>_xlfn.XLOOKUP(Libromaestro[[#This Row],[CODIGO DEL DOCUMENTO]],Arreglo_Binaps[Codigo Documento],Arreglo_Binaps[Fecha de creación],"",0,1)</f>
        <v/>
      </c>
      <c r="M490" s="66"/>
      <c r="N490" s="66"/>
      <c r="O490" s="111"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90" s="74" t="str">
        <f>_xlfn.LET(_xlpm.resultado,_xlfn.XLOOKUP(Libromaestro[[#This Row],[CODIGO DEL DOCUMENTO]],Arreglo_Binaps[Codigo Documento],Arreglo_Binaps[Fecha_Aprobacion],"",0,1),IF(_xlpm.resultado=0,"",_xlpm.resultado))</f>
        <v/>
      </c>
      <c r="Q490" s="173"/>
      <c r="R490" s="75"/>
      <c r="S490" s="76"/>
      <c r="T490" s="80"/>
    </row>
    <row r="491" spans="1:20" ht="33.75" customHeight="1" x14ac:dyDescent="0.3">
      <c r="A491" s="60" t="str">
        <f>IFERROR(VLOOKUP(Libromaestro[[#This Row],[MACROPROCESO]],Tabla1[],2,FALSE),"")</f>
        <v>Corporativa</v>
      </c>
      <c r="B491" s="40" t="s">
        <v>13</v>
      </c>
      <c r="C491" s="41" t="s">
        <v>21</v>
      </c>
      <c r="D491" s="41" t="s">
        <v>37</v>
      </c>
      <c r="E49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49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491" s="64">
        <v>1</v>
      </c>
      <c r="H491" s="60" t="str">
        <f>_xlfn.CONCAT(Libromaestro[[#This Row],[SIGLAS]],"-",Libromaestro[[#This Row],[T. DOC]],"-",Libromaestro[[#This Row],[CONSECUTIVO]])</f>
        <v>D-PO-1</v>
      </c>
      <c r="I491" s="47" t="s">
        <v>572</v>
      </c>
      <c r="J491" s="64"/>
      <c r="K491" s="64" t="str">
        <f>_xlfn.XLOOKUP(Libromaestro[[#This Row],[CODIGO DEL DOCUMENTO]],Arreglo_Binaps[Codigo Documento],Arreglo_Binaps[Estado],"No creado",0)</f>
        <v>No creado</v>
      </c>
      <c r="L491" s="66" t="str">
        <f>_xlfn.XLOOKUP(Libromaestro[[#This Row],[CODIGO DEL DOCUMENTO]],Arreglo_Binaps[Codigo Documento],Arreglo_Binaps[Fecha de creación],"",0,1)</f>
        <v/>
      </c>
      <c r="M491" s="66"/>
      <c r="N491" s="66"/>
      <c r="O491"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91" s="74" t="str">
        <f>_xlfn.LET(_xlpm.resultado,_xlfn.XLOOKUP(Libromaestro[[#This Row],[CODIGO DEL DOCUMENTO]],Arreglo_Binaps[Codigo Documento],Arreglo_Binaps[Fecha_Aprobacion],"",0,1),IF(_xlpm.resultado=0,"",_xlpm.resultado))</f>
        <v/>
      </c>
      <c r="Q491" s="173"/>
      <c r="R491" s="75"/>
      <c r="S491" s="76"/>
      <c r="T491" s="80"/>
    </row>
    <row r="492" spans="1:20" ht="33.75" customHeight="1" x14ac:dyDescent="0.3">
      <c r="A492" s="60" t="str">
        <f>IFERROR(VLOOKUP(Libromaestro[[#This Row],[MACROPROCESO]],Tabla1[],2,FALSE),"")</f>
        <v>Corporativa</v>
      </c>
      <c r="B492" s="40" t="s">
        <v>13</v>
      </c>
      <c r="C492" s="41" t="s">
        <v>21</v>
      </c>
      <c r="D492" s="41" t="s">
        <v>34</v>
      </c>
      <c r="E49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49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492" s="64">
        <v>1</v>
      </c>
      <c r="H492" s="60" t="str">
        <f>_xlfn.CONCAT(Libromaestro[[#This Row],[SIGLAS]],"-",Libromaestro[[#This Row],[T. DOC]],"-",Libromaestro[[#This Row],[CONSECUTIVO]])</f>
        <v>D-PR-1</v>
      </c>
      <c r="I492" s="47" t="s">
        <v>573</v>
      </c>
      <c r="J492" s="64"/>
      <c r="K492" s="64" t="str">
        <f>_xlfn.XLOOKUP(Libromaestro[[#This Row],[CODIGO DEL DOCUMENTO]],Arreglo_Binaps[Codigo Documento],Arreglo_Binaps[Estado],"No creado",0)</f>
        <v>No creado</v>
      </c>
      <c r="L492" s="66" t="str">
        <f>_xlfn.XLOOKUP(Libromaestro[[#This Row],[CODIGO DEL DOCUMENTO]],Arreglo_Binaps[Codigo Documento],Arreglo_Binaps[Fecha de creación],"",0,1)</f>
        <v/>
      </c>
      <c r="M492" s="66"/>
      <c r="N492" s="66"/>
      <c r="O492"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92" s="74" t="str">
        <f>_xlfn.LET(_xlpm.resultado,_xlfn.XLOOKUP(Libromaestro[[#This Row],[CODIGO DEL DOCUMENTO]],Arreglo_Binaps[Codigo Documento],Arreglo_Binaps[Fecha_Aprobacion],"",0,1),IF(_xlpm.resultado=0,"",_xlpm.resultado))</f>
        <v/>
      </c>
      <c r="Q492" s="173"/>
      <c r="R492" s="75"/>
      <c r="S492" s="76"/>
      <c r="T492" s="80"/>
    </row>
    <row r="493" spans="1:20" ht="33.75" customHeight="1" x14ac:dyDescent="0.3">
      <c r="A493" s="60" t="str">
        <f>IFERROR(VLOOKUP(Libromaestro[[#This Row],[MACROPROCESO]],Tabla1[],2,FALSE),"")</f>
        <v>Alumbrado Público</v>
      </c>
      <c r="B493" s="40" t="s">
        <v>7</v>
      </c>
      <c r="C493" s="41" t="s">
        <v>56</v>
      </c>
      <c r="D493" s="41" t="s">
        <v>16</v>
      </c>
      <c r="E49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49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493" s="64">
        <v>7</v>
      </c>
      <c r="H493" s="60" t="str">
        <f>_xlfn.CONCAT(Libromaestro[[#This Row],[SIGLAS]],"-",Libromaestro[[#This Row],[T. DOC]],"-",Libromaestro[[#This Row],[CONSECUTIVO]])</f>
        <v>A-FT-7</v>
      </c>
      <c r="I493" s="47" t="s">
        <v>565</v>
      </c>
      <c r="J493" s="64"/>
      <c r="K493" s="64" t="str">
        <f>_xlfn.XLOOKUP(Libromaestro[[#This Row],[CODIGO DEL DOCUMENTO]],Arreglo_Binaps[Codigo Documento],Arreglo_Binaps[Estado],"No creado",0)</f>
        <v>Eliminado</v>
      </c>
      <c r="L493" s="66" t="str">
        <f>_xlfn.XLOOKUP(Libromaestro[[#This Row],[CODIGO DEL DOCUMENTO]],Arreglo_Binaps[Codigo Documento],Arreglo_Binaps[Fecha de creación],"",0,1)</f>
        <v>2021-10-25</v>
      </c>
      <c r="M493" s="66"/>
      <c r="N493" s="66"/>
      <c r="O493" s="74">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45590</v>
      </c>
      <c r="P493" s="74">
        <f>_xlfn.LET(_xlpm.resultado,_xlfn.XLOOKUP(Libromaestro[[#This Row],[CODIGO DEL DOCUMENTO]],Arreglo_Binaps[Codigo Documento],Arreglo_Binaps[Fecha_Aprobacion],"",0,1),IF(_xlpm.resultado=0,"",_xlpm.resultado))</f>
        <v>45925</v>
      </c>
      <c r="Q493" s="173"/>
      <c r="R493" s="75"/>
      <c r="S493" s="76"/>
      <c r="T493" s="80"/>
    </row>
    <row r="494" spans="1:20" s="18" customFormat="1" ht="33.75" customHeight="1" x14ac:dyDescent="0.3">
      <c r="A494" s="60" t="str">
        <f>IFERROR(VLOOKUP(Libromaestro[[#This Row],[MACROPROCESO]],Tabla1[],2,FALSE),"")</f>
        <v>Alumbrado Público</v>
      </c>
      <c r="B494" s="40" t="s">
        <v>7</v>
      </c>
      <c r="C494" s="41" t="s">
        <v>56</v>
      </c>
      <c r="D494" s="41" t="s">
        <v>22</v>
      </c>
      <c r="E49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49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494" s="64">
        <v>13</v>
      </c>
      <c r="H494" s="60" t="str">
        <f>_xlfn.CONCAT(Libromaestro[[#This Row],[SIGLAS]],"-",Libromaestro[[#This Row],[T. DOC]],"-",Libromaestro[[#This Row],[CONSECUTIVO]])</f>
        <v>A-GU-13</v>
      </c>
      <c r="I494" s="47" t="s">
        <v>574</v>
      </c>
      <c r="J494" s="64"/>
      <c r="K494" s="64" t="str">
        <f>_xlfn.XLOOKUP(Libromaestro[[#This Row],[CODIGO DEL DOCUMENTO]],Arreglo_Binaps[Codigo Documento],Arreglo_Binaps[Estado],"No creado",0)</f>
        <v>No creado</v>
      </c>
      <c r="L494" s="66" t="str">
        <f>_xlfn.XLOOKUP(Libromaestro[[#This Row],[CODIGO DEL DOCUMENTO]],Arreglo_Binaps[Codigo Documento],Arreglo_Binaps[Fecha de creación],"",0,1)</f>
        <v/>
      </c>
      <c r="M494" s="66"/>
      <c r="N494" s="66"/>
      <c r="O494"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94" s="74" t="str">
        <f>_xlfn.LET(_xlpm.resultado,_xlfn.XLOOKUP(Libromaestro[[#This Row],[CODIGO DEL DOCUMENTO]],Arreglo_Binaps[Codigo Documento],Arreglo_Binaps[Fecha_Aprobacion],"",0,1),IF(_xlpm.resultado=0,"",_xlpm.resultado))</f>
        <v/>
      </c>
      <c r="Q494" s="173"/>
      <c r="R494" s="75"/>
      <c r="S494" s="76"/>
      <c r="T494" s="80"/>
    </row>
    <row r="495" spans="1:20" ht="33.75" customHeight="1" x14ac:dyDescent="0.3">
      <c r="A495" s="60" t="str">
        <f>IFERROR(VLOOKUP(Libromaestro[[#This Row],[MACROPROCESO]],Tabla1[],2,FALSE),"")</f>
        <v>Alumbrado Público</v>
      </c>
      <c r="B495" s="40" t="s">
        <v>7</v>
      </c>
      <c r="C495" s="41" t="s">
        <v>52</v>
      </c>
      <c r="D495" s="41" t="s">
        <v>34</v>
      </c>
      <c r="E49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49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495" s="64">
        <v>5</v>
      </c>
      <c r="H495" s="60" t="str">
        <f>_xlfn.CONCAT(Libromaestro[[#This Row],[SIGLAS]],"-",Libromaestro[[#This Row],[T. DOC]],"-",Libromaestro[[#This Row],[CONSECUTIVO]])</f>
        <v>A-PR-5</v>
      </c>
      <c r="I495" s="47" t="s">
        <v>575</v>
      </c>
      <c r="J495" s="64"/>
      <c r="K495" s="64" t="str">
        <f>_xlfn.XLOOKUP(Libromaestro[[#This Row],[CODIGO DEL DOCUMENTO]],Arreglo_Binaps[Codigo Documento],Arreglo_Binaps[Estado],"No creado",0)</f>
        <v>No creado</v>
      </c>
      <c r="L495" s="66" t="str">
        <f>_xlfn.XLOOKUP(Libromaestro[[#This Row],[CODIGO DEL DOCUMENTO]],Arreglo_Binaps[Codigo Documento],Arreglo_Binaps[Fecha de creación],"",0,1)</f>
        <v/>
      </c>
      <c r="M495" s="66"/>
      <c r="N495" s="66"/>
      <c r="O495"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95" s="74" t="str">
        <f>_xlfn.LET(_xlpm.resultado,_xlfn.XLOOKUP(Libromaestro[[#This Row],[CODIGO DEL DOCUMENTO]],Arreglo_Binaps[Codigo Documento],Arreglo_Binaps[Fecha_Aprobacion],"",0,1),IF(_xlpm.resultado=0,"",_xlpm.resultado))</f>
        <v/>
      </c>
      <c r="Q495" s="173"/>
      <c r="R495" s="75"/>
      <c r="S495" s="76"/>
      <c r="T495" s="80"/>
    </row>
    <row r="496" spans="1:20" ht="33.75" customHeight="1" x14ac:dyDescent="0.3">
      <c r="A496" s="60" t="str">
        <f>IFERROR(VLOOKUP(Libromaestro[[#This Row],[MACROPROCESO]],Tabla1[],2,FALSE),"")</f>
        <v>Corportativa</v>
      </c>
      <c r="B496" s="70" t="s">
        <v>49</v>
      </c>
      <c r="C496" s="64" t="s">
        <v>2254</v>
      </c>
      <c r="D496" s="60" t="s">
        <v>27</v>
      </c>
      <c r="E496"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496"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496" s="60">
        <v>6</v>
      </c>
      <c r="H496" s="60" t="str">
        <f>_xlfn.CONCAT(Libromaestro[[#This Row],[SIGLAS]],"-",Libromaestro[[#This Row],[T. DOC]],"-",Libromaestro[[#This Row],[CONSECUTIVO]])</f>
        <v>T-IN-6</v>
      </c>
      <c r="I496" s="98" t="s">
        <v>576</v>
      </c>
      <c r="J496" s="60">
        <v>1</v>
      </c>
      <c r="K496" s="64" t="str">
        <f>_xlfn.XLOOKUP(Libromaestro[[#This Row],[CODIGO DEL DOCUMENTO]],Arreglo_Binaps[Codigo Documento],Arreglo_Binaps[Estado],"No creado",0)</f>
        <v>En aprobacion</v>
      </c>
      <c r="L496" s="66" t="str">
        <f>_xlfn.XLOOKUP(Libromaestro[[#This Row],[CODIGO DEL DOCUMENTO]],Arreglo_Binaps[Codigo Documento],Arreglo_Binaps[Fecha de creación],"",0,1)</f>
        <v>2024-12-12</v>
      </c>
      <c r="M496" s="66"/>
      <c r="N496"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46733</v>
      </c>
      <c r="O496"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46733</v>
      </c>
      <c r="P496" s="67" t="str">
        <f>_xlfn.LET(_xlpm.resultado,_xlfn.XLOOKUP(Libromaestro[[#This Row],[CODIGO DEL DOCUMENTO]],Arreglo_Binaps[Codigo Documento],Arreglo_Binaps[Fecha_Aprobacion],"",0,1),IF(_xlpm.resultado=0,"",_xlpm.resultado))</f>
        <v/>
      </c>
      <c r="Q496" s="172"/>
      <c r="R496" s="68"/>
      <c r="S496" s="69"/>
      <c r="T496" s="70"/>
    </row>
    <row r="497" spans="1:20" ht="33.75" customHeight="1" x14ac:dyDescent="0.3">
      <c r="A497" s="60" t="str">
        <f>IFERROR(VLOOKUP(Libromaestro[[#This Row],[MACROPROCESO]],Tabla1[],2,FALSE),"")</f>
        <v>Corportativa</v>
      </c>
      <c r="B497" s="38" t="s">
        <v>49</v>
      </c>
      <c r="C497" s="64" t="s">
        <v>2254</v>
      </c>
      <c r="D497" s="39" t="s">
        <v>27</v>
      </c>
      <c r="E497"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497"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497" s="60">
        <v>9</v>
      </c>
      <c r="H497" s="60" t="str">
        <f>_xlfn.CONCAT(Libromaestro[[#This Row],[SIGLAS]],"-",Libromaestro[[#This Row],[T. DOC]],"-",Libromaestro[[#This Row],[CONSECUTIVO]])</f>
        <v>T-IN-9</v>
      </c>
      <c r="I497" s="47" t="s">
        <v>577</v>
      </c>
      <c r="J497" s="60"/>
      <c r="K497" s="64" t="str">
        <f>_xlfn.XLOOKUP(Libromaestro[[#This Row],[CODIGO DEL DOCUMENTO]],Arreglo_Binaps[Codigo Documento],Arreglo_Binaps[Estado],"No creado",0)</f>
        <v>No creado</v>
      </c>
      <c r="L497" s="66" t="str">
        <f>_xlfn.XLOOKUP(Libromaestro[[#This Row],[CODIGO DEL DOCUMENTO]],Arreglo_Binaps[Codigo Documento],Arreglo_Binaps[Fecha de creación],"",0,1)</f>
        <v/>
      </c>
      <c r="M497" s="66"/>
      <c r="N497" s="66"/>
      <c r="O497" s="111"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97" s="67" t="str">
        <f>_xlfn.LET(_xlpm.resultado,_xlfn.XLOOKUP(Libromaestro[[#This Row],[CODIGO DEL DOCUMENTO]],Arreglo_Binaps[Codigo Documento],Arreglo_Binaps[Fecha_Aprobacion],"",0,1),IF(_xlpm.resultado=0,"",_xlpm.resultado))</f>
        <v/>
      </c>
      <c r="Q497" s="172"/>
      <c r="R497" s="68"/>
      <c r="S497" s="69"/>
      <c r="T497" s="87"/>
    </row>
    <row r="498" spans="1:20" ht="33.75" customHeight="1" x14ac:dyDescent="0.3">
      <c r="A498" s="60" t="str">
        <f>IFERROR(VLOOKUP(Libromaestro[[#This Row],[MACROPROCESO]],Tabla1[],2,FALSE),"")</f>
        <v>Corportativa</v>
      </c>
      <c r="B498" s="40" t="s">
        <v>49</v>
      </c>
      <c r="C498" s="64" t="s">
        <v>2254</v>
      </c>
      <c r="D498" s="41" t="s">
        <v>34</v>
      </c>
      <c r="E49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49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498" s="64">
        <v>1</v>
      </c>
      <c r="H498" s="60" t="str">
        <f>_xlfn.CONCAT(Libromaestro[[#This Row],[SIGLAS]],"-",Libromaestro[[#This Row],[T. DOC]],"-",Libromaestro[[#This Row],[CONSECUTIVO]])</f>
        <v>T-PR-1</v>
      </c>
      <c r="I498" s="47" t="s">
        <v>578</v>
      </c>
      <c r="J498" s="64"/>
      <c r="K498" s="64" t="str">
        <f>_xlfn.XLOOKUP(Libromaestro[[#This Row],[CODIGO DEL DOCUMENTO]],Arreglo_Binaps[Codigo Documento],Arreglo_Binaps[Estado],"No creado",0)</f>
        <v>No creado</v>
      </c>
      <c r="L498" s="66" t="str">
        <f>_xlfn.XLOOKUP(Libromaestro[[#This Row],[CODIGO DEL DOCUMENTO]],Arreglo_Binaps[Codigo Documento],Arreglo_Binaps[Fecha de creación],"",0,1)</f>
        <v/>
      </c>
      <c r="M498" s="66"/>
      <c r="N498" s="66"/>
      <c r="O498" s="111"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98" s="74" t="str">
        <f>_xlfn.LET(_xlpm.resultado,_xlfn.XLOOKUP(Libromaestro[[#This Row],[CODIGO DEL DOCUMENTO]],Arreglo_Binaps[Codigo Documento],Arreglo_Binaps[Fecha_Aprobacion],"",0,1),IF(_xlpm.resultado=0,"",_xlpm.resultado))</f>
        <v/>
      </c>
      <c r="Q498" s="173"/>
      <c r="R498" s="75"/>
      <c r="S498" s="76"/>
      <c r="T498" s="80"/>
    </row>
    <row r="499" spans="1:20" ht="33.75" customHeight="1" x14ac:dyDescent="0.3">
      <c r="A499" s="60" t="str">
        <f>IFERROR(VLOOKUP(Libromaestro[[#This Row],[MACROPROCESO]],Tabla1[],2,FALSE),"")</f>
        <v>Corportativa</v>
      </c>
      <c r="B499" s="73" t="s">
        <v>49</v>
      </c>
      <c r="C499" s="64" t="s">
        <v>2254</v>
      </c>
      <c r="D499" s="64" t="s">
        <v>34</v>
      </c>
      <c r="E49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49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499" s="76">
        <v>2</v>
      </c>
      <c r="H499" s="60" t="str">
        <f>_xlfn.CONCAT(Libromaestro[[#This Row],[SIGLAS]],"-",Libromaestro[[#This Row],[T. DOC]],"-",Libromaestro[[#This Row],[CONSECUTIVO]])</f>
        <v>T-PR-2</v>
      </c>
      <c r="I499" s="98" t="s">
        <v>579</v>
      </c>
      <c r="J499" s="64">
        <v>1</v>
      </c>
      <c r="K499" s="64" t="str">
        <f>_xlfn.XLOOKUP(Libromaestro[[#This Row],[CODIGO DEL DOCUMENTO]],Arreglo_Binaps[Codigo Documento],Arreglo_Binaps[Estado],"No creado",0)</f>
        <v>No creado</v>
      </c>
      <c r="L499" s="66" t="str">
        <f>_xlfn.XLOOKUP(Libromaestro[[#This Row],[CODIGO DEL DOCUMENTO]],Arreglo_Binaps[Codigo Documento],Arreglo_Binaps[Fecha de creación],"",0,1)</f>
        <v/>
      </c>
      <c r="M499" s="66"/>
      <c r="N499"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499"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499" s="74" t="str">
        <f>_xlfn.LET(_xlpm.resultado,_xlfn.XLOOKUP(Libromaestro[[#This Row],[CODIGO DEL DOCUMENTO]],Arreglo_Binaps[Codigo Documento],Arreglo_Binaps[Fecha_Aprobacion],"",0,1),IF(_xlpm.resultado=0,"",_xlpm.resultado))</f>
        <v/>
      </c>
      <c r="Q499" s="176"/>
      <c r="R499" s="76"/>
      <c r="S499" s="78"/>
      <c r="T499" s="79"/>
    </row>
    <row r="500" spans="1:20" ht="33.75" customHeight="1" x14ac:dyDescent="0.3">
      <c r="A500" s="60" t="str">
        <f>IFERROR(VLOOKUP(Libromaestro[[#This Row],[MACROPROCESO]],Tabla1[],2,FALSE),"")</f>
        <v>Corportativa</v>
      </c>
      <c r="B500" s="38" t="s">
        <v>49</v>
      </c>
      <c r="C500" s="64" t="s">
        <v>2254</v>
      </c>
      <c r="D500" s="39" t="s">
        <v>34</v>
      </c>
      <c r="E500"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500"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00" s="60">
        <v>3</v>
      </c>
      <c r="H500" s="60" t="str">
        <f>_xlfn.CONCAT(Libromaestro[[#This Row],[SIGLAS]],"-",Libromaestro[[#This Row],[T. DOC]],"-",Libromaestro[[#This Row],[CONSECUTIVO]])</f>
        <v>T-PR-3</v>
      </c>
      <c r="I500" s="47" t="s">
        <v>580</v>
      </c>
      <c r="J500" s="60"/>
      <c r="K500" s="64" t="str">
        <f>_xlfn.XLOOKUP(Libromaestro[[#This Row],[CODIGO DEL DOCUMENTO]],Arreglo_Binaps[Codigo Documento],Arreglo_Binaps[Estado],"No creado",0)</f>
        <v>No creado</v>
      </c>
      <c r="L500" s="66" t="str">
        <f>_xlfn.XLOOKUP(Libromaestro[[#This Row],[CODIGO DEL DOCUMENTO]],Arreglo_Binaps[Codigo Documento],Arreglo_Binaps[Fecha de creación],"",0,1)</f>
        <v/>
      </c>
      <c r="M500" s="66"/>
      <c r="N500" s="66"/>
      <c r="O500"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00" s="67" t="str">
        <f>_xlfn.LET(_xlpm.resultado,_xlfn.XLOOKUP(Libromaestro[[#This Row],[CODIGO DEL DOCUMENTO]],Arreglo_Binaps[Codigo Documento],Arreglo_Binaps[Fecha_Aprobacion],"",0,1),IF(_xlpm.resultado=0,"",_xlpm.resultado))</f>
        <v/>
      </c>
      <c r="Q500" s="172"/>
      <c r="R500" s="68"/>
      <c r="S500" s="69"/>
      <c r="T500" s="87"/>
    </row>
    <row r="501" spans="1:20" ht="33.75" customHeight="1" x14ac:dyDescent="0.3">
      <c r="A501" s="60" t="str">
        <f>IFERROR(VLOOKUP(Libromaestro[[#This Row],[MACROPROCESO]],Tabla1[],2,FALSE),"")</f>
        <v>Corportativa</v>
      </c>
      <c r="B501" s="70" t="s">
        <v>49</v>
      </c>
      <c r="C501" s="64" t="s">
        <v>2254</v>
      </c>
      <c r="D501" s="60" t="s">
        <v>34</v>
      </c>
      <c r="E501"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501"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01" s="60">
        <v>4</v>
      </c>
      <c r="H501" s="60" t="str">
        <f>_xlfn.CONCAT(Libromaestro[[#This Row],[SIGLAS]],"-",Libromaestro[[#This Row],[T. DOC]],"-",Libromaestro[[#This Row],[CONSECUTIVO]])</f>
        <v>T-PR-4</v>
      </c>
      <c r="I501" s="98" t="s">
        <v>581</v>
      </c>
      <c r="J501" s="60">
        <v>1</v>
      </c>
      <c r="K501" s="64" t="str">
        <f>_xlfn.XLOOKUP(Libromaestro[[#This Row],[CODIGO DEL DOCUMENTO]],Arreglo_Binaps[Codigo Documento],Arreglo_Binaps[Estado],"No creado",0)</f>
        <v>No creado</v>
      </c>
      <c r="L501" s="66" t="str">
        <f>_xlfn.XLOOKUP(Libromaestro[[#This Row],[CODIGO DEL DOCUMENTO]],Arreglo_Binaps[Codigo Documento],Arreglo_Binaps[Fecha de creación],"",0,1)</f>
        <v/>
      </c>
      <c r="M501" s="66"/>
      <c r="N501"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501" s="110"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01" s="67" t="str">
        <f>_xlfn.LET(_xlpm.resultado,_xlfn.XLOOKUP(Libromaestro[[#This Row],[CODIGO DEL DOCUMENTO]],Arreglo_Binaps[Codigo Documento],Arreglo_Binaps[Fecha_Aprobacion],"",0,1),IF(_xlpm.resultado=0,"",_xlpm.resultado))</f>
        <v/>
      </c>
      <c r="Q501" s="172"/>
      <c r="R501" s="68"/>
      <c r="S501" s="69"/>
      <c r="T501" s="70"/>
    </row>
    <row r="502" spans="1:20" ht="33.75" customHeight="1" x14ac:dyDescent="0.3">
      <c r="A502" s="60" t="str">
        <f>IFERROR(VLOOKUP(Libromaestro[[#This Row],[MACROPROCESO]],Tabla1[],2,FALSE),"")</f>
        <v>Corportativa</v>
      </c>
      <c r="B502" s="73" t="s">
        <v>49</v>
      </c>
      <c r="C502" s="64" t="s">
        <v>2254</v>
      </c>
      <c r="D502" s="64" t="s">
        <v>34</v>
      </c>
      <c r="E50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50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02" s="64">
        <v>5</v>
      </c>
      <c r="H502" s="60" t="str">
        <f>_xlfn.CONCAT(Libromaestro[[#This Row],[SIGLAS]],"-",Libromaestro[[#This Row],[T. DOC]],"-",Libromaestro[[#This Row],[CONSECUTIVO]])</f>
        <v>T-PR-5</v>
      </c>
      <c r="I502" s="98" t="s">
        <v>582</v>
      </c>
      <c r="J502" s="64">
        <v>1</v>
      </c>
      <c r="K502" s="64" t="str">
        <f>_xlfn.XLOOKUP(Libromaestro[[#This Row],[CODIGO DEL DOCUMENTO]],Arreglo_Binaps[Codigo Documento],Arreglo_Binaps[Estado],"No creado",0)</f>
        <v>No creado</v>
      </c>
      <c r="L502" s="66" t="str">
        <f>_xlfn.XLOOKUP(Libromaestro[[#This Row],[CODIGO DEL DOCUMENTO]],Arreglo_Binaps[Codigo Documento],Arreglo_Binaps[Fecha de creación],"",0,1)</f>
        <v/>
      </c>
      <c r="M502" s="66"/>
      <c r="N502"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502" s="110"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02" s="74" t="str">
        <f>_xlfn.LET(_xlpm.resultado,_xlfn.XLOOKUP(Libromaestro[[#This Row],[CODIGO DEL DOCUMENTO]],Arreglo_Binaps[Codigo Documento],Arreglo_Binaps[Fecha_Aprobacion],"",0,1),IF(_xlpm.resultado=0,"",_xlpm.resultado))</f>
        <v/>
      </c>
      <c r="Q502" s="173"/>
      <c r="R502" s="75"/>
      <c r="S502" s="76"/>
      <c r="T502" s="73"/>
    </row>
    <row r="503" spans="1:20" ht="33.75" customHeight="1" x14ac:dyDescent="0.3">
      <c r="A503" s="60" t="str">
        <f>IFERROR(VLOOKUP(Libromaestro[[#This Row],[MACROPROCESO]],Tabla1[],2,FALSE),"")</f>
        <v>Corportativa</v>
      </c>
      <c r="B503" s="70" t="s">
        <v>49</v>
      </c>
      <c r="C503" s="64" t="s">
        <v>2254</v>
      </c>
      <c r="D503" s="60" t="s">
        <v>34</v>
      </c>
      <c r="E503" s="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503" s="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03" s="60">
        <v>6</v>
      </c>
      <c r="H503" s="60" t="str">
        <f>_xlfn.CONCAT(Libromaestro[[#This Row],[SIGLAS]],"-",Libromaestro[[#This Row],[T. DOC]],"-",Libromaestro[[#This Row],[CONSECUTIVO]])</f>
        <v>T-PR-6</v>
      </c>
      <c r="I503" s="98" t="s">
        <v>583</v>
      </c>
      <c r="J503" s="60">
        <v>1</v>
      </c>
      <c r="K503" s="64" t="str">
        <f>_xlfn.XLOOKUP(Libromaestro[[#This Row],[CODIGO DEL DOCUMENTO]],Arreglo_Binaps[Codigo Documento],Arreglo_Binaps[Estado],"No creado",0)</f>
        <v>No creado</v>
      </c>
      <c r="L503" s="66" t="str">
        <f>_xlfn.XLOOKUP(Libromaestro[[#This Row],[CODIGO DEL DOCUMENTO]],Arreglo_Binaps[Codigo Documento],Arreglo_Binaps[Fecha de creación],"",0,1)</f>
        <v/>
      </c>
      <c r="M503" s="66"/>
      <c r="N503"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503"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03" s="67" t="str">
        <f>_xlfn.LET(_xlpm.resultado,_xlfn.XLOOKUP(Libromaestro[[#This Row],[CODIGO DEL DOCUMENTO]],Arreglo_Binaps[Codigo Documento],Arreglo_Binaps[Fecha_Aprobacion],"",0,1),IF(_xlpm.resultado=0,"",_xlpm.resultado))</f>
        <v/>
      </c>
      <c r="Q503" s="172"/>
      <c r="R503" s="68"/>
      <c r="S503" s="69"/>
      <c r="T503" s="70"/>
    </row>
    <row r="504" spans="1:20" ht="33.75" customHeight="1" x14ac:dyDescent="0.3">
      <c r="A504" s="60" t="str">
        <f>IFERROR(VLOOKUP(Libromaestro[[#This Row],[MACROPROCESO]],Tabla1[],2,FALSE),"")</f>
        <v>Corportativa</v>
      </c>
      <c r="B504" s="40" t="s">
        <v>49</v>
      </c>
      <c r="C504" s="64" t="s">
        <v>2254</v>
      </c>
      <c r="D504" s="41" t="s">
        <v>34</v>
      </c>
      <c r="E50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T</v>
      </c>
      <c r="F50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04" s="64">
        <v>7</v>
      </c>
      <c r="H504" s="60" t="str">
        <f>_xlfn.CONCAT(Libromaestro[[#This Row],[SIGLAS]],"-",Libromaestro[[#This Row],[T. DOC]],"-",Libromaestro[[#This Row],[CONSECUTIVO]])</f>
        <v>T-PR-7</v>
      </c>
      <c r="I504" s="47" t="s">
        <v>584</v>
      </c>
      <c r="J504" s="64"/>
      <c r="K504" s="64" t="str">
        <f>_xlfn.XLOOKUP(Libromaestro[[#This Row],[CODIGO DEL DOCUMENTO]],Arreglo_Binaps[Codigo Documento],Arreglo_Binaps[Estado],"No creado",0)</f>
        <v>No creado</v>
      </c>
      <c r="L504" s="66" t="str">
        <f>_xlfn.XLOOKUP(Libromaestro[[#This Row],[CODIGO DEL DOCUMENTO]],Arreglo_Binaps[Codigo Documento],Arreglo_Binaps[Fecha de creación],"",0,1)</f>
        <v/>
      </c>
      <c r="M504" s="66"/>
      <c r="N504" s="66"/>
      <c r="O504" s="111"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04" s="74" t="str">
        <f>_xlfn.LET(_xlpm.resultado,_xlfn.XLOOKUP(Libromaestro[[#This Row],[CODIGO DEL DOCUMENTO]],Arreglo_Binaps[Codigo Documento],Arreglo_Binaps[Fecha_Aprobacion],"",0,1),IF(_xlpm.resultado=0,"",_xlpm.resultado))</f>
        <v/>
      </c>
      <c r="Q504" s="173"/>
      <c r="R504" s="75"/>
      <c r="S504" s="76"/>
      <c r="T504" s="80"/>
    </row>
    <row r="505" spans="1:20" ht="33.75" customHeight="1" x14ac:dyDescent="0.3">
      <c r="A505" s="60" t="str">
        <f>IFERROR(VLOOKUP(Libromaestro[[#This Row],[MACROPROCESO]],Tabla1[],2,FALSE),"")</f>
        <v>Proyectos</v>
      </c>
      <c r="B505" s="73" t="s">
        <v>41</v>
      </c>
      <c r="C505" s="64" t="s">
        <v>33</v>
      </c>
      <c r="D505" s="64" t="s">
        <v>16</v>
      </c>
      <c r="E50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50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05" s="64">
        <v>5</v>
      </c>
      <c r="H505" s="60" t="str">
        <f>_xlfn.CONCAT(Libromaestro[[#This Row],[SIGLAS]],"-",Libromaestro[[#This Row],[T. DOC]],"-",Libromaestro[[#This Row],[CONSECUTIVO]])</f>
        <v>P-FT-5</v>
      </c>
      <c r="I505" s="73" t="s">
        <v>585</v>
      </c>
      <c r="J505" s="64">
        <v>1</v>
      </c>
      <c r="K505" s="64" t="str">
        <f>_xlfn.XLOOKUP(Libromaestro[[#This Row],[CODIGO DEL DOCUMENTO]],Arreglo_Binaps[Codigo Documento],Arreglo_Binaps[Estado],"No creado",0)</f>
        <v>No creado</v>
      </c>
      <c r="L505" s="66" t="str">
        <f>_xlfn.XLOOKUP(Libromaestro[[#This Row],[CODIGO DEL DOCUMENTO]],Arreglo_Binaps[Codigo Documento],Arreglo_Binaps[Fecha de creación],"",0,1)</f>
        <v/>
      </c>
      <c r="M505" s="66"/>
      <c r="N505" s="66"/>
      <c r="O505"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05" s="74" t="str">
        <f>_xlfn.LET(_xlpm.resultado,_xlfn.XLOOKUP(Libromaestro[[#This Row],[CODIGO DEL DOCUMENTO]],Arreglo_Binaps[Codigo Documento],Arreglo_Binaps[Fecha_Aprobacion],"",0,1),IF(_xlpm.resultado=0,"",_xlpm.resultado))</f>
        <v/>
      </c>
      <c r="Q505" s="173"/>
      <c r="R505" s="75"/>
      <c r="S505" s="76"/>
      <c r="T505" s="80"/>
    </row>
    <row r="506" spans="1:20" ht="33.75" customHeight="1" x14ac:dyDescent="0.3">
      <c r="A506" s="60" t="str">
        <f>IFERROR(VLOOKUP(Libromaestro[[#This Row],[MACROPROCESO]],Tabla1[],2,FALSE),"")</f>
        <v>Proyectos</v>
      </c>
      <c r="B506" s="73" t="s">
        <v>41</v>
      </c>
      <c r="C506" s="64" t="s">
        <v>33</v>
      </c>
      <c r="D506" s="64" t="s">
        <v>16</v>
      </c>
      <c r="E50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50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06" s="64">
        <v>6</v>
      </c>
      <c r="H506" s="60" t="str">
        <f>_xlfn.CONCAT(Libromaestro[[#This Row],[SIGLAS]],"-",Libromaestro[[#This Row],[T. DOC]],"-",Libromaestro[[#This Row],[CONSECUTIVO]])</f>
        <v>P-FT-6</v>
      </c>
      <c r="I506" s="73" t="s">
        <v>586</v>
      </c>
      <c r="J506" s="64">
        <v>1</v>
      </c>
      <c r="K506" s="64" t="str">
        <f>_xlfn.XLOOKUP(Libromaestro[[#This Row],[CODIGO DEL DOCUMENTO]],Arreglo_Binaps[Codigo Documento],Arreglo_Binaps[Estado],"No creado",0)</f>
        <v>No creado</v>
      </c>
      <c r="L506" s="66" t="str">
        <f>_xlfn.XLOOKUP(Libromaestro[[#This Row],[CODIGO DEL DOCUMENTO]],Arreglo_Binaps[Codigo Documento],Arreglo_Binaps[Fecha de creación],"",0,1)</f>
        <v/>
      </c>
      <c r="M506" s="66"/>
      <c r="N506" s="66"/>
      <c r="O506"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06" s="74" t="str">
        <f>_xlfn.LET(_xlpm.resultado,_xlfn.XLOOKUP(Libromaestro[[#This Row],[CODIGO DEL DOCUMENTO]],Arreglo_Binaps[Codigo Documento],Arreglo_Binaps[Fecha_Aprobacion],"",0,1),IF(_xlpm.resultado=0,"",_xlpm.resultado))</f>
        <v/>
      </c>
      <c r="Q506" s="173"/>
      <c r="R506" s="75"/>
      <c r="S506" s="76"/>
      <c r="T506" s="80"/>
    </row>
    <row r="507" spans="1:20" ht="33.75" customHeight="1" x14ac:dyDescent="0.3">
      <c r="A507" s="60" t="str">
        <f>IFERROR(VLOOKUP(Libromaestro[[#This Row],[MACROPROCESO]],Tabla1[],2,FALSE),"")</f>
        <v>Proyectos</v>
      </c>
      <c r="B507" s="73" t="s">
        <v>41</v>
      </c>
      <c r="C507" s="64" t="s">
        <v>33</v>
      </c>
      <c r="D507" s="64" t="s">
        <v>16</v>
      </c>
      <c r="E50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50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07" s="64">
        <v>8</v>
      </c>
      <c r="H507" s="60" t="str">
        <f>_xlfn.CONCAT(Libromaestro[[#This Row],[SIGLAS]],"-",Libromaestro[[#This Row],[T. DOC]],"-",Libromaestro[[#This Row],[CONSECUTIVO]])</f>
        <v>P-FT-8</v>
      </c>
      <c r="I507" s="73" t="s">
        <v>587</v>
      </c>
      <c r="J507" s="64">
        <v>1</v>
      </c>
      <c r="K507" s="64" t="str">
        <f>_xlfn.XLOOKUP(Libromaestro[[#This Row],[CODIGO DEL DOCUMENTO]],Arreglo_Binaps[Codigo Documento],Arreglo_Binaps[Estado],"No creado",0)</f>
        <v>No creado</v>
      </c>
      <c r="L507" s="66" t="str">
        <f>_xlfn.XLOOKUP(Libromaestro[[#This Row],[CODIGO DEL DOCUMENTO]],Arreglo_Binaps[Codigo Documento],Arreglo_Binaps[Fecha de creación],"",0,1)</f>
        <v/>
      </c>
      <c r="M507" s="66"/>
      <c r="N507" s="66"/>
      <c r="O507"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07" s="74" t="str">
        <f>_xlfn.LET(_xlpm.resultado,_xlfn.XLOOKUP(Libromaestro[[#This Row],[CODIGO DEL DOCUMENTO]],Arreglo_Binaps[Codigo Documento],Arreglo_Binaps[Fecha_Aprobacion],"",0,1),IF(_xlpm.resultado=0,"",_xlpm.resultado))</f>
        <v/>
      </c>
      <c r="Q507" s="173"/>
      <c r="R507" s="75"/>
      <c r="S507" s="76"/>
      <c r="T507" s="80"/>
    </row>
    <row r="508" spans="1:20" ht="33.75" customHeight="1" x14ac:dyDescent="0.3">
      <c r="A508" s="60" t="str">
        <f>IFERROR(VLOOKUP(Libromaestro[[#This Row],[MACROPROCESO]],Tabla1[],2,FALSE),"")</f>
        <v>Proyectos</v>
      </c>
      <c r="B508" s="73" t="s">
        <v>41</v>
      </c>
      <c r="C508" s="64" t="s">
        <v>33</v>
      </c>
      <c r="D508" s="64" t="s">
        <v>16</v>
      </c>
      <c r="E50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50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08" s="64">
        <v>9</v>
      </c>
      <c r="H508" s="60" t="str">
        <f>_xlfn.CONCAT(Libromaestro[[#This Row],[SIGLAS]],"-",Libromaestro[[#This Row],[T. DOC]],"-",Libromaestro[[#This Row],[CONSECUTIVO]])</f>
        <v>P-FT-9</v>
      </c>
      <c r="I508" s="73" t="s">
        <v>588</v>
      </c>
      <c r="J508" s="64">
        <v>1</v>
      </c>
      <c r="K508" s="64" t="str">
        <f>_xlfn.XLOOKUP(Libromaestro[[#This Row],[CODIGO DEL DOCUMENTO]],Arreglo_Binaps[Codigo Documento],Arreglo_Binaps[Estado],"No creado",0)</f>
        <v>No creado</v>
      </c>
      <c r="L508" s="66" t="str">
        <f>_xlfn.XLOOKUP(Libromaestro[[#This Row],[CODIGO DEL DOCUMENTO]],Arreglo_Binaps[Codigo Documento],Arreglo_Binaps[Fecha de creación],"",0,1)</f>
        <v/>
      </c>
      <c r="M508" s="66"/>
      <c r="N508" s="66"/>
      <c r="O508"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08" s="74" t="str">
        <f>_xlfn.LET(_xlpm.resultado,_xlfn.XLOOKUP(Libromaestro[[#This Row],[CODIGO DEL DOCUMENTO]],Arreglo_Binaps[Codigo Documento],Arreglo_Binaps[Fecha_Aprobacion],"",0,1),IF(_xlpm.resultado=0,"",_xlpm.resultado))</f>
        <v/>
      </c>
      <c r="Q508" s="173"/>
      <c r="R508" s="75"/>
      <c r="S508" s="76"/>
      <c r="T508" s="80"/>
    </row>
    <row r="509" spans="1:20" ht="33.75" customHeight="1" x14ac:dyDescent="0.3">
      <c r="A509" s="60" t="str">
        <f>IFERROR(VLOOKUP(Libromaestro[[#This Row],[MACROPROCESO]],Tabla1[],2,FALSE),"")</f>
        <v>Proyectos</v>
      </c>
      <c r="B509" s="73" t="s">
        <v>41</v>
      </c>
      <c r="C509" s="64" t="s">
        <v>33</v>
      </c>
      <c r="D509" s="64" t="s">
        <v>16</v>
      </c>
      <c r="E50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50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09" s="64">
        <v>10</v>
      </c>
      <c r="H509" s="60" t="str">
        <f>_xlfn.CONCAT(Libromaestro[[#This Row],[SIGLAS]],"-",Libromaestro[[#This Row],[T. DOC]],"-",Libromaestro[[#This Row],[CONSECUTIVO]])</f>
        <v>P-FT-10</v>
      </c>
      <c r="I509" s="73" t="s">
        <v>589</v>
      </c>
      <c r="J509" s="64">
        <v>1</v>
      </c>
      <c r="K509" s="64" t="str">
        <f>_xlfn.XLOOKUP(Libromaestro[[#This Row],[CODIGO DEL DOCUMENTO]],Arreglo_Binaps[Codigo Documento],Arreglo_Binaps[Estado],"No creado",0)</f>
        <v>No creado</v>
      </c>
      <c r="L509" s="66" t="str">
        <f>_xlfn.XLOOKUP(Libromaestro[[#This Row],[CODIGO DEL DOCUMENTO]],Arreglo_Binaps[Codigo Documento],Arreglo_Binaps[Fecha de creación],"",0,1)</f>
        <v/>
      </c>
      <c r="M509" s="66"/>
      <c r="N509" s="66"/>
      <c r="O509"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09" s="74" t="str">
        <f>_xlfn.LET(_xlpm.resultado,_xlfn.XLOOKUP(Libromaestro[[#This Row],[CODIGO DEL DOCUMENTO]],Arreglo_Binaps[Codigo Documento],Arreglo_Binaps[Fecha_Aprobacion],"",0,1),IF(_xlpm.resultado=0,"",_xlpm.resultado))</f>
        <v/>
      </c>
      <c r="Q509" s="173"/>
      <c r="R509" s="75"/>
      <c r="S509" s="76"/>
      <c r="T509" s="80"/>
    </row>
    <row r="510" spans="1:20" ht="33.75" customHeight="1" x14ac:dyDescent="0.3">
      <c r="A510" s="60" t="str">
        <f>IFERROR(VLOOKUP(Libromaestro[[#This Row],[MACROPROCESO]],Tabla1[],2,FALSE),"")</f>
        <v>Proyectos</v>
      </c>
      <c r="B510" s="73" t="s">
        <v>41</v>
      </c>
      <c r="C510" s="64" t="s">
        <v>33</v>
      </c>
      <c r="D510" s="64" t="s">
        <v>16</v>
      </c>
      <c r="E51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51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10" s="64">
        <v>13</v>
      </c>
      <c r="H510" s="60" t="str">
        <f>_xlfn.CONCAT(Libromaestro[[#This Row],[SIGLAS]],"-",Libromaestro[[#This Row],[T. DOC]],"-",Libromaestro[[#This Row],[CONSECUTIVO]])</f>
        <v>P-FT-13</v>
      </c>
      <c r="I510" s="73" t="s">
        <v>590</v>
      </c>
      <c r="J510" s="64">
        <v>1</v>
      </c>
      <c r="K510" s="64" t="str">
        <f>_xlfn.XLOOKUP(Libromaestro[[#This Row],[CODIGO DEL DOCUMENTO]],Arreglo_Binaps[Codigo Documento],Arreglo_Binaps[Estado],"No creado",0)</f>
        <v>No creado</v>
      </c>
      <c r="L510" s="66" t="str">
        <f>_xlfn.XLOOKUP(Libromaestro[[#This Row],[CODIGO DEL DOCUMENTO]],Arreglo_Binaps[Codigo Documento],Arreglo_Binaps[Fecha de creación],"",0,1)</f>
        <v/>
      </c>
      <c r="M510" s="66"/>
      <c r="N510" s="66"/>
      <c r="O510"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10" s="74" t="str">
        <f>_xlfn.LET(_xlpm.resultado,_xlfn.XLOOKUP(Libromaestro[[#This Row],[CODIGO DEL DOCUMENTO]],Arreglo_Binaps[Codigo Documento],Arreglo_Binaps[Fecha_Aprobacion],"",0,1),IF(_xlpm.resultado=0,"",_xlpm.resultado))</f>
        <v/>
      </c>
      <c r="Q510" s="173"/>
      <c r="R510" s="75"/>
      <c r="S510" s="76"/>
      <c r="T510" s="80"/>
    </row>
    <row r="511" spans="1:20" ht="33.75" customHeight="1" x14ac:dyDescent="0.3">
      <c r="A511" s="60" t="str">
        <f>IFERROR(VLOOKUP(Libromaestro[[#This Row],[MACROPROCESO]],Tabla1[],2,FALSE),"")</f>
        <v>Proyectos</v>
      </c>
      <c r="B511" s="73" t="s">
        <v>41</v>
      </c>
      <c r="C511" s="64" t="s">
        <v>58</v>
      </c>
      <c r="D511" s="64" t="s">
        <v>16</v>
      </c>
      <c r="E51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51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11" s="64">
        <v>14</v>
      </c>
      <c r="H511" s="60" t="str">
        <f>_xlfn.CONCAT(Libromaestro[[#This Row],[SIGLAS]],"-",Libromaestro[[#This Row],[T. DOC]],"-",Libromaestro[[#This Row],[CONSECUTIVO]])</f>
        <v>P-FT-14</v>
      </c>
      <c r="I511" s="73" t="s">
        <v>591</v>
      </c>
      <c r="J511" s="64">
        <v>1</v>
      </c>
      <c r="K511" s="64" t="str">
        <f>_xlfn.XLOOKUP(Libromaestro[[#This Row],[CODIGO DEL DOCUMENTO]],Arreglo_Binaps[Codigo Documento],Arreglo_Binaps[Estado],"No creado",0)</f>
        <v>No creado</v>
      </c>
      <c r="L511" s="66" t="str">
        <f>_xlfn.XLOOKUP(Libromaestro[[#This Row],[CODIGO DEL DOCUMENTO]],Arreglo_Binaps[Codigo Documento],Arreglo_Binaps[Fecha de creación],"",0,1)</f>
        <v/>
      </c>
      <c r="M511" s="66"/>
      <c r="N511" s="66"/>
      <c r="O511"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11" s="74" t="str">
        <f>_xlfn.LET(_xlpm.resultado,_xlfn.XLOOKUP(Libromaestro[[#This Row],[CODIGO DEL DOCUMENTO]],Arreglo_Binaps[Codigo Documento],Arreglo_Binaps[Fecha_Aprobacion],"",0,1),IF(_xlpm.resultado=0,"",_xlpm.resultado))</f>
        <v/>
      </c>
      <c r="Q511" s="173"/>
      <c r="R511" s="75"/>
      <c r="S511" s="76"/>
      <c r="T511" s="80"/>
    </row>
    <row r="512" spans="1:20" ht="33.75" customHeight="1" x14ac:dyDescent="0.3">
      <c r="A512" s="60" t="str">
        <f>IFERROR(VLOOKUP(Libromaestro[[#This Row],[MACROPROCESO]],Tabla1[],2,FALSE),"")</f>
        <v>Proyectos</v>
      </c>
      <c r="B512" s="73" t="s">
        <v>41</v>
      </c>
      <c r="C512" s="64" t="s">
        <v>58</v>
      </c>
      <c r="D512" s="64" t="s">
        <v>16</v>
      </c>
      <c r="E51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51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12" s="64">
        <v>15</v>
      </c>
      <c r="H512" s="60" t="str">
        <f>_xlfn.CONCAT(Libromaestro[[#This Row],[SIGLAS]],"-",Libromaestro[[#This Row],[T. DOC]],"-",Libromaestro[[#This Row],[CONSECUTIVO]])</f>
        <v>P-FT-15</v>
      </c>
      <c r="I512" s="73" t="s">
        <v>592</v>
      </c>
      <c r="J512" s="64">
        <v>1</v>
      </c>
      <c r="K512" s="64" t="str">
        <f>_xlfn.XLOOKUP(Libromaestro[[#This Row],[CODIGO DEL DOCUMENTO]],Arreglo_Binaps[Codigo Documento],Arreglo_Binaps[Estado],"No creado",0)</f>
        <v>No creado</v>
      </c>
      <c r="L512" s="66" t="str">
        <f>_xlfn.XLOOKUP(Libromaestro[[#This Row],[CODIGO DEL DOCUMENTO]],Arreglo_Binaps[Codigo Documento],Arreglo_Binaps[Fecha de creación],"",0,1)</f>
        <v/>
      </c>
      <c r="M512" s="66"/>
      <c r="N512" s="66"/>
      <c r="O512"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12" s="74" t="str">
        <f>_xlfn.LET(_xlpm.resultado,_xlfn.XLOOKUP(Libromaestro[[#This Row],[CODIGO DEL DOCUMENTO]],Arreglo_Binaps[Codigo Documento],Arreglo_Binaps[Fecha_Aprobacion],"",0,1),IF(_xlpm.resultado=0,"",_xlpm.resultado))</f>
        <v/>
      </c>
      <c r="Q512" s="173"/>
      <c r="R512" s="75"/>
      <c r="S512" s="76"/>
      <c r="T512" s="80"/>
    </row>
    <row r="513" spans="1:20" ht="33.75" customHeight="1" x14ac:dyDescent="0.3">
      <c r="A513" s="60" t="str">
        <f>IFERROR(VLOOKUP(Libromaestro[[#This Row],[MACROPROCESO]],Tabla1[],2,FALSE),"")</f>
        <v>Proyectos</v>
      </c>
      <c r="B513" s="73" t="s">
        <v>41</v>
      </c>
      <c r="C513" s="64" t="s">
        <v>58</v>
      </c>
      <c r="D513" s="64" t="s">
        <v>16</v>
      </c>
      <c r="E51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51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13" s="64">
        <v>16</v>
      </c>
      <c r="H513" s="60" t="str">
        <f>_xlfn.CONCAT(Libromaestro[[#This Row],[SIGLAS]],"-",Libromaestro[[#This Row],[T. DOC]],"-",Libromaestro[[#This Row],[CONSECUTIVO]])</f>
        <v>P-FT-16</v>
      </c>
      <c r="I513" s="73" t="s">
        <v>593</v>
      </c>
      <c r="J513" s="64">
        <v>1</v>
      </c>
      <c r="K513" s="64" t="str">
        <f>_xlfn.XLOOKUP(Libromaestro[[#This Row],[CODIGO DEL DOCUMENTO]],Arreglo_Binaps[Codigo Documento],Arreglo_Binaps[Estado],"No creado",0)</f>
        <v>No creado</v>
      </c>
      <c r="L513" s="66" t="str">
        <f>_xlfn.XLOOKUP(Libromaestro[[#This Row],[CODIGO DEL DOCUMENTO]],Arreglo_Binaps[Codigo Documento],Arreglo_Binaps[Fecha de creación],"",0,1)</f>
        <v/>
      </c>
      <c r="M513" s="66"/>
      <c r="N513" s="66"/>
      <c r="O513"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13" s="74" t="str">
        <f>_xlfn.LET(_xlpm.resultado,_xlfn.XLOOKUP(Libromaestro[[#This Row],[CODIGO DEL DOCUMENTO]],Arreglo_Binaps[Codigo Documento],Arreglo_Binaps[Fecha_Aprobacion],"",0,1),IF(_xlpm.resultado=0,"",_xlpm.resultado))</f>
        <v/>
      </c>
      <c r="Q513" s="173"/>
      <c r="R513" s="75"/>
      <c r="S513" s="76"/>
      <c r="T513" s="80"/>
    </row>
    <row r="514" spans="1:20" ht="33.75" customHeight="1" x14ac:dyDescent="0.3">
      <c r="A514" s="60" t="str">
        <f>IFERROR(VLOOKUP(Libromaestro[[#This Row],[MACROPROCESO]],Tabla1[],2,FALSE),"")</f>
        <v>Proyectos</v>
      </c>
      <c r="B514" s="73" t="s">
        <v>41</v>
      </c>
      <c r="C514" s="64" t="s">
        <v>47</v>
      </c>
      <c r="D514" s="64" t="s">
        <v>16</v>
      </c>
      <c r="E51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51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14" s="64">
        <v>17</v>
      </c>
      <c r="H514" s="60" t="str">
        <f>_xlfn.CONCAT(Libromaestro[[#This Row],[SIGLAS]],"-",Libromaestro[[#This Row],[T. DOC]],"-",Libromaestro[[#This Row],[CONSECUTIVO]])</f>
        <v>P-FT-17</v>
      </c>
      <c r="I514" s="73" t="s">
        <v>594</v>
      </c>
      <c r="J514" s="64">
        <v>1</v>
      </c>
      <c r="K514" s="64" t="str">
        <f>_xlfn.XLOOKUP(Libromaestro[[#This Row],[CODIGO DEL DOCUMENTO]],Arreglo_Binaps[Codigo Documento],Arreglo_Binaps[Estado],"No creado",0)</f>
        <v>No creado</v>
      </c>
      <c r="L514" s="66" t="str">
        <f>_xlfn.XLOOKUP(Libromaestro[[#This Row],[CODIGO DEL DOCUMENTO]],Arreglo_Binaps[Codigo Documento],Arreglo_Binaps[Fecha de creación],"",0,1)</f>
        <v/>
      </c>
      <c r="M514" s="66"/>
      <c r="N514" s="66"/>
      <c r="O514"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14" s="74" t="str">
        <f>_xlfn.LET(_xlpm.resultado,_xlfn.XLOOKUP(Libromaestro[[#This Row],[CODIGO DEL DOCUMENTO]],Arreglo_Binaps[Codigo Documento],Arreglo_Binaps[Fecha_Aprobacion],"",0,1),IF(_xlpm.resultado=0,"",_xlpm.resultado))</f>
        <v/>
      </c>
      <c r="Q514" s="173"/>
      <c r="R514" s="75"/>
      <c r="S514" s="76"/>
      <c r="T514" s="80"/>
    </row>
    <row r="515" spans="1:20" ht="33.75" customHeight="1" x14ac:dyDescent="0.3">
      <c r="A515" s="60" t="str">
        <f>IFERROR(VLOOKUP(Libromaestro[[#This Row],[MACROPROCESO]],Tabla1[],2,FALSE),"")</f>
        <v>Proyectos</v>
      </c>
      <c r="B515" s="73" t="s">
        <v>41</v>
      </c>
      <c r="C515" s="64" t="s">
        <v>47</v>
      </c>
      <c r="D515" s="64" t="s">
        <v>16</v>
      </c>
      <c r="E51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51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15" s="64">
        <v>18</v>
      </c>
      <c r="H515" s="60" t="str">
        <f>_xlfn.CONCAT(Libromaestro[[#This Row],[SIGLAS]],"-",Libromaestro[[#This Row],[T. DOC]],"-",Libromaestro[[#This Row],[CONSECUTIVO]])</f>
        <v>P-FT-18</v>
      </c>
      <c r="I515" s="73" t="s">
        <v>595</v>
      </c>
      <c r="J515" s="257">
        <v>1</v>
      </c>
      <c r="K515" s="64" t="str">
        <f>_xlfn.XLOOKUP(Libromaestro[[#This Row],[CODIGO DEL DOCUMENTO]],Arreglo_Binaps[Codigo Documento],Arreglo_Binaps[Estado],"No creado",0)</f>
        <v>No creado</v>
      </c>
      <c r="L515" s="66" t="str">
        <f>_xlfn.XLOOKUP(Libromaestro[[#This Row],[CODIGO DEL DOCUMENTO]],Arreglo_Binaps[Codigo Documento],Arreglo_Binaps[Fecha de creación],"",0,1)</f>
        <v/>
      </c>
      <c r="M515" s="66"/>
      <c r="N515" s="66"/>
      <c r="O515"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15" s="74" t="str">
        <f>_xlfn.LET(_xlpm.resultado,_xlfn.XLOOKUP(Libromaestro[[#This Row],[CODIGO DEL DOCUMENTO]],Arreglo_Binaps[Codigo Documento],Arreglo_Binaps[Fecha_Aprobacion],"",0,1),IF(_xlpm.resultado=0,"",_xlpm.resultado))</f>
        <v/>
      </c>
      <c r="Q515" s="173"/>
      <c r="R515" s="75"/>
      <c r="S515" s="76"/>
      <c r="T515" s="80"/>
    </row>
    <row r="516" spans="1:20" ht="33.75" customHeight="1" x14ac:dyDescent="0.3">
      <c r="A516" s="60" t="str">
        <f>IFERROR(VLOOKUP(Libromaestro[[#This Row],[MACROPROCESO]],Tabla1[],2,FALSE),"")</f>
        <v>Proyectos</v>
      </c>
      <c r="B516" s="73" t="s">
        <v>41</v>
      </c>
      <c r="C516" s="64" t="s">
        <v>47</v>
      </c>
      <c r="D516" s="64" t="s">
        <v>16</v>
      </c>
      <c r="E51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51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16" s="64">
        <v>19</v>
      </c>
      <c r="H516" s="60" t="str">
        <f>_xlfn.CONCAT(Libromaestro[[#This Row],[SIGLAS]],"-",Libromaestro[[#This Row],[T. DOC]],"-",Libromaestro[[#This Row],[CONSECUTIVO]])</f>
        <v>P-FT-19</v>
      </c>
      <c r="I516" s="73" t="s">
        <v>596</v>
      </c>
      <c r="J516" s="64">
        <v>1</v>
      </c>
      <c r="K516" s="64" t="str">
        <f>_xlfn.XLOOKUP(Libromaestro[[#This Row],[CODIGO DEL DOCUMENTO]],Arreglo_Binaps[Codigo Documento],Arreglo_Binaps[Estado],"No creado",0)</f>
        <v>No creado</v>
      </c>
      <c r="L516" s="66" t="str">
        <f>_xlfn.XLOOKUP(Libromaestro[[#This Row],[CODIGO DEL DOCUMENTO]],Arreglo_Binaps[Codigo Documento],Arreglo_Binaps[Fecha de creación],"",0,1)</f>
        <v/>
      </c>
      <c r="M516" s="66"/>
      <c r="N516" s="66"/>
      <c r="O516"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16" s="74" t="str">
        <f>_xlfn.LET(_xlpm.resultado,_xlfn.XLOOKUP(Libromaestro[[#This Row],[CODIGO DEL DOCUMENTO]],Arreglo_Binaps[Codigo Documento],Arreglo_Binaps[Fecha_Aprobacion],"",0,1),IF(_xlpm.resultado=0,"",_xlpm.resultado))</f>
        <v/>
      </c>
      <c r="Q516" s="173"/>
      <c r="R516" s="75"/>
      <c r="S516" s="76"/>
      <c r="T516" s="80"/>
    </row>
    <row r="517" spans="1:20" ht="33.75" customHeight="1" x14ac:dyDescent="0.3">
      <c r="A517" s="60" t="str">
        <f>IFERROR(VLOOKUP(Libromaestro[[#This Row],[MACROPROCESO]],Tabla1[],2,FALSE),"")</f>
        <v>Proyectos</v>
      </c>
      <c r="B517" s="73" t="s">
        <v>41</v>
      </c>
      <c r="C517" s="64" t="s">
        <v>47</v>
      </c>
      <c r="D517" s="64" t="s">
        <v>16</v>
      </c>
      <c r="E51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51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17" s="64">
        <v>20</v>
      </c>
      <c r="H517" s="60" t="str">
        <f>_xlfn.CONCAT(Libromaestro[[#This Row],[SIGLAS]],"-",Libromaestro[[#This Row],[T. DOC]],"-",Libromaestro[[#This Row],[CONSECUTIVO]])</f>
        <v>P-FT-20</v>
      </c>
      <c r="I517" s="73" t="s">
        <v>597</v>
      </c>
      <c r="J517" s="257">
        <v>1</v>
      </c>
      <c r="K517" s="64" t="str">
        <f>_xlfn.XLOOKUP(Libromaestro[[#This Row],[CODIGO DEL DOCUMENTO]],Arreglo_Binaps[Codigo Documento],Arreglo_Binaps[Estado],"No creado",0)</f>
        <v>No creado</v>
      </c>
      <c r="L517" s="66" t="str">
        <f>_xlfn.XLOOKUP(Libromaestro[[#This Row],[CODIGO DEL DOCUMENTO]],Arreglo_Binaps[Codigo Documento],Arreglo_Binaps[Fecha de creación],"",0,1)</f>
        <v/>
      </c>
      <c r="M517" s="66"/>
      <c r="N517" s="66"/>
      <c r="O517"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17" s="74" t="str">
        <f>_xlfn.LET(_xlpm.resultado,_xlfn.XLOOKUP(Libromaestro[[#This Row],[CODIGO DEL DOCUMENTO]],Arreglo_Binaps[Codigo Documento],Arreglo_Binaps[Fecha_Aprobacion],"",0,1),IF(_xlpm.resultado=0,"",_xlpm.resultado))</f>
        <v/>
      </c>
      <c r="Q517" s="173"/>
      <c r="R517" s="75"/>
      <c r="S517" s="76"/>
      <c r="T517" s="80"/>
    </row>
    <row r="518" spans="1:20" ht="33.75" customHeight="1" x14ac:dyDescent="0.3">
      <c r="A518" s="60" t="str">
        <f>IFERROR(VLOOKUP(Libromaestro[[#This Row],[MACROPROCESO]],Tabla1[],2,FALSE),"")</f>
        <v>Proyectos</v>
      </c>
      <c r="B518" s="73" t="s">
        <v>41</v>
      </c>
      <c r="C518" s="64" t="s">
        <v>33</v>
      </c>
      <c r="D518" s="64" t="s">
        <v>16</v>
      </c>
      <c r="E51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51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18" s="64">
        <v>21</v>
      </c>
      <c r="H518" s="60" t="str">
        <f>_xlfn.CONCAT(Libromaestro[[#This Row],[SIGLAS]],"-",Libromaestro[[#This Row],[T. DOC]],"-",Libromaestro[[#This Row],[CONSECUTIVO]])</f>
        <v>P-FT-21</v>
      </c>
      <c r="I518" s="73" t="s">
        <v>598</v>
      </c>
      <c r="J518" s="64">
        <v>1</v>
      </c>
      <c r="K518" s="64" t="str">
        <f>_xlfn.XLOOKUP(Libromaestro[[#This Row],[CODIGO DEL DOCUMENTO]],Arreglo_Binaps[Codigo Documento],Arreglo_Binaps[Estado],"No creado",0)</f>
        <v>No creado</v>
      </c>
      <c r="L518" s="66" t="str">
        <f>_xlfn.XLOOKUP(Libromaestro[[#This Row],[CODIGO DEL DOCUMENTO]],Arreglo_Binaps[Codigo Documento],Arreglo_Binaps[Fecha de creación],"",0,1)</f>
        <v/>
      </c>
      <c r="M518" s="66"/>
      <c r="N518" s="66"/>
      <c r="O518"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18" s="74" t="str">
        <f>_xlfn.LET(_xlpm.resultado,_xlfn.XLOOKUP(Libromaestro[[#This Row],[CODIGO DEL DOCUMENTO]],Arreglo_Binaps[Codigo Documento],Arreglo_Binaps[Fecha_Aprobacion],"",0,1),IF(_xlpm.resultado=0,"",_xlpm.resultado))</f>
        <v/>
      </c>
      <c r="Q518" s="173"/>
      <c r="R518" s="75"/>
      <c r="S518" s="76"/>
      <c r="T518" s="80"/>
    </row>
    <row r="519" spans="1:20" ht="33.75" customHeight="1" x14ac:dyDescent="0.3">
      <c r="A519" s="60" t="str">
        <f>IFERROR(VLOOKUP(Libromaestro[[#This Row],[MACROPROCESO]],Tabla1[],2,FALSE),"")</f>
        <v>Proyectos</v>
      </c>
      <c r="B519" s="73" t="s">
        <v>41</v>
      </c>
      <c r="C519" s="64" t="s">
        <v>33</v>
      </c>
      <c r="D519" s="64" t="s">
        <v>16</v>
      </c>
      <c r="E51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51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19" s="64">
        <v>22</v>
      </c>
      <c r="H519" s="60" t="str">
        <f>_xlfn.CONCAT(Libromaestro[[#This Row],[SIGLAS]],"-",Libromaestro[[#This Row],[T. DOC]],"-",Libromaestro[[#This Row],[CONSECUTIVO]])</f>
        <v>P-FT-22</v>
      </c>
      <c r="I519" s="73" t="s">
        <v>599</v>
      </c>
      <c r="J519" s="64">
        <v>1</v>
      </c>
      <c r="K519" s="64" t="str">
        <f>_xlfn.XLOOKUP(Libromaestro[[#This Row],[CODIGO DEL DOCUMENTO]],Arreglo_Binaps[Codigo Documento],Arreglo_Binaps[Estado],"No creado",0)</f>
        <v>No creado</v>
      </c>
      <c r="L519" s="66" t="str">
        <f>_xlfn.XLOOKUP(Libromaestro[[#This Row],[CODIGO DEL DOCUMENTO]],Arreglo_Binaps[Codigo Documento],Arreglo_Binaps[Fecha de creación],"",0,1)</f>
        <v/>
      </c>
      <c r="M519" s="66"/>
      <c r="N519" s="66"/>
      <c r="O519"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19" s="74" t="str">
        <f>_xlfn.LET(_xlpm.resultado,_xlfn.XLOOKUP(Libromaestro[[#This Row],[CODIGO DEL DOCUMENTO]],Arreglo_Binaps[Codigo Documento],Arreglo_Binaps[Fecha_Aprobacion],"",0,1),IF(_xlpm.resultado=0,"",_xlpm.resultado))</f>
        <v/>
      </c>
      <c r="Q519" s="173"/>
      <c r="R519" s="75"/>
      <c r="S519" s="76"/>
      <c r="T519" s="80"/>
    </row>
    <row r="520" spans="1:20" ht="33.75" customHeight="1" x14ac:dyDescent="0.3">
      <c r="A520" s="60" t="str">
        <f>IFERROR(VLOOKUP(Libromaestro[[#This Row],[MACROPROCESO]],Tabla1[],2,FALSE),"")</f>
        <v>Proyectos</v>
      </c>
      <c r="B520" s="73" t="s">
        <v>41</v>
      </c>
      <c r="C520" s="64" t="s">
        <v>33</v>
      </c>
      <c r="D520" s="64" t="s">
        <v>22</v>
      </c>
      <c r="E52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52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520" s="64">
        <v>2</v>
      </c>
      <c r="H520" s="60" t="str">
        <f>_xlfn.CONCAT(Libromaestro[[#This Row],[SIGLAS]],"-",Libromaestro[[#This Row],[T. DOC]],"-",Libromaestro[[#This Row],[CONSECUTIVO]])</f>
        <v>P-GU-2</v>
      </c>
      <c r="I520" s="73" t="s">
        <v>600</v>
      </c>
      <c r="J520" s="64">
        <v>1</v>
      </c>
      <c r="K520" s="64" t="str">
        <f>_xlfn.XLOOKUP(Libromaestro[[#This Row],[CODIGO DEL DOCUMENTO]],Arreglo_Binaps[Codigo Documento],Arreglo_Binaps[Estado],"No creado",0)</f>
        <v>No creado</v>
      </c>
      <c r="L520" s="66" t="str">
        <f>_xlfn.XLOOKUP(Libromaestro[[#This Row],[CODIGO DEL DOCUMENTO]],Arreglo_Binaps[Codigo Documento],Arreglo_Binaps[Fecha de creación],"",0,1)</f>
        <v/>
      </c>
      <c r="M520" s="66"/>
      <c r="N520" s="66"/>
      <c r="O520"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20" s="74" t="str">
        <f>_xlfn.LET(_xlpm.resultado,_xlfn.XLOOKUP(Libromaestro[[#This Row],[CODIGO DEL DOCUMENTO]],Arreglo_Binaps[Codigo Documento],Arreglo_Binaps[Fecha_Aprobacion],"",0,1),IF(_xlpm.resultado=0,"",_xlpm.resultado))</f>
        <v/>
      </c>
      <c r="Q520" s="173"/>
      <c r="R520" s="75"/>
      <c r="S520" s="76"/>
      <c r="T520" s="80"/>
    </row>
    <row r="521" spans="1:20" ht="33.75" customHeight="1" x14ac:dyDescent="0.3">
      <c r="A521" s="60" t="str">
        <f>IFERROR(VLOOKUP(Libromaestro[[#This Row],[MACROPROCESO]],Tabla1[],2,FALSE),"")</f>
        <v>Proyectos</v>
      </c>
      <c r="B521" s="73" t="s">
        <v>41</v>
      </c>
      <c r="C521" s="64" t="s">
        <v>33</v>
      </c>
      <c r="D521" s="64" t="s">
        <v>22</v>
      </c>
      <c r="E52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52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521" s="64">
        <v>3</v>
      </c>
      <c r="H521" s="60" t="str">
        <f>_xlfn.CONCAT(Libromaestro[[#This Row],[SIGLAS]],"-",Libromaestro[[#This Row],[T. DOC]],"-",Libromaestro[[#This Row],[CONSECUTIVO]])</f>
        <v>P-GU-3</v>
      </c>
      <c r="I521" s="73" t="s">
        <v>601</v>
      </c>
      <c r="J521" s="64">
        <v>1</v>
      </c>
      <c r="K521" s="64" t="str">
        <f>_xlfn.XLOOKUP(Libromaestro[[#This Row],[CODIGO DEL DOCUMENTO]],Arreglo_Binaps[Codigo Documento],Arreglo_Binaps[Estado],"No creado",0)</f>
        <v>No creado</v>
      </c>
      <c r="L521" s="66" t="str">
        <f>_xlfn.XLOOKUP(Libromaestro[[#This Row],[CODIGO DEL DOCUMENTO]],Arreglo_Binaps[Codigo Documento],Arreglo_Binaps[Fecha de creación],"",0,1)</f>
        <v/>
      </c>
      <c r="M521" s="66"/>
      <c r="N521" s="66"/>
      <c r="O521"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21" s="74" t="str">
        <f>_xlfn.LET(_xlpm.resultado,_xlfn.XLOOKUP(Libromaestro[[#This Row],[CODIGO DEL DOCUMENTO]],Arreglo_Binaps[Codigo Documento],Arreglo_Binaps[Fecha_Aprobacion],"",0,1),IF(_xlpm.resultado=0,"",_xlpm.resultado))</f>
        <v/>
      </c>
      <c r="Q521" s="173"/>
      <c r="R521" s="75"/>
      <c r="S521" s="76"/>
      <c r="T521" s="80"/>
    </row>
    <row r="522" spans="1:20" ht="33.75" customHeight="1" x14ac:dyDescent="0.3">
      <c r="A522" s="60" t="str">
        <f>IFERROR(VLOOKUP(Libromaestro[[#This Row],[MACROPROCESO]],Tabla1[],2,FALSE),"")</f>
        <v>Proyectos</v>
      </c>
      <c r="B522" s="73" t="s">
        <v>41</v>
      </c>
      <c r="C522" s="64" t="s">
        <v>47</v>
      </c>
      <c r="D522" s="64" t="s">
        <v>27</v>
      </c>
      <c r="E52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52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522" s="64">
        <v>1</v>
      </c>
      <c r="H522" s="60" t="str">
        <f>_xlfn.CONCAT(Libromaestro[[#This Row],[SIGLAS]],"-",Libromaestro[[#This Row],[T. DOC]],"-",Libromaestro[[#This Row],[CONSECUTIVO]])</f>
        <v>P-IN-1</v>
      </c>
      <c r="I522" s="73" t="s">
        <v>602</v>
      </c>
      <c r="J522" s="257" t="s">
        <v>2549</v>
      </c>
      <c r="K522" s="64" t="str">
        <f>_xlfn.XLOOKUP(Libromaestro[[#This Row],[CODIGO DEL DOCUMENTO]],Arreglo_Binaps[Codigo Documento],Arreglo_Binaps[Estado],"No creado",0)</f>
        <v>No creado</v>
      </c>
      <c r="L522" s="66" t="str">
        <f>_xlfn.XLOOKUP(Libromaestro[[#This Row],[CODIGO DEL DOCUMENTO]],Arreglo_Binaps[Codigo Documento],Arreglo_Binaps[Fecha de creación],"",0,1)</f>
        <v/>
      </c>
      <c r="M522" s="66"/>
      <c r="N522" s="66"/>
      <c r="O522"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22" s="74" t="str">
        <f>_xlfn.LET(_xlpm.resultado,_xlfn.XLOOKUP(Libromaestro[[#This Row],[CODIGO DEL DOCUMENTO]],Arreglo_Binaps[Codigo Documento],Arreglo_Binaps[Fecha_Aprobacion],"",0,1),IF(_xlpm.resultado=0,"",_xlpm.resultado))</f>
        <v/>
      </c>
      <c r="Q522" s="173"/>
      <c r="R522" s="75"/>
      <c r="S522" s="76"/>
      <c r="T522" s="80"/>
    </row>
    <row r="523" spans="1:20" ht="33.75" customHeight="1" x14ac:dyDescent="0.3">
      <c r="A523" s="60" t="str">
        <f>IFERROR(VLOOKUP(Libromaestro[[#This Row],[MACROPROCESO]],Tabla1[],2,FALSE),"")</f>
        <v>Proyectos</v>
      </c>
      <c r="B523" s="73" t="s">
        <v>41</v>
      </c>
      <c r="C523" s="64" t="s">
        <v>33</v>
      </c>
      <c r="D523" s="64" t="s">
        <v>31</v>
      </c>
      <c r="E52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52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523" s="64">
        <v>2</v>
      </c>
      <c r="H523" s="60" t="str">
        <f>_xlfn.CONCAT(Libromaestro[[#This Row],[SIGLAS]],"-",Libromaestro[[#This Row],[T. DOC]],"-",Libromaestro[[#This Row],[CONSECUTIVO]])</f>
        <v>P-MA-2</v>
      </c>
      <c r="I523" s="73" t="s">
        <v>603</v>
      </c>
      <c r="J523" s="64">
        <v>1</v>
      </c>
      <c r="K523" s="64" t="str">
        <f>_xlfn.XLOOKUP(Libromaestro[[#This Row],[CODIGO DEL DOCUMENTO]],Arreglo_Binaps[Codigo Documento],Arreglo_Binaps[Estado],"No creado",0)</f>
        <v>No creado</v>
      </c>
      <c r="L523" s="66" t="str">
        <f>_xlfn.XLOOKUP(Libromaestro[[#This Row],[CODIGO DEL DOCUMENTO]],Arreglo_Binaps[Codigo Documento],Arreglo_Binaps[Fecha de creación],"",0,1)</f>
        <v/>
      </c>
      <c r="M523" s="66"/>
      <c r="N523" s="66"/>
      <c r="O523"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23" s="74" t="str">
        <f>_xlfn.LET(_xlpm.resultado,_xlfn.XLOOKUP(Libromaestro[[#This Row],[CODIGO DEL DOCUMENTO]],Arreglo_Binaps[Codigo Documento],Arreglo_Binaps[Fecha_Aprobacion],"",0,1),IF(_xlpm.resultado=0,"",_xlpm.resultado))</f>
        <v/>
      </c>
      <c r="Q523" s="173"/>
      <c r="R523" s="75"/>
      <c r="S523" s="76"/>
      <c r="T523" s="80"/>
    </row>
    <row r="524" spans="1:20" ht="33.75" customHeight="1" x14ac:dyDescent="0.3">
      <c r="A524" s="60" t="str">
        <f>IFERROR(VLOOKUP(Libromaestro[[#This Row],[MACROPROCESO]],Tabla1[],2,FALSE),"")</f>
        <v>Proyectos</v>
      </c>
      <c r="B524" s="73" t="s">
        <v>41</v>
      </c>
      <c r="C524" s="64" t="s">
        <v>58</v>
      </c>
      <c r="D524" s="64" t="s">
        <v>34</v>
      </c>
      <c r="E52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52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24" s="64">
        <v>1</v>
      </c>
      <c r="H524" s="60" t="str">
        <f>_xlfn.CONCAT(Libromaestro[[#This Row],[SIGLAS]],"-",Libromaestro[[#This Row],[T. DOC]],"-",Libromaestro[[#This Row],[CONSECUTIVO]])</f>
        <v>P-PR-1</v>
      </c>
      <c r="I524" s="73" t="s">
        <v>604</v>
      </c>
      <c r="J524" s="64">
        <v>1</v>
      </c>
      <c r="K524" s="64" t="str">
        <f>_xlfn.XLOOKUP(Libromaestro[[#This Row],[CODIGO DEL DOCUMENTO]],Arreglo_Binaps[Codigo Documento],Arreglo_Binaps[Estado],"No creado",0)</f>
        <v>No creado</v>
      </c>
      <c r="L524" s="66" t="str">
        <f>_xlfn.XLOOKUP(Libromaestro[[#This Row],[CODIGO DEL DOCUMENTO]],Arreglo_Binaps[Codigo Documento],Arreglo_Binaps[Fecha de creación],"",0,1)</f>
        <v/>
      </c>
      <c r="M524" s="66"/>
      <c r="N524" s="66"/>
      <c r="O524"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24" s="74" t="str">
        <f>_xlfn.LET(_xlpm.resultado,_xlfn.XLOOKUP(Libromaestro[[#This Row],[CODIGO DEL DOCUMENTO]],Arreglo_Binaps[Codigo Documento],Arreglo_Binaps[Fecha_Aprobacion],"",0,1),IF(_xlpm.resultado=0,"",_xlpm.resultado))</f>
        <v/>
      </c>
      <c r="Q524" s="173"/>
      <c r="R524" s="75"/>
      <c r="S524" s="76"/>
      <c r="T524" s="80"/>
    </row>
    <row r="525" spans="1:20" ht="33.75" customHeight="1" x14ac:dyDescent="0.3">
      <c r="A525" s="60" t="str">
        <f>IFERROR(VLOOKUP(Libromaestro[[#This Row],[MACROPROCESO]],Tabla1[],2,FALSE),"")</f>
        <v>Suministros</v>
      </c>
      <c r="B525" s="73" t="s">
        <v>45</v>
      </c>
      <c r="C525" s="64" t="s">
        <v>36</v>
      </c>
      <c r="D525" s="64" t="s">
        <v>37</v>
      </c>
      <c r="E52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52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525" s="64">
        <v>5</v>
      </c>
      <c r="H525" s="64" t="str">
        <f>_xlfn.CONCAT(Libromaestro[[#This Row],[SIGLAS]],"-",Libromaestro[[#This Row],[T. DOC]],"-",Libromaestro[[#This Row],[CONSECUTIVO]])</f>
        <v>S-PO-5</v>
      </c>
      <c r="I525" s="73" t="s">
        <v>260</v>
      </c>
      <c r="J525" s="64">
        <v>1</v>
      </c>
      <c r="K525" s="64" t="str">
        <f>_xlfn.XLOOKUP(Libromaestro[[#This Row],[CODIGO DEL DOCUMENTO]],Arreglo_Binaps[Codigo Documento],Arreglo_Binaps[Estado],"No creado",0)</f>
        <v>Aprobado</v>
      </c>
      <c r="L525" s="66" t="str">
        <f>_xlfn.XLOOKUP(Libromaestro[[#This Row],[CODIGO DEL DOCUMENTO]],Arreglo_Binaps[Codigo Documento],Arreglo_Binaps[Fecha de creación],"",0,1)</f>
        <v>2025-02-20</v>
      </c>
      <c r="M525" s="66"/>
      <c r="N525"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46803</v>
      </c>
      <c r="O525"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46803</v>
      </c>
      <c r="P525" s="74">
        <f>_xlfn.LET(_xlpm.resultado,_xlfn.XLOOKUP(Libromaestro[[#This Row],[CODIGO DEL DOCUMENTO]],Arreglo_Binaps[Codigo Documento],Arreglo_Binaps[Fecha_Aprobacion],"",0,1),IF(_xlpm.resultado=0,"",_xlpm.resultado))</f>
        <v>45917</v>
      </c>
      <c r="Q525" s="173"/>
      <c r="R525" s="75"/>
      <c r="S525" s="76"/>
      <c r="T525" s="82"/>
    </row>
    <row r="526" spans="1:20" ht="33.75" customHeight="1" x14ac:dyDescent="0.3">
      <c r="A526" s="60" t="str">
        <f>IFERROR(VLOOKUP(Libromaestro[[#This Row],[MACROPROCESO]],Tabla1[],2,FALSE),"")</f>
        <v>Suministros</v>
      </c>
      <c r="B526" s="73" t="s">
        <v>45</v>
      </c>
      <c r="C526" s="64" t="s">
        <v>36</v>
      </c>
      <c r="D526" s="64" t="s">
        <v>37</v>
      </c>
      <c r="E52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52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526" s="64">
        <v>6</v>
      </c>
      <c r="H526" s="64" t="str">
        <f>_xlfn.CONCAT(Libromaestro[[#This Row],[SIGLAS]],"-",Libromaestro[[#This Row],[T. DOC]],"-",Libromaestro[[#This Row],[CONSECUTIVO]])</f>
        <v>S-PO-6</v>
      </c>
      <c r="I526" s="73" t="s">
        <v>284</v>
      </c>
      <c r="J526" s="64">
        <v>1</v>
      </c>
      <c r="K526" s="64" t="str">
        <f>_xlfn.XLOOKUP(Libromaestro[[#This Row],[CODIGO DEL DOCUMENTO]],Arreglo_Binaps[Codigo Documento],Arreglo_Binaps[Estado],"No creado",0)</f>
        <v>Eliminado</v>
      </c>
      <c r="L526" s="66" t="str">
        <f>_xlfn.XLOOKUP(Libromaestro[[#This Row],[CODIGO DEL DOCUMENTO]],Arreglo_Binaps[Codigo Documento],Arreglo_Binaps[Fecha de creación],"",0,1)</f>
        <v>2026-06-03</v>
      </c>
      <c r="M526" s="66"/>
      <c r="N526"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O526"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526" s="74" t="str">
        <f>_xlfn.LET(_xlpm.resultado,_xlfn.XLOOKUP(Libromaestro[[#This Row],[CODIGO DEL DOCUMENTO]],Arreglo_Binaps[Codigo Documento],Arreglo_Binaps[Fecha_Aprobacion],"",0,1),IF(_xlpm.resultado=0,"",_xlpm.resultado))</f>
        <v/>
      </c>
      <c r="Q526" s="173"/>
      <c r="R526" s="75"/>
      <c r="S526" s="76"/>
      <c r="T526" s="73"/>
    </row>
    <row r="527" spans="1:20" ht="33.75" customHeight="1" x14ac:dyDescent="0.3">
      <c r="A527" s="60" t="str">
        <f>IFERROR(VLOOKUP(Libromaestro[[#This Row],[MACROPROCESO]],Tabla1[],2,FALSE),"")</f>
        <v>Suministros</v>
      </c>
      <c r="B527" s="73" t="s">
        <v>45</v>
      </c>
      <c r="C527" s="64" t="s">
        <v>63</v>
      </c>
      <c r="D527" s="64" t="s">
        <v>37</v>
      </c>
      <c r="E52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52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527" s="64">
        <v>7</v>
      </c>
      <c r="H527" s="64" t="str">
        <f>_xlfn.CONCAT(Libromaestro[[#This Row],[SIGLAS]],"-",Libromaestro[[#This Row],[T. DOC]],"-",Libromaestro[[#This Row],[CONSECUTIVO]])</f>
        <v>S-PO-7</v>
      </c>
      <c r="I527" s="73" t="s">
        <v>303</v>
      </c>
      <c r="J527" s="64">
        <v>1</v>
      </c>
      <c r="K527" s="64" t="str">
        <f>_xlfn.XLOOKUP(Libromaestro[[#This Row],[CODIGO DEL DOCUMENTO]],Arreglo_Binaps[Codigo Documento],Arreglo_Binaps[Estado],"No creado",0)</f>
        <v>Aprobado</v>
      </c>
      <c r="L527" s="66" t="str">
        <f>_xlfn.XLOOKUP(Libromaestro[[#This Row],[CODIGO DEL DOCUMENTO]],Arreglo_Binaps[Codigo Documento],Arreglo_Binaps[Fecha de creación],"",0,1)</f>
        <v>2025-05-08</v>
      </c>
      <c r="M527" s="66"/>
      <c r="N527"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46881</v>
      </c>
      <c r="O527"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46881</v>
      </c>
      <c r="P527" s="74">
        <f>_xlfn.LET(_xlpm.resultado,_xlfn.XLOOKUP(Libromaestro[[#This Row],[CODIGO DEL DOCUMENTO]],Arreglo_Binaps[Codigo Documento],Arreglo_Binaps[Fecha_Aprobacion],"",0,1),IF(_xlpm.resultado=0,"",_xlpm.resultado))</f>
        <v>45882</v>
      </c>
      <c r="Q527" s="173"/>
      <c r="R527" s="75"/>
      <c r="S527" s="76"/>
      <c r="T527" s="82"/>
    </row>
    <row r="528" spans="1:20" ht="33.75" customHeight="1" x14ac:dyDescent="0.3">
      <c r="A528" s="204" t="str">
        <f>IFERROR(VLOOKUP(Libromaestro[[#This Row],[MACROPROCESO]],Tabla1[],2,FALSE),"")</f>
        <v>Suministros</v>
      </c>
      <c r="B528" s="199" t="s">
        <v>45</v>
      </c>
      <c r="C528" s="196" t="s">
        <v>30</v>
      </c>
      <c r="D528" s="196" t="s">
        <v>37</v>
      </c>
      <c r="E528" s="196"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528" s="196"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528" s="196">
        <v>9</v>
      </c>
      <c r="H528" s="196" t="str">
        <f>_xlfn.CONCAT(Libromaestro[[#This Row],[SIGLAS]],"-",Libromaestro[[#This Row],[T. DOC]],"-",Libromaestro[[#This Row],[CONSECUTIVO]])</f>
        <v>S-PO-9</v>
      </c>
      <c r="I528" s="199" t="s">
        <v>2534</v>
      </c>
      <c r="J528" s="196">
        <v>1</v>
      </c>
      <c r="K528" s="64" t="str">
        <f>_xlfn.XLOOKUP(Libromaestro[[#This Row],[CODIGO DEL DOCUMENTO]],Arreglo_Binaps[Codigo Documento],Arreglo_Binaps[Estado],"No creado",0)</f>
        <v>Eliminado</v>
      </c>
      <c r="L528" s="66" t="str">
        <f>_xlfn.XLOOKUP(Libromaestro[[#This Row],[CODIGO DEL DOCUMENTO]],Arreglo_Binaps[Codigo Documento],Arreglo_Binaps[Fecha de creación],"",0,1)</f>
        <v>2026-05-13</v>
      </c>
      <c r="M528" s="197"/>
      <c r="N528" s="197"/>
      <c r="O528" s="198">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47251</v>
      </c>
      <c r="P528" s="198" t="str">
        <f>_xlfn.LET(_xlpm.resultado,_xlfn.XLOOKUP(Libromaestro[[#This Row],[CODIGO DEL DOCUMENTO]],Arreglo_Binaps[Codigo Documento],Arreglo_Binaps[Fecha_Aprobacion],"",0,1),IF(_xlpm.resultado=0,"",_xlpm.resultado))</f>
        <v/>
      </c>
      <c r="Q528" s="200"/>
      <c r="R528" s="201"/>
      <c r="S528" s="202"/>
      <c r="T528" s="203"/>
    </row>
    <row r="529" spans="1:20" ht="33.75" customHeight="1" x14ac:dyDescent="0.3">
      <c r="A529" s="60" t="str">
        <f>IFERROR(VLOOKUP(Libromaestro[[#This Row],[MACROPROCESO]],Tabla1[],2,FALSE),"")</f>
        <v>Suministros</v>
      </c>
      <c r="B529" s="73" t="s">
        <v>45</v>
      </c>
      <c r="C529" s="64" t="s">
        <v>36</v>
      </c>
      <c r="D529" s="64" t="s">
        <v>34</v>
      </c>
      <c r="E52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52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29" s="76">
        <v>1</v>
      </c>
      <c r="H529" s="64" t="str">
        <f>_xlfn.CONCAT(Libromaestro[[#This Row],[SIGLAS]],"-",Libromaestro[[#This Row],[T. DOC]],"-",Libromaestro[[#This Row],[CONSECUTIVO]])</f>
        <v>S-PR-1</v>
      </c>
      <c r="I529" s="240" t="s">
        <v>2537</v>
      </c>
      <c r="J529" s="64">
        <v>1</v>
      </c>
      <c r="K529" s="64" t="str">
        <f>_xlfn.XLOOKUP(Libromaestro[[#This Row],[CODIGO DEL DOCUMENTO]],Arreglo_Binaps[Codigo Documento],Arreglo_Binaps[Estado],"No creado",0)</f>
        <v>Eliminado</v>
      </c>
      <c r="L529" s="66" t="str">
        <f>_xlfn.XLOOKUP(Libromaestro[[#This Row],[CODIGO DEL DOCUMENTO]],Arreglo_Binaps[Codigo Documento],Arreglo_Binaps[Fecha de creación],"",0,1)</f>
        <v>2025-02-14</v>
      </c>
      <c r="M529" s="66"/>
      <c r="N529"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46797</v>
      </c>
      <c r="O529"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46797</v>
      </c>
      <c r="P529" s="74" t="str">
        <f>_xlfn.LET(_xlpm.resultado,_xlfn.XLOOKUP(Libromaestro[[#This Row],[CODIGO DEL DOCUMENTO]],Arreglo_Binaps[Codigo Documento],Arreglo_Binaps[Fecha_Aprobacion],"",0,1),IF(_xlpm.resultado=0,"",_xlpm.resultado))</f>
        <v/>
      </c>
      <c r="Q529" s="176"/>
      <c r="R529" s="76"/>
      <c r="S529" s="78"/>
      <c r="T529" s="79"/>
    </row>
    <row r="530" spans="1:20" ht="33.75" customHeight="1" x14ac:dyDescent="0.3">
      <c r="A530" s="60" t="str">
        <f>IFERROR(VLOOKUP(Libromaestro[[#This Row],[MACROPROCESO]],Tabla1[],2,FALSE),"")</f>
        <v>Suministros</v>
      </c>
      <c r="B530" s="73" t="s">
        <v>45</v>
      </c>
      <c r="C530" s="64" t="s">
        <v>36</v>
      </c>
      <c r="D530" s="64" t="s">
        <v>34</v>
      </c>
      <c r="E53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53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30" s="76">
        <v>10</v>
      </c>
      <c r="H530" s="64" t="str">
        <f>_xlfn.CONCAT(Libromaestro[[#This Row],[SIGLAS]],"-",Libromaestro[[#This Row],[T. DOC]],"-",Libromaestro[[#This Row],[CONSECUTIVO]])</f>
        <v>S-PR-10</v>
      </c>
      <c r="I530" s="73" t="s">
        <v>352</v>
      </c>
      <c r="J530" s="64">
        <v>1</v>
      </c>
      <c r="K530" s="64" t="str">
        <f>_xlfn.XLOOKUP(Libromaestro[[#This Row],[CODIGO DEL DOCUMENTO]],Arreglo_Binaps[Codigo Documento],Arreglo_Binaps[Estado],"No creado",0)</f>
        <v>No creado</v>
      </c>
      <c r="L530" s="66" t="str">
        <f>_xlfn.XLOOKUP(Libromaestro[[#This Row],[CODIGO DEL DOCUMENTO]],Arreglo_Binaps[Codigo Documento],Arreglo_Binaps[Fecha de creación],"",0,1)</f>
        <v/>
      </c>
      <c r="M530" s="66"/>
      <c r="N530"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530"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30" s="74" t="str">
        <f>_xlfn.LET(_xlpm.resultado,_xlfn.XLOOKUP(Libromaestro[[#This Row],[CODIGO DEL DOCUMENTO]],Arreglo_Binaps[Codigo Documento],Arreglo_Binaps[Fecha_Aprobacion],"",0,1),IF(_xlpm.resultado=0,"",_xlpm.resultado))</f>
        <v/>
      </c>
      <c r="Q530" s="176"/>
      <c r="R530" s="76"/>
      <c r="S530" s="78"/>
      <c r="T530" s="79"/>
    </row>
    <row r="531" spans="1:20" ht="33.75" customHeight="1" x14ac:dyDescent="0.3">
      <c r="A531" s="60" t="str">
        <f>IFERROR(VLOOKUP(Libromaestro[[#This Row],[MACROPROCESO]],Tabla1[],2,FALSE),"")</f>
        <v>Corportativa</v>
      </c>
      <c r="B531" s="73" t="s">
        <v>35</v>
      </c>
      <c r="C531" s="64" t="s">
        <v>2253</v>
      </c>
      <c r="D531" s="64" t="s">
        <v>34</v>
      </c>
      <c r="E53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J</v>
      </c>
      <c r="F53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31" s="64">
        <v>1</v>
      </c>
      <c r="H531" s="64" t="str">
        <f>_xlfn.CONCAT(Libromaestro[[#This Row],[SIGLAS]],"-",Libromaestro[[#This Row],[T. DOC]],"-",Libromaestro[[#This Row],[CONSECUTIVO]])</f>
        <v>J-PR-1</v>
      </c>
      <c r="I531" s="73" t="s">
        <v>609</v>
      </c>
      <c r="J531" s="64">
        <v>1</v>
      </c>
      <c r="K531" s="64" t="str">
        <f>_xlfn.XLOOKUP(Libromaestro[[#This Row],[CODIGO DEL DOCUMENTO]],Arreglo_Binaps[Codigo Documento],Arreglo_Binaps[Estado],"No creado",0)</f>
        <v>No creado</v>
      </c>
      <c r="L531" s="66" t="str">
        <f>_xlfn.XLOOKUP(Libromaestro[[#This Row],[CODIGO DEL DOCUMENTO]],Arreglo_Binaps[Codigo Documento],Arreglo_Binaps[Fecha de creación],"",0,1)</f>
        <v/>
      </c>
      <c r="M531" s="66"/>
      <c r="N531"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531"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31" s="74" t="str">
        <f>_xlfn.LET(_xlpm.resultado,_xlfn.XLOOKUP(Libromaestro[[#This Row],[CODIGO DEL DOCUMENTO]],Arreglo_Binaps[Codigo Documento],Arreglo_Binaps[Fecha_Aprobacion],"",0,1),IF(_xlpm.resultado=0,"",_xlpm.resultado))</f>
        <v/>
      </c>
      <c r="Q531" s="173"/>
      <c r="R531" s="75"/>
      <c r="S531" s="76"/>
      <c r="T531" s="73"/>
    </row>
    <row r="532" spans="1:20" ht="33.75" customHeight="1" x14ac:dyDescent="0.3">
      <c r="A532" s="60" t="str">
        <f>IFERROR(VLOOKUP(Libromaestro[[#This Row],[MACROPROCESO]],Tabla1[],2,FALSE),"")</f>
        <v>Corportativa</v>
      </c>
      <c r="B532" s="73" t="s">
        <v>35</v>
      </c>
      <c r="C532" s="64" t="s">
        <v>2253</v>
      </c>
      <c r="D532" s="64" t="s">
        <v>34</v>
      </c>
      <c r="E53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J</v>
      </c>
      <c r="F53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32" s="64">
        <v>2</v>
      </c>
      <c r="H532" s="64" t="str">
        <f>_xlfn.CONCAT(Libromaestro[[#This Row],[SIGLAS]],"-",Libromaestro[[#This Row],[T. DOC]],"-",Libromaestro[[#This Row],[CONSECUTIVO]])</f>
        <v>J-PR-2</v>
      </c>
      <c r="I532" s="73" t="s">
        <v>610</v>
      </c>
      <c r="J532" s="64">
        <v>1</v>
      </c>
      <c r="K532" s="64" t="str">
        <f>_xlfn.XLOOKUP(Libromaestro[[#This Row],[CODIGO DEL DOCUMENTO]],Arreglo_Binaps[Codigo Documento],Arreglo_Binaps[Estado],"No creado",0)</f>
        <v>No creado</v>
      </c>
      <c r="L532" s="66" t="str">
        <f>_xlfn.XLOOKUP(Libromaestro[[#This Row],[CODIGO DEL DOCUMENTO]],Arreglo_Binaps[Codigo Documento],Arreglo_Binaps[Fecha de creación],"",0,1)</f>
        <v/>
      </c>
      <c r="M532" s="66"/>
      <c r="N532"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532" s="66"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32" s="74" t="str">
        <f>_xlfn.LET(_xlpm.resultado,_xlfn.XLOOKUP(Libromaestro[[#This Row],[CODIGO DEL DOCUMENTO]],Arreglo_Binaps[Codigo Documento],Arreglo_Binaps[Fecha_Aprobacion],"",0,1),IF(_xlpm.resultado=0,"",_xlpm.resultado))</f>
        <v/>
      </c>
      <c r="Q532" s="173"/>
      <c r="R532" s="75"/>
      <c r="S532" s="76"/>
      <c r="T532" s="73"/>
    </row>
    <row r="533" spans="1:20" ht="33.75" customHeight="1" x14ac:dyDescent="0.3">
      <c r="A533" s="60" t="str">
        <f>IFERROR(VLOOKUP(Libromaestro[[#This Row],[MACROPROCESO]],Tabla1[],2,FALSE),"")</f>
        <v>Corportativa</v>
      </c>
      <c r="B533" s="73" t="s">
        <v>35</v>
      </c>
      <c r="C533" s="64" t="s">
        <v>2253</v>
      </c>
      <c r="D533" s="64" t="s">
        <v>34</v>
      </c>
      <c r="E53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J</v>
      </c>
      <c r="F53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33" s="64">
        <v>3</v>
      </c>
      <c r="H533" s="64" t="str">
        <f>_xlfn.CONCAT(Libromaestro[[#This Row],[SIGLAS]],"-",Libromaestro[[#This Row],[T. DOC]],"-",Libromaestro[[#This Row],[CONSECUTIVO]])</f>
        <v>J-PR-3</v>
      </c>
      <c r="I533" s="73" t="s">
        <v>611</v>
      </c>
      <c r="J533" s="64"/>
      <c r="K533" s="64" t="str">
        <f>_xlfn.XLOOKUP(Libromaestro[[#This Row],[CODIGO DEL DOCUMENTO]],Arreglo_Binaps[Codigo Documento],Arreglo_Binaps[Estado],"No creado",0)</f>
        <v>No creado</v>
      </c>
      <c r="L533" s="66" t="str">
        <f>_xlfn.XLOOKUP(Libromaestro[[#This Row],[CODIGO DEL DOCUMENTO]],Arreglo_Binaps[Codigo Documento],Arreglo_Binaps[Fecha de creación],"",0,1)</f>
        <v/>
      </c>
      <c r="M533" s="66"/>
      <c r="N533" s="66"/>
      <c r="O533"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33" s="74" t="str">
        <f>_xlfn.LET(_xlpm.resultado,_xlfn.XLOOKUP(Libromaestro[[#This Row],[CODIGO DEL DOCUMENTO]],Arreglo_Binaps[Codigo Documento],Arreglo_Binaps[Fecha_Aprobacion],"",0,1),IF(_xlpm.resultado=0,"",_xlpm.resultado))</f>
        <v/>
      </c>
      <c r="Q533" s="173"/>
      <c r="R533" s="75"/>
      <c r="S533" s="76"/>
      <c r="T533" s="80"/>
    </row>
    <row r="534" spans="1:20" ht="33.75" customHeight="1" x14ac:dyDescent="0.3">
      <c r="A534" s="60" t="str">
        <f>IFERROR(VLOOKUP(Libromaestro[[#This Row],[MACROPROCESO]],Tabla1[],2,FALSE),"")</f>
        <v>Corportativa</v>
      </c>
      <c r="B534" s="73" t="s">
        <v>35</v>
      </c>
      <c r="C534" s="64" t="s">
        <v>2253</v>
      </c>
      <c r="D534" s="64" t="s">
        <v>34</v>
      </c>
      <c r="E53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J</v>
      </c>
      <c r="F53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34" s="64">
        <v>4</v>
      </c>
      <c r="H534" s="64" t="str">
        <f>_xlfn.CONCAT(Libromaestro[[#This Row],[SIGLAS]],"-",Libromaestro[[#This Row],[T. DOC]],"-",Libromaestro[[#This Row],[CONSECUTIVO]])</f>
        <v>J-PR-4</v>
      </c>
      <c r="I534" s="73" t="s">
        <v>612</v>
      </c>
      <c r="J534" s="64"/>
      <c r="K534" s="64" t="str">
        <f>_xlfn.XLOOKUP(Libromaestro[[#This Row],[CODIGO DEL DOCUMENTO]],Arreglo_Binaps[Codigo Documento],Arreglo_Binaps[Estado],"No creado",0)</f>
        <v>No creado</v>
      </c>
      <c r="L534" s="66" t="str">
        <f>_xlfn.XLOOKUP(Libromaestro[[#This Row],[CODIGO DEL DOCUMENTO]],Arreglo_Binaps[Codigo Documento],Arreglo_Binaps[Fecha de creación],"",0,1)</f>
        <v/>
      </c>
      <c r="M534" s="66"/>
      <c r="N534" s="66"/>
      <c r="O534"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34" s="74" t="str">
        <f>_xlfn.LET(_xlpm.resultado,_xlfn.XLOOKUP(Libromaestro[[#This Row],[CODIGO DEL DOCUMENTO]],Arreglo_Binaps[Codigo Documento],Arreglo_Binaps[Fecha_Aprobacion],"",0,1),IF(_xlpm.resultado=0,"",_xlpm.resultado))</f>
        <v/>
      </c>
      <c r="Q534" s="173"/>
      <c r="R534" s="75"/>
      <c r="S534" s="76"/>
      <c r="T534" s="80"/>
    </row>
    <row r="535" spans="1:20" ht="33.75" customHeight="1" x14ac:dyDescent="0.3">
      <c r="A535" s="60" t="str">
        <f>IFERROR(VLOOKUP(Libromaestro[[#This Row],[MACROPROCESO]],Tabla1[],2,FALSE),"")</f>
        <v>Corportativa</v>
      </c>
      <c r="B535" s="73" t="s">
        <v>35</v>
      </c>
      <c r="C535" s="64" t="s">
        <v>2253</v>
      </c>
      <c r="D535" s="64" t="s">
        <v>34</v>
      </c>
      <c r="E535"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J</v>
      </c>
      <c r="F535"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35" s="64">
        <v>5</v>
      </c>
      <c r="H535" s="64" t="str">
        <f>_xlfn.CONCAT(Libromaestro[[#This Row],[SIGLAS]],"-",Libromaestro[[#This Row],[T. DOC]],"-",Libromaestro[[#This Row],[CONSECUTIVO]])</f>
        <v>J-PR-5</v>
      </c>
      <c r="I535" s="73" t="s">
        <v>613</v>
      </c>
      <c r="J535" s="64"/>
      <c r="K535" s="64" t="str">
        <f>_xlfn.XLOOKUP(Libromaestro[[#This Row],[CODIGO DEL DOCUMENTO]],Arreglo_Binaps[Codigo Documento],Arreglo_Binaps[Estado],"No creado",0)</f>
        <v>No creado</v>
      </c>
      <c r="L535" s="66" t="str">
        <f>_xlfn.XLOOKUP(Libromaestro[[#This Row],[CODIGO DEL DOCUMENTO]],Arreglo_Binaps[Codigo Documento],Arreglo_Binaps[Fecha de creación],"",0,1)</f>
        <v/>
      </c>
      <c r="M535" s="66"/>
      <c r="N535" s="66"/>
      <c r="O535"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35" s="74" t="str">
        <f>_xlfn.LET(_xlpm.resultado,_xlfn.XLOOKUP(Libromaestro[[#This Row],[CODIGO DEL DOCUMENTO]],Arreglo_Binaps[Codigo Documento],Arreglo_Binaps[Fecha_Aprobacion],"",0,1),IF(_xlpm.resultado=0,"",_xlpm.resultado))</f>
        <v/>
      </c>
      <c r="Q535" s="173"/>
      <c r="R535" s="75"/>
      <c r="S535" s="76"/>
      <c r="T535" s="80"/>
    </row>
    <row r="536" spans="1:20" ht="33.75" customHeight="1" x14ac:dyDescent="0.3">
      <c r="A536" s="60" t="str">
        <f>IFERROR(VLOOKUP(Libromaestro[[#This Row],[MACROPROCESO]],Tabla1[],2,FALSE),"")</f>
        <v>Corportativa</v>
      </c>
      <c r="B536" s="73" t="s">
        <v>35</v>
      </c>
      <c r="C536" s="64" t="s">
        <v>2253</v>
      </c>
      <c r="D536" s="64" t="s">
        <v>34</v>
      </c>
      <c r="E536"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J</v>
      </c>
      <c r="F536"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36" s="64">
        <v>6</v>
      </c>
      <c r="H536" s="64" t="str">
        <f>_xlfn.CONCAT(Libromaestro[[#This Row],[SIGLAS]],"-",Libromaestro[[#This Row],[T. DOC]],"-",Libromaestro[[#This Row],[CONSECUTIVO]])</f>
        <v>J-PR-6</v>
      </c>
      <c r="I536" s="73" t="s">
        <v>614</v>
      </c>
      <c r="J536" s="64"/>
      <c r="K536" s="64" t="str">
        <f>_xlfn.XLOOKUP(Libromaestro[[#This Row],[CODIGO DEL DOCUMENTO]],Arreglo_Binaps[Codigo Documento],Arreglo_Binaps[Estado],"No creado",0)</f>
        <v>No creado</v>
      </c>
      <c r="L536" s="66" t="str">
        <f>_xlfn.XLOOKUP(Libromaestro[[#This Row],[CODIGO DEL DOCUMENTO]],Arreglo_Binaps[Codigo Documento],Arreglo_Binaps[Fecha de creación],"",0,1)</f>
        <v/>
      </c>
      <c r="M536" s="66"/>
      <c r="N536" s="66"/>
      <c r="O536"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36" s="74" t="str">
        <f>_xlfn.LET(_xlpm.resultado,_xlfn.XLOOKUP(Libromaestro[[#This Row],[CODIGO DEL DOCUMENTO]],Arreglo_Binaps[Codigo Documento],Arreglo_Binaps[Fecha_Aprobacion],"",0,1),IF(_xlpm.resultado=0,"",_xlpm.resultado))</f>
        <v/>
      </c>
      <c r="Q536" s="173"/>
      <c r="R536" s="75"/>
      <c r="S536" s="76"/>
      <c r="T536" s="80"/>
    </row>
    <row r="537" spans="1:20" ht="33.75" customHeight="1" x14ac:dyDescent="0.3">
      <c r="A537" s="60" t="str">
        <f>IFERROR(VLOOKUP(Libromaestro[[#This Row],[MACROPROCESO]],Tabla1[],2,FALSE),"")</f>
        <v>Corporativa</v>
      </c>
      <c r="B537" s="73" t="s">
        <v>13</v>
      </c>
      <c r="C537" s="64" t="s">
        <v>62</v>
      </c>
      <c r="D537" s="64" t="s">
        <v>16</v>
      </c>
      <c r="E53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53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37" s="64">
        <v>39</v>
      </c>
      <c r="H537" s="64" t="str">
        <f>_xlfn.CONCAT(Libromaestro[[#This Row],[SIGLAS]],"-",Libromaestro[[#This Row],[T. DOC]],"-",Libromaestro[[#This Row],[CONSECUTIVO]])</f>
        <v>D-FT-39</v>
      </c>
      <c r="I537" s="73" t="s">
        <v>2195</v>
      </c>
      <c r="J537" s="64"/>
      <c r="K537" s="64" t="str">
        <f>_xlfn.XLOOKUP(Libromaestro[[#This Row],[CODIGO DEL DOCUMENTO]],Arreglo_Binaps[Codigo Documento],Arreglo_Binaps[Estado],"No creado",0)</f>
        <v>No creado</v>
      </c>
      <c r="L537" s="66" t="str">
        <f>_xlfn.XLOOKUP(Libromaestro[[#This Row],[CODIGO DEL DOCUMENTO]],Arreglo_Binaps[Codigo Documento],Arreglo_Binaps[Fecha de creación],"",0,1)</f>
        <v/>
      </c>
      <c r="M537" s="66"/>
      <c r="N537" s="66"/>
      <c r="O537"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37" s="74" t="str">
        <f>_xlfn.LET(_xlpm.resultado,_xlfn.XLOOKUP(Libromaestro[[#This Row],[CODIGO DEL DOCUMENTO]],Arreglo_Binaps[Codigo Documento],Arreglo_Binaps[Fecha_Aprobacion],"",0,1),IF(_xlpm.resultado=0,"",_xlpm.resultado))</f>
        <v/>
      </c>
      <c r="Q537" s="173"/>
      <c r="R537" s="75"/>
      <c r="S537" s="76"/>
      <c r="T537" s="80"/>
    </row>
    <row r="538" spans="1:20" ht="33.75" customHeight="1" x14ac:dyDescent="0.3">
      <c r="A538" s="60" t="str">
        <f>IFERROR(VLOOKUP(Libromaestro[[#This Row],[MACROPROCESO]],Tabla1[],2,FALSE),"")</f>
        <v>Corporativa</v>
      </c>
      <c r="B538" s="73" t="s">
        <v>13</v>
      </c>
      <c r="C538" s="64" t="s">
        <v>62</v>
      </c>
      <c r="D538" s="64" t="s">
        <v>34</v>
      </c>
      <c r="E53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53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38" s="64">
        <v>40</v>
      </c>
      <c r="H538" s="64" t="str">
        <f>_xlfn.CONCAT(Libromaestro[[#This Row],[SIGLAS]],"-",Libromaestro[[#This Row],[T. DOC]],"-",Libromaestro[[#This Row],[CONSECUTIVO]])</f>
        <v>D-PR-40</v>
      </c>
      <c r="I538" s="73" t="s">
        <v>2196</v>
      </c>
      <c r="J538" s="64"/>
      <c r="K538" s="64" t="str">
        <f>_xlfn.XLOOKUP(Libromaestro[[#This Row],[CODIGO DEL DOCUMENTO]],Arreglo_Binaps[Codigo Documento],Arreglo_Binaps[Estado],"No creado",0)</f>
        <v>No creado</v>
      </c>
      <c r="L538" s="66" t="str">
        <f>_xlfn.XLOOKUP(Libromaestro[[#This Row],[CODIGO DEL DOCUMENTO]],Arreglo_Binaps[Codigo Documento],Arreglo_Binaps[Fecha de creación],"",0,1)</f>
        <v/>
      </c>
      <c r="M538" s="66"/>
      <c r="N538" s="66"/>
      <c r="O538"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38" s="74" t="str">
        <f>_xlfn.LET(_xlpm.resultado,_xlfn.XLOOKUP(Libromaestro[[#This Row],[CODIGO DEL DOCUMENTO]],Arreglo_Binaps[Codigo Documento],Arreglo_Binaps[Fecha_Aprobacion],"",0,1),IF(_xlpm.resultado=0,"",_xlpm.resultado))</f>
        <v/>
      </c>
      <c r="Q538" s="173"/>
      <c r="R538" s="75"/>
      <c r="S538" s="76"/>
      <c r="T538" s="80"/>
    </row>
    <row r="539" spans="1:20" ht="33.75" customHeight="1" x14ac:dyDescent="0.3">
      <c r="A539" s="60" t="str">
        <f>IFERROR(VLOOKUP(Libromaestro[[#This Row],[MACROPROCESO]],Tabla1[],2,FALSE),"")</f>
        <v>Corporativa</v>
      </c>
      <c r="B539" s="73" t="s">
        <v>13</v>
      </c>
      <c r="C539" s="64" t="s">
        <v>62</v>
      </c>
      <c r="D539" s="64" t="s">
        <v>27</v>
      </c>
      <c r="E53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53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539" s="64">
        <v>5</v>
      </c>
      <c r="H539" s="64" t="str">
        <f>_xlfn.CONCAT(Libromaestro[[#This Row],[SIGLAS]],"-",Libromaestro[[#This Row],[T. DOC]],"-",Libromaestro[[#This Row],[CONSECUTIVO]])</f>
        <v>D-IN-5</v>
      </c>
      <c r="I539" s="73" t="s">
        <v>2197</v>
      </c>
      <c r="J539" s="64"/>
      <c r="K539" s="64" t="str">
        <f>_xlfn.XLOOKUP(Libromaestro[[#This Row],[CODIGO DEL DOCUMENTO]],Arreglo_Binaps[Codigo Documento],Arreglo_Binaps[Estado],"No creado",0)</f>
        <v>No creado</v>
      </c>
      <c r="L539" s="66" t="str">
        <f>_xlfn.XLOOKUP(Libromaestro[[#This Row],[CODIGO DEL DOCUMENTO]],Arreglo_Binaps[Codigo Documento],Arreglo_Binaps[Fecha de creación],"",0,1)</f>
        <v/>
      </c>
      <c r="M539" s="66"/>
      <c r="N539" s="66"/>
      <c r="O539"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39" s="74" t="str">
        <f>_xlfn.LET(_xlpm.resultado,_xlfn.XLOOKUP(Libromaestro[[#This Row],[CODIGO DEL DOCUMENTO]],Arreglo_Binaps[Codigo Documento],Arreglo_Binaps[Fecha_Aprobacion],"",0,1),IF(_xlpm.resultado=0,"",_xlpm.resultado))</f>
        <v/>
      </c>
      <c r="Q539" s="173"/>
      <c r="R539" s="75"/>
      <c r="S539" s="76"/>
      <c r="T539" s="80"/>
    </row>
    <row r="540" spans="1:20" ht="33.75" customHeight="1" x14ac:dyDescent="0.3">
      <c r="A540" s="60" t="str">
        <f>IFERROR(VLOOKUP(Libromaestro[[#This Row],[MACROPROCESO]],Tabla1[],2,FALSE),"")</f>
        <v>Corporativa</v>
      </c>
      <c r="B540" s="73" t="s">
        <v>13</v>
      </c>
      <c r="C540" s="64" t="s">
        <v>62</v>
      </c>
      <c r="D540" s="64" t="s">
        <v>27</v>
      </c>
      <c r="E54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54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540" s="64">
        <v>6</v>
      </c>
      <c r="H540" s="64" t="str">
        <f>_xlfn.CONCAT(Libromaestro[[#This Row],[SIGLAS]],"-",Libromaestro[[#This Row],[T. DOC]],"-",Libromaestro[[#This Row],[CONSECUTIVO]])</f>
        <v>D-IN-6</v>
      </c>
      <c r="I540" s="73" t="s">
        <v>2198</v>
      </c>
      <c r="J540" s="64"/>
      <c r="K540" s="64" t="str">
        <f>_xlfn.XLOOKUP(Libromaestro[[#This Row],[CODIGO DEL DOCUMENTO]],Arreglo_Binaps[Codigo Documento],Arreglo_Binaps[Estado],"No creado",0)</f>
        <v>No creado</v>
      </c>
      <c r="L540" s="66" t="str">
        <f>_xlfn.XLOOKUP(Libromaestro[[#This Row],[CODIGO DEL DOCUMENTO]],Arreglo_Binaps[Codigo Documento],Arreglo_Binaps[Fecha de creación],"",0,1)</f>
        <v/>
      </c>
      <c r="M540" s="66"/>
      <c r="N540" s="66"/>
      <c r="O540"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40" s="74" t="str">
        <f>_xlfn.LET(_xlpm.resultado,_xlfn.XLOOKUP(Libromaestro[[#This Row],[CODIGO DEL DOCUMENTO]],Arreglo_Binaps[Codigo Documento],Arreglo_Binaps[Fecha_Aprobacion],"",0,1),IF(_xlpm.resultado=0,"",_xlpm.resultado))</f>
        <v/>
      </c>
      <c r="Q540" s="173"/>
      <c r="R540" s="75"/>
      <c r="S540" s="76"/>
      <c r="T540" s="80"/>
    </row>
    <row r="541" spans="1:20" ht="33.75" customHeight="1" x14ac:dyDescent="0.3">
      <c r="A541" s="60" t="str">
        <f>IFERROR(VLOOKUP(Libromaestro[[#This Row],[MACROPROCESO]],Tabla1[],2,FALSE),"")</f>
        <v>Corporativa</v>
      </c>
      <c r="B541" s="73" t="s">
        <v>13</v>
      </c>
      <c r="C541" s="64" t="s">
        <v>62</v>
      </c>
      <c r="D541" s="64" t="s">
        <v>27</v>
      </c>
      <c r="E54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54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541" s="64">
        <v>7</v>
      </c>
      <c r="H541" s="64" t="str">
        <f>_xlfn.CONCAT(Libromaestro[[#This Row],[SIGLAS]],"-",Libromaestro[[#This Row],[T. DOC]],"-",Libromaestro[[#This Row],[CONSECUTIVO]])</f>
        <v>D-IN-7</v>
      </c>
      <c r="I541" s="73" t="s">
        <v>2200</v>
      </c>
      <c r="J541" s="64"/>
      <c r="K541" s="64" t="str">
        <f>_xlfn.XLOOKUP(Libromaestro[[#This Row],[CODIGO DEL DOCUMENTO]],Arreglo_Binaps[Codigo Documento],Arreglo_Binaps[Estado],"No creado",0)</f>
        <v>No creado</v>
      </c>
      <c r="L541" s="66" t="str">
        <f>_xlfn.XLOOKUP(Libromaestro[[#This Row],[CODIGO DEL DOCUMENTO]],Arreglo_Binaps[Codigo Documento],Arreglo_Binaps[Fecha de creación],"",0,1)</f>
        <v/>
      </c>
      <c r="M541" s="66"/>
      <c r="N541" s="66"/>
      <c r="O541"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41" s="74" t="str">
        <f>_xlfn.LET(_xlpm.resultado,_xlfn.XLOOKUP(Libromaestro[[#This Row],[CODIGO DEL DOCUMENTO]],Arreglo_Binaps[Codigo Documento],Arreglo_Binaps[Fecha_Aprobacion],"",0,1),IF(_xlpm.resultado=0,"",_xlpm.resultado))</f>
        <v/>
      </c>
      <c r="Q541" s="173"/>
      <c r="R541" s="75"/>
      <c r="S541" s="76"/>
      <c r="T541" s="80"/>
    </row>
    <row r="542" spans="1:20" ht="33.75" customHeight="1" x14ac:dyDescent="0.3">
      <c r="A542" s="60" t="str">
        <f>IFERROR(VLOOKUP(Libromaestro[[#This Row],[MACROPROCESO]],Tabla1[],2,FALSE),"")</f>
        <v>Corporativa</v>
      </c>
      <c r="B542" s="73" t="s">
        <v>13</v>
      </c>
      <c r="C542" s="64" t="s">
        <v>62</v>
      </c>
      <c r="D542" s="64" t="s">
        <v>27</v>
      </c>
      <c r="E54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54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542" s="64">
        <v>8</v>
      </c>
      <c r="H542" s="64" t="str">
        <f>_xlfn.CONCAT(Libromaestro[[#This Row],[SIGLAS]],"-",Libromaestro[[#This Row],[T. DOC]],"-",Libromaestro[[#This Row],[CONSECUTIVO]])</f>
        <v>D-IN-8</v>
      </c>
      <c r="I542" s="73" t="s">
        <v>2199</v>
      </c>
      <c r="J542" s="64"/>
      <c r="K542" s="64" t="str">
        <f>_xlfn.XLOOKUP(Libromaestro[[#This Row],[CODIGO DEL DOCUMENTO]],Arreglo_Binaps[Codigo Documento],Arreglo_Binaps[Estado],"No creado",0)</f>
        <v>No creado</v>
      </c>
      <c r="L542" s="66" t="str">
        <f>_xlfn.XLOOKUP(Libromaestro[[#This Row],[CODIGO DEL DOCUMENTO]],Arreglo_Binaps[Codigo Documento],Arreglo_Binaps[Fecha de creación],"",0,1)</f>
        <v/>
      </c>
      <c r="M542" s="66"/>
      <c r="N542" s="66"/>
      <c r="O542"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42" s="74" t="str">
        <f>_xlfn.LET(_xlpm.resultado,_xlfn.XLOOKUP(Libromaestro[[#This Row],[CODIGO DEL DOCUMENTO]],Arreglo_Binaps[Codigo Documento],Arreglo_Binaps[Fecha_Aprobacion],"",0,1),IF(_xlpm.resultado=0,"",_xlpm.resultado))</f>
        <v/>
      </c>
      <c r="Q542" s="173"/>
      <c r="R542" s="75"/>
      <c r="S542" s="76"/>
      <c r="T542" s="80"/>
    </row>
    <row r="543" spans="1:20" ht="33.75" customHeight="1" x14ac:dyDescent="0.3">
      <c r="A543" s="60" t="str">
        <f>IFERROR(VLOOKUP(Libromaestro[[#This Row],[MACROPROCESO]],Tabla1[],2,FALSE),"")</f>
        <v>Corporativa</v>
      </c>
      <c r="B543" s="73" t="s">
        <v>13</v>
      </c>
      <c r="C543" s="64" t="s">
        <v>62</v>
      </c>
      <c r="D543" s="64" t="s">
        <v>27</v>
      </c>
      <c r="E54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54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543" s="64">
        <v>9</v>
      </c>
      <c r="H543" s="64" t="str">
        <f>_xlfn.CONCAT(Libromaestro[[#This Row],[SIGLAS]],"-",Libromaestro[[#This Row],[T. DOC]],"-",Libromaestro[[#This Row],[CONSECUTIVO]])</f>
        <v>D-IN-9</v>
      </c>
      <c r="I543" s="73" t="s">
        <v>2201</v>
      </c>
      <c r="J543" s="64"/>
      <c r="K543" s="64" t="str">
        <f>_xlfn.XLOOKUP(Libromaestro[[#This Row],[CODIGO DEL DOCUMENTO]],Arreglo_Binaps[Codigo Documento],Arreglo_Binaps[Estado],"No creado",0)</f>
        <v>No creado</v>
      </c>
      <c r="L543" s="66" t="str">
        <f>_xlfn.XLOOKUP(Libromaestro[[#This Row],[CODIGO DEL DOCUMENTO]],Arreglo_Binaps[Codigo Documento],Arreglo_Binaps[Fecha de creación],"",0,1)</f>
        <v/>
      </c>
      <c r="M543" s="66"/>
      <c r="N543" s="66"/>
      <c r="O543"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43" s="74" t="str">
        <f>_xlfn.LET(_xlpm.resultado,_xlfn.XLOOKUP(Libromaestro[[#This Row],[CODIGO DEL DOCUMENTO]],Arreglo_Binaps[Codigo Documento],Arreglo_Binaps[Fecha_Aprobacion],"",0,1),IF(_xlpm.resultado=0,"",_xlpm.resultado))</f>
        <v/>
      </c>
      <c r="Q543" s="173"/>
      <c r="R543" s="75"/>
      <c r="S543" s="76"/>
      <c r="T543" s="80"/>
    </row>
    <row r="544" spans="1:20" ht="33.75" customHeight="1" x14ac:dyDescent="0.3">
      <c r="A544" s="60" t="str">
        <f>IFERROR(VLOOKUP(Libromaestro[[#This Row],[MACROPROCESO]],Tabla1[],2,FALSE),"")</f>
        <v>Corporativa</v>
      </c>
      <c r="B544" s="73" t="s">
        <v>13</v>
      </c>
      <c r="C544" s="64" t="s">
        <v>62</v>
      </c>
      <c r="D544" s="64" t="s">
        <v>27</v>
      </c>
      <c r="E544"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D</v>
      </c>
      <c r="F544"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544" s="64">
        <v>10</v>
      </c>
      <c r="H544" s="64" t="str">
        <f>_xlfn.CONCAT(Libromaestro[[#This Row],[SIGLAS]],"-",Libromaestro[[#This Row],[T. DOC]],"-",Libromaestro[[#This Row],[CONSECUTIVO]])</f>
        <v>D-IN-10</v>
      </c>
      <c r="I544" s="73" t="s">
        <v>2202</v>
      </c>
      <c r="J544" s="64"/>
      <c r="K544" s="64" t="str">
        <f>_xlfn.XLOOKUP(Libromaestro[[#This Row],[CODIGO DEL DOCUMENTO]],Arreglo_Binaps[Codigo Documento],Arreglo_Binaps[Estado],"No creado",0)</f>
        <v>No creado</v>
      </c>
      <c r="L544" s="66" t="str">
        <f>_xlfn.XLOOKUP(Libromaestro[[#This Row],[CODIGO DEL DOCUMENTO]],Arreglo_Binaps[Codigo Documento],Arreglo_Binaps[Fecha de creación],"",0,1)</f>
        <v/>
      </c>
      <c r="M544" s="66"/>
      <c r="N544" s="66"/>
      <c r="O544"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44" s="74" t="str">
        <f>_xlfn.LET(_xlpm.resultado,_xlfn.XLOOKUP(Libromaestro[[#This Row],[CODIGO DEL DOCUMENTO]],Arreglo_Binaps[Codigo Documento],Arreglo_Binaps[Fecha_Aprobacion],"",0,1),IF(_xlpm.resultado=0,"",_xlpm.resultado))</f>
        <v/>
      </c>
      <c r="Q544" s="173"/>
      <c r="R544" s="75"/>
      <c r="S544" s="76"/>
      <c r="T544" s="80"/>
    </row>
    <row r="545" spans="1:20" ht="33.75" customHeight="1" x14ac:dyDescent="0.3">
      <c r="A545" s="60" t="str">
        <f>IFERROR(VLOOKUP(Libromaestro[[#This Row],[MACROPROCESO]],Tabla1[],2,FALSE),"")</f>
        <v>Alumbrado Público</v>
      </c>
      <c r="B545" s="144" t="s">
        <v>7</v>
      </c>
      <c r="C545" s="145" t="s">
        <v>53</v>
      </c>
      <c r="D545" s="137" t="s">
        <v>34</v>
      </c>
      <c r="E545" s="13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545" s="13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45" s="137"/>
      <c r="H545" s="137" t="str">
        <f>_xlfn.CONCAT(Libromaestro[[#This Row],[SIGLAS]],"-",Libromaestro[[#This Row],[T. DOC]],"-",Libromaestro[[#This Row],[CONSECUTIVO]])</f>
        <v>A-PR-</v>
      </c>
      <c r="I545" s="140" t="s">
        <v>2203</v>
      </c>
      <c r="J545" s="137"/>
      <c r="K545" s="64" t="str">
        <f>_xlfn.XLOOKUP(Libromaestro[[#This Row],[CODIGO DEL DOCUMENTO]],Arreglo_Binaps[Codigo Documento],Arreglo_Binaps[Estado],"No creado",0)</f>
        <v>No creado</v>
      </c>
      <c r="L545" s="66" t="str">
        <f>_xlfn.XLOOKUP(Libromaestro[[#This Row],[CODIGO DEL DOCUMENTO]],Arreglo_Binaps[Codigo Documento],Arreglo_Binaps[Fecha de creación],"",0,1)</f>
        <v/>
      </c>
      <c r="M545" s="138"/>
      <c r="N545" s="138"/>
      <c r="O545" s="13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45" s="139" t="str">
        <f>_xlfn.LET(_xlpm.resultado,_xlfn.XLOOKUP(Libromaestro[[#This Row],[CODIGO DEL DOCUMENTO]],Arreglo_Binaps[Codigo Documento],Arreglo_Binaps[Fecha_Aprobacion],"",0,1),IF(_xlpm.resultado=0,"",_xlpm.resultado))</f>
        <v/>
      </c>
      <c r="Q545" s="182"/>
      <c r="R545" s="141"/>
      <c r="S545" s="142"/>
      <c r="T545" s="143"/>
    </row>
    <row r="546" spans="1:20" ht="33.75" customHeight="1" x14ac:dyDescent="0.3">
      <c r="A546" s="60" t="str">
        <f>IFERROR(VLOOKUP(Libromaestro[[#This Row],[MACROPROCESO]],Tabla1[],2,FALSE),"")</f>
        <v>Alumbrado Público</v>
      </c>
      <c r="B546" s="144" t="s">
        <v>7</v>
      </c>
      <c r="C546" s="145" t="s">
        <v>53</v>
      </c>
      <c r="D546" s="137" t="s">
        <v>34</v>
      </c>
      <c r="E546" s="13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546" s="13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46" s="137"/>
      <c r="H546" s="137" t="str">
        <f>_xlfn.CONCAT(Libromaestro[[#This Row],[SIGLAS]],"-",Libromaestro[[#This Row],[T. DOC]],"-",Libromaestro[[#This Row],[CONSECUTIVO]])</f>
        <v>A-PR-</v>
      </c>
      <c r="I546" s="140" t="s">
        <v>2204</v>
      </c>
      <c r="J546" s="137"/>
      <c r="K546" s="64" t="str">
        <f>_xlfn.XLOOKUP(Libromaestro[[#This Row],[CODIGO DEL DOCUMENTO]],Arreglo_Binaps[Codigo Documento],Arreglo_Binaps[Estado],"No creado",0)</f>
        <v>No creado</v>
      </c>
      <c r="L546" s="66" t="str">
        <f>_xlfn.XLOOKUP(Libromaestro[[#This Row],[CODIGO DEL DOCUMENTO]],Arreglo_Binaps[Codigo Documento],Arreglo_Binaps[Fecha de creación],"",0,1)</f>
        <v/>
      </c>
      <c r="M546" s="138"/>
      <c r="N546" s="138"/>
      <c r="O546" s="13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46" s="139" t="str">
        <f>_xlfn.LET(_xlpm.resultado,_xlfn.XLOOKUP(Libromaestro[[#This Row],[CODIGO DEL DOCUMENTO]],Arreglo_Binaps[Codigo Documento],Arreglo_Binaps[Fecha_Aprobacion],"",0,1),IF(_xlpm.resultado=0,"",_xlpm.resultado))</f>
        <v/>
      </c>
      <c r="Q546" s="182"/>
      <c r="R546" s="141"/>
      <c r="S546" s="142"/>
      <c r="T546" s="143"/>
    </row>
    <row r="547" spans="1:20" ht="33.75" customHeight="1" x14ac:dyDescent="0.3">
      <c r="A547" s="60" t="str">
        <f>IFERROR(VLOOKUP(Libromaestro[[#This Row],[MACROPROCESO]],Tabla1[],2,FALSE),"")</f>
        <v>Alumbrado Público</v>
      </c>
      <c r="B547" s="144" t="s">
        <v>7</v>
      </c>
      <c r="C547" s="145" t="s">
        <v>53</v>
      </c>
      <c r="D547" s="137" t="s">
        <v>10</v>
      </c>
      <c r="E547" s="13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547" s="13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CA</v>
      </c>
      <c r="G547" s="137"/>
      <c r="H547" s="137" t="str">
        <f>_xlfn.CONCAT(Libromaestro[[#This Row],[SIGLAS]],"-",Libromaestro[[#This Row],[T. DOC]],"-",Libromaestro[[#This Row],[CONSECUTIVO]])</f>
        <v>A-CA-</v>
      </c>
      <c r="I547" s="140" t="s">
        <v>2205</v>
      </c>
      <c r="J547" s="137"/>
      <c r="K547" s="64" t="str">
        <f>_xlfn.XLOOKUP(Libromaestro[[#This Row],[CODIGO DEL DOCUMENTO]],Arreglo_Binaps[Codigo Documento],Arreglo_Binaps[Estado],"No creado",0)</f>
        <v>No creado</v>
      </c>
      <c r="L547" s="66" t="str">
        <f>_xlfn.XLOOKUP(Libromaestro[[#This Row],[CODIGO DEL DOCUMENTO]],Arreglo_Binaps[Codigo Documento],Arreglo_Binaps[Fecha de creación],"",0,1)</f>
        <v/>
      </c>
      <c r="M547" s="138"/>
      <c r="N547" s="138"/>
      <c r="O547" s="13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47" s="139" t="str">
        <f>_xlfn.LET(_xlpm.resultado,_xlfn.XLOOKUP(Libromaestro[[#This Row],[CODIGO DEL DOCUMENTO]],Arreglo_Binaps[Codigo Documento],Arreglo_Binaps[Fecha_Aprobacion],"",0,1),IF(_xlpm.resultado=0,"",_xlpm.resultado))</f>
        <v/>
      </c>
      <c r="Q547" s="182"/>
      <c r="R547" s="141"/>
      <c r="S547" s="142"/>
      <c r="T547" s="143"/>
    </row>
    <row r="548" spans="1:20" ht="33.75" customHeight="1" x14ac:dyDescent="0.3">
      <c r="A548" s="60" t="str">
        <f>IFERROR(VLOOKUP(Libromaestro[[#This Row],[MACROPROCESO]],Tabla1[],2,FALSE),"")</f>
        <v>Alumbrado Público</v>
      </c>
      <c r="B548" s="144" t="s">
        <v>7</v>
      </c>
      <c r="C548" s="145" t="s">
        <v>53</v>
      </c>
      <c r="D548" s="137" t="s">
        <v>27</v>
      </c>
      <c r="E548" s="13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548" s="13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548" s="137"/>
      <c r="H548" s="137" t="str">
        <f>_xlfn.CONCAT(Libromaestro[[#This Row],[SIGLAS]],"-",Libromaestro[[#This Row],[T. DOC]],"-",Libromaestro[[#This Row],[CONSECUTIVO]])</f>
        <v>A-IN-</v>
      </c>
      <c r="I548" s="140" t="s">
        <v>2206</v>
      </c>
      <c r="J548" s="137"/>
      <c r="K548" s="64" t="str">
        <f>_xlfn.XLOOKUP(Libromaestro[[#This Row],[CODIGO DEL DOCUMENTO]],Arreglo_Binaps[Codigo Documento],Arreglo_Binaps[Estado],"No creado",0)</f>
        <v>No creado</v>
      </c>
      <c r="L548" s="66" t="str">
        <f>_xlfn.XLOOKUP(Libromaestro[[#This Row],[CODIGO DEL DOCUMENTO]],Arreglo_Binaps[Codigo Documento],Arreglo_Binaps[Fecha de creación],"",0,1)</f>
        <v/>
      </c>
      <c r="M548" s="138"/>
      <c r="N548" s="138"/>
      <c r="O548" s="13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48" s="139" t="str">
        <f>_xlfn.LET(_xlpm.resultado,_xlfn.XLOOKUP(Libromaestro[[#This Row],[CODIGO DEL DOCUMENTO]],Arreglo_Binaps[Codigo Documento],Arreglo_Binaps[Fecha_Aprobacion],"",0,1),IF(_xlpm.resultado=0,"",_xlpm.resultado))</f>
        <v/>
      </c>
      <c r="Q548" s="182"/>
      <c r="R548" s="141"/>
      <c r="S548" s="142"/>
      <c r="T548" s="143"/>
    </row>
    <row r="549" spans="1:20" ht="33.75" customHeight="1" x14ac:dyDescent="0.3">
      <c r="A549" s="60" t="str">
        <f>IFERROR(VLOOKUP(Libromaestro[[#This Row],[MACROPROCESO]],Tabla1[],2,FALSE),"")</f>
        <v>Corportativa</v>
      </c>
      <c r="B549" s="73" t="s">
        <v>32</v>
      </c>
      <c r="C549" s="64" t="s">
        <v>59</v>
      </c>
      <c r="D549" s="137" t="s">
        <v>27</v>
      </c>
      <c r="E549" s="13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549" s="13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549" s="137">
        <v>15</v>
      </c>
      <c r="H549" s="137" t="str">
        <f>_xlfn.CONCAT(Libromaestro[[#This Row],[SIGLAS]],"-",Libromaestro[[#This Row],[T. DOC]],"-",Libromaestro[[#This Row],[CONSECUTIVO]])</f>
        <v>H-IN-15</v>
      </c>
      <c r="I549" s="140" t="s">
        <v>2211</v>
      </c>
      <c r="J549" s="137">
        <v>1</v>
      </c>
      <c r="K549" s="64" t="str">
        <f>_xlfn.XLOOKUP(Libromaestro[[#This Row],[CODIGO DEL DOCUMENTO]],Arreglo_Binaps[Codigo Documento],Arreglo_Binaps[Estado],"No creado",0)</f>
        <v>No creado</v>
      </c>
      <c r="L549" s="66" t="str">
        <f>_xlfn.XLOOKUP(Libromaestro[[#This Row],[CODIGO DEL DOCUMENTO]],Arreglo_Binaps[Codigo Documento],Arreglo_Binaps[Fecha de creación],"",0,1)</f>
        <v/>
      </c>
      <c r="M549" s="138"/>
      <c r="N549" s="138"/>
      <c r="O549" s="13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49" s="139" t="str">
        <f>_xlfn.LET(_xlpm.resultado,_xlfn.XLOOKUP(Libromaestro[[#This Row],[CODIGO DEL DOCUMENTO]],Arreglo_Binaps[Codigo Documento],Arreglo_Binaps[Fecha_Aprobacion],"",0,1),IF(_xlpm.resultado=0,"",_xlpm.resultado))</f>
        <v/>
      </c>
      <c r="Q549" s="182"/>
      <c r="R549" s="141"/>
      <c r="S549" s="142"/>
      <c r="T549" s="143"/>
    </row>
    <row r="550" spans="1:20" ht="33.75" customHeight="1" x14ac:dyDescent="0.3">
      <c r="A550" s="60" t="str">
        <f>IFERROR(VLOOKUP(Libromaestro[[#This Row],[MACROPROCESO]],Tabla1[],2,FALSE),"")</f>
        <v>Corportativa</v>
      </c>
      <c r="B550" s="73" t="s">
        <v>32</v>
      </c>
      <c r="C550" s="64" t="s">
        <v>59</v>
      </c>
      <c r="D550" s="137" t="s">
        <v>27</v>
      </c>
      <c r="E550" s="13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550" s="13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550" s="137"/>
      <c r="H550" s="137" t="str">
        <f>_xlfn.CONCAT(Libromaestro[[#This Row],[SIGLAS]],"-",Libromaestro[[#This Row],[T. DOC]],"-",Libromaestro[[#This Row],[CONSECUTIVO]])</f>
        <v>H-IN-</v>
      </c>
      <c r="I550" s="140" t="s">
        <v>2207</v>
      </c>
      <c r="J550" s="137">
        <v>1</v>
      </c>
      <c r="K550" s="64" t="str">
        <f>_xlfn.XLOOKUP(Libromaestro[[#This Row],[CODIGO DEL DOCUMENTO]],Arreglo_Binaps[Codigo Documento],Arreglo_Binaps[Estado],"No creado",0)</f>
        <v>No creado</v>
      </c>
      <c r="L550" s="66" t="str">
        <f>_xlfn.XLOOKUP(Libromaestro[[#This Row],[CODIGO DEL DOCUMENTO]],Arreglo_Binaps[Codigo Documento],Arreglo_Binaps[Fecha de creación],"",0,1)</f>
        <v/>
      </c>
      <c r="M550" s="138"/>
      <c r="N550" s="138"/>
      <c r="O550" s="13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50" s="139" t="str">
        <f>_xlfn.LET(_xlpm.resultado,_xlfn.XLOOKUP(Libromaestro[[#This Row],[CODIGO DEL DOCUMENTO]],Arreglo_Binaps[Codigo Documento],Arreglo_Binaps[Fecha_Aprobacion],"",0,1),IF(_xlpm.resultado=0,"",_xlpm.resultado))</f>
        <v/>
      </c>
      <c r="Q550" s="182"/>
      <c r="R550" s="141"/>
      <c r="S550" s="142"/>
      <c r="T550" s="143"/>
    </row>
    <row r="551" spans="1:20" ht="33.75" customHeight="1" x14ac:dyDescent="0.3">
      <c r="A551" s="60" t="str">
        <f>IFERROR(VLOOKUP(Libromaestro[[#This Row],[MACROPROCESO]],Tabla1[],2,FALSE),"")</f>
        <v>Corportativa</v>
      </c>
      <c r="B551" s="73" t="s">
        <v>32</v>
      </c>
      <c r="C551" s="64" t="s">
        <v>59</v>
      </c>
      <c r="D551" s="137" t="s">
        <v>34</v>
      </c>
      <c r="E551" s="13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551" s="13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51" s="137"/>
      <c r="H551" s="137" t="str">
        <f>_xlfn.CONCAT(Libromaestro[[#This Row],[SIGLAS]],"-",Libromaestro[[#This Row],[T. DOC]],"-",Libromaestro[[#This Row],[CONSECUTIVO]])</f>
        <v>H-PR-</v>
      </c>
      <c r="I551" s="140" t="s">
        <v>2208</v>
      </c>
      <c r="J551" s="137">
        <v>1</v>
      </c>
      <c r="K551" s="64" t="str">
        <f>_xlfn.XLOOKUP(Libromaestro[[#This Row],[CODIGO DEL DOCUMENTO]],Arreglo_Binaps[Codigo Documento],Arreglo_Binaps[Estado],"No creado",0)</f>
        <v>No creado</v>
      </c>
      <c r="L551" s="66" t="str">
        <f>_xlfn.XLOOKUP(Libromaestro[[#This Row],[CODIGO DEL DOCUMENTO]],Arreglo_Binaps[Codigo Documento],Arreglo_Binaps[Fecha de creación],"",0,1)</f>
        <v/>
      </c>
      <c r="M551" s="138"/>
      <c r="N551" s="138"/>
      <c r="O551" s="13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51" s="139" t="str">
        <f>_xlfn.LET(_xlpm.resultado,_xlfn.XLOOKUP(Libromaestro[[#This Row],[CODIGO DEL DOCUMENTO]],Arreglo_Binaps[Codigo Documento],Arreglo_Binaps[Fecha_Aprobacion],"",0,1),IF(_xlpm.resultado=0,"",_xlpm.resultado))</f>
        <v/>
      </c>
      <c r="Q551" s="182"/>
      <c r="R551" s="141"/>
      <c r="S551" s="142"/>
      <c r="T551" s="143"/>
    </row>
    <row r="552" spans="1:20" ht="33.75" customHeight="1" x14ac:dyDescent="0.3">
      <c r="A552" s="60" t="str">
        <f>IFERROR(VLOOKUP(Libromaestro[[#This Row],[MACROPROCESO]],Tabla1[],2,FALSE),"")</f>
        <v>Corportativa</v>
      </c>
      <c r="B552" s="73" t="s">
        <v>32</v>
      </c>
      <c r="C552" s="64" t="s">
        <v>59</v>
      </c>
      <c r="D552" s="137" t="s">
        <v>22</v>
      </c>
      <c r="E552" s="13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552" s="13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552" s="137">
        <v>4</v>
      </c>
      <c r="H552" s="137" t="str">
        <f>_xlfn.CONCAT(Libromaestro[[#This Row],[SIGLAS]],"-",Libromaestro[[#This Row],[T. DOC]],"-",Libromaestro[[#This Row],[CONSECUTIVO]])</f>
        <v>H-GU-4</v>
      </c>
      <c r="I552" s="140" t="s">
        <v>2217</v>
      </c>
      <c r="J552" s="137">
        <v>1</v>
      </c>
      <c r="K552" s="64" t="str">
        <f>_xlfn.XLOOKUP(Libromaestro[[#This Row],[CODIGO DEL DOCUMENTO]],Arreglo_Binaps[Codigo Documento],Arreglo_Binaps[Estado],"No creado",0)</f>
        <v>No creado</v>
      </c>
      <c r="L552" s="66" t="str">
        <f>_xlfn.XLOOKUP(Libromaestro[[#This Row],[CODIGO DEL DOCUMENTO]],Arreglo_Binaps[Codigo Documento],Arreglo_Binaps[Fecha de creación],"",0,1)</f>
        <v/>
      </c>
      <c r="M552" s="138"/>
      <c r="N552" s="138"/>
      <c r="O552" s="13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52" s="139" t="str">
        <f>_xlfn.LET(_xlpm.resultado,_xlfn.XLOOKUP(Libromaestro[[#This Row],[CODIGO DEL DOCUMENTO]],Arreglo_Binaps[Codigo Documento],Arreglo_Binaps[Fecha_Aprobacion],"",0,1),IF(_xlpm.resultado=0,"",_xlpm.resultado))</f>
        <v/>
      </c>
      <c r="Q552" s="182"/>
      <c r="R552" s="141"/>
      <c r="S552" s="142"/>
      <c r="T552" s="143"/>
    </row>
    <row r="553" spans="1:20" ht="33.75" customHeight="1" x14ac:dyDescent="0.3">
      <c r="A553" s="60" t="str">
        <f>IFERROR(VLOOKUP(Libromaestro[[#This Row],[MACROPROCESO]],Tabla1[],2,FALSE),"")</f>
        <v>Corportativa</v>
      </c>
      <c r="B553" s="73" t="s">
        <v>32</v>
      </c>
      <c r="C553" s="64" t="s">
        <v>59</v>
      </c>
      <c r="D553" s="137" t="s">
        <v>27</v>
      </c>
      <c r="E553" s="13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553" s="13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553" s="137">
        <v>16</v>
      </c>
      <c r="H553" s="137" t="str">
        <f>_xlfn.CONCAT(Libromaestro[[#This Row],[SIGLAS]],"-",Libromaestro[[#This Row],[T. DOC]],"-",Libromaestro[[#This Row],[CONSECUTIVO]])</f>
        <v>H-IN-16</v>
      </c>
      <c r="I553" s="140" t="s">
        <v>2209</v>
      </c>
      <c r="J553" s="137">
        <v>1</v>
      </c>
      <c r="K553" s="64" t="str">
        <f>_xlfn.XLOOKUP(Libromaestro[[#This Row],[CODIGO DEL DOCUMENTO]],Arreglo_Binaps[Codigo Documento],Arreglo_Binaps[Estado],"No creado",0)</f>
        <v>No creado</v>
      </c>
      <c r="L553" s="66" t="str">
        <f>_xlfn.XLOOKUP(Libromaestro[[#This Row],[CODIGO DEL DOCUMENTO]],Arreglo_Binaps[Codigo Documento],Arreglo_Binaps[Fecha de creación],"",0,1)</f>
        <v/>
      </c>
      <c r="M553" s="138"/>
      <c r="N553" s="138"/>
      <c r="O553" s="13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53" s="139" t="str">
        <f>_xlfn.LET(_xlpm.resultado,_xlfn.XLOOKUP(Libromaestro[[#This Row],[CODIGO DEL DOCUMENTO]],Arreglo_Binaps[Codigo Documento],Arreglo_Binaps[Fecha_Aprobacion],"",0,1),IF(_xlpm.resultado=0,"",_xlpm.resultado))</f>
        <v/>
      </c>
      <c r="Q553" s="182"/>
      <c r="R553" s="141"/>
      <c r="S553" s="142"/>
      <c r="T553" s="143"/>
    </row>
    <row r="554" spans="1:20" ht="33.75" customHeight="1" x14ac:dyDescent="0.3">
      <c r="A554" s="60" t="str">
        <f>IFERROR(VLOOKUP(Libromaestro[[#This Row],[MACROPROCESO]],Tabla1[],2,FALSE),"")</f>
        <v>Corportativa</v>
      </c>
      <c r="B554" s="73" t="s">
        <v>32</v>
      </c>
      <c r="C554" s="64" t="s">
        <v>59</v>
      </c>
      <c r="D554" s="137" t="s">
        <v>34</v>
      </c>
      <c r="E554" s="13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554" s="13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54" s="137"/>
      <c r="H554" s="137" t="str">
        <f>_xlfn.CONCAT(Libromaestro[[#This Row],[SIGLAS]],"-",Libromaestro[[#This Row],[T. DOC]],"-",Libromaestro[[#This Row],[CONSECUTIVO]])</f>
        <v>H-PR-</v>
      </c>
      <c r="I554" s="140" t="s">
        <v>2210</v>
      </c>
      <c r="J554" s="137">
        <v>1</v>
      </c>
      <c r="K554" s="64" t="str">
        <f>_xlfn.XLOOKUP(Libromaestro[[#This Row],[CODIGO DEL DOCUMENTO]],Arreglo_Binaps[Codigo Documento],Arreglo_Binaps[Estado],"No creado",0)</f>
        <v>No creado</v>
      </c>
      <c r="L554" s="66" t="str">
        <f>_xlfn.XLOOKUP(Libromaestro[[#This Row],[CODIGO DEL DOCUMENTO]],Arreglo_Binaps[Codigo Documento],Arreglo_Binaps[Fecha de creación],"",0,1)</f>
        <v/>
      </c>
      <c r="M554" s="138"/>
      <c r="N554" s="138"/>
      <c r="O554" s="13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54" s="139" t="str">
        <f>_xlfn.LET(_xlpm.resultado,_xlfn.XLOOKUP(Libromaestro[[#This Row],[CODIGO DEL DOCUMENTO]],Arreglo_Binaps[Codigo Documento],Arreglo_Binaps[Fecha_Aprobacion],"",0,1),IF(_xlpm.resultado=0,"",_xlpm.resultado))</f>
        <v/>
      </c>
      <c r="Q554" s="182"/>
      <c r="R554" s="141"/>
      <c r="S554" s="142"/>
      <c r="T554" s="143"/>
    </row>
    <row r="555" spans="1:20" ht="33.75" customHeight="1" x14ac:dyDescent="0.3">
      <c r="A555" s="60" t="str">
        <f>IFERROR(VLOOKUP(Libromaestro[[#This Row],[MACROPROCESO]],Tabla1[],2,FALSE),"")</f>
        <v>Corportativa</v>
      </c>
      <c r="B555" s="73" t="s">
        <v>32</v>
      </c>
      <c r="C555" s="64" t="s">
        <v>59</v>
      </c>
      <c r="D555" s="137" t="s">
        <v>34</v>
      </c>
      <c r="E555" s="13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555" s="13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55" s="137"/>
      <c r="H555" s="137" t="str">
        <f>_xlfn.CONCAT(Libromaestro[[#This Row],[SIGLAS]],"-",Libromaestro[[#This Row],[T. DOC]],"-",Libromaestro[[#This Row],[CONSECUTIVO]])</f>
        <v>H-PR-</v>
      </c>
      <c r="I555" s="140" t="s">
        <v>2212</v>
      </c>
      <c r="J555" s="137">
        <v>1</v>
      </c>
      <c r="K555" s="64" t="str">
        <f>_xlfn.XLOOKUP(Libromaestro[[#This Row],[CODIGO DEL DOCUMENTO]],Arreglo_Binaps[Codigo Documento],Arreglo_Binaps[Estado],"No creado",0)</f>
        <v>No creado</v>
      </c>
      <c r="L555" s="66" t="str">
        <f>_xlfn.XLOOKUP(Libromaestro[[#This Row],[CODIGO DEL DOCUMENTO]],Arreglo_Binaps[Codigo Documento],Arreglo_Binaps[Fecha de creación],"",0,1)</f>
        <v/>
      </c>
      <c r="M555" s="138"/>
      <c r="N555" s="138"/>
      <c r="O555" s="13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55" s="139" t="str">
        <f>_xlfn.LET(_xlpm.resultado,_xlfn.XLOOKUP(Libromaestro[[#This Row],[CODIGO DEL DOCUMENTO]],Arreglo_Binaps[Codigo Documento],Arreglo_Binaps[Fecha_Aprobacion],"",0,1),IF(_xlpm.resultado=0,"",_xlpm.resultado))</f>
        <v/>
      </c>
      <c r="Q555" s="182"/>
      <c r="R555" s="141"/>
      <c r="S555" s="142"/>
      <c r="T555" s="143"/>
    </row>
    <row r="556" spans="1:20" ht="33.75" customHeight="1" x14ac:dyDescent="0.3">
      <c r="A556" s="60" t="str">
        <f>IFERROR(VLOOKUP(Libromaestro[[#This Row],[MACROPROCESO]],Tabla1[],2,FALSE),"")</f>
        <v>Corportativa</v>
      </c>
      <c r="B556" s="73" t="s">
        <v>32</v>
      </c>
      <c r="C556" s="64" t="s">
        <v>59</v>
      </c>
      <c r="D556" s="137" t="s">
        <v>27</v>
      </c>
      <c r="E556" s="13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556" s="13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556" s="137"/>
      <c r="H556" s="137" t="str">
        <f>_xlfn.CONCAT(Libromaestro[[#This Row],[SIGLAS]],"-",Libromaestro[[#This Row],[T. DOC]],"-",Libromaestro[[#This Row],[CONSECUTIVO]])</f>
        <v>H-IN-</v>
      </c>
      <c r="I556" s="140" t="s">
        <v>2213</v>
      </c>
      <c r="J556" s="137">
        <v>1</v>
      </c>
      <c r="K556" s="64" t="str">
        <f>_xlfn.XLOOKUP(Libromaestro[[#This Row],[CODIGO DEL DOCUMENTO]],Arreglo_Binaps[Codigo Documento],Arreglo_Binaps[Estado],"No creado",0)</f>
        <v>No creado</v>
      </c>
      <c r="L556" s="66" t="str">
        <f>_xlfn.XLOOKUP(Libromaestro[[#This Row],[CODIGO DEL DOCUMENTO]],Arreglo_Binaps[Codigo Documento],Arreglo_Binaps[Fecha de creación],"",0,1)</f>
        <v/>
      </c>
      <c r="M556" s="138"/>
      <c r="N556" s="138"/>
      <c r="O556" s="13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56" s="139" t="str">
        <f>_xlfn.LET(_xlpm.resultado,_xlfn.XLOOKUP(Libromaestro[[#This Row],[CODIGO DEL DOCUMENTO]],Arreglo_Binaps[Codigo Documento],Arreglo_Binaps[Fecha_Aprobacion],"",0,1),IF(_xlpm.resultado=0,"",_xlpm.resultado))</f>
        <v/>
      </c>
      <c r="Q556" s="182"/>
      <c r="R556" s="141"/>
      <c r="S556" s="142"/>
      <c r="T556" s="143"/>
    </row>
    <row r="557" spans="1:20" ht="33.75" customHeight="1" x14ac:dyDescent="0.3">
      <c r="A557" s="60" t="str">
        <f>IFERROR(VLOOKUP(Libromaestro[[#This Row],[MACROPROCESO]],Tabla1[],2,FALSE),"")</f>
        <v>Corportativa</v>
      </c>
      <c r="B557" s="73" t="s">
        <v>32</v>
      </c>
      <c r="C557" s="64" t="s">
        <v>59</v>
      </c>
      <c r="D557" s="137" t="s">
        <v>27</v>
      </c>
      <c r="E557" s="13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557" s="13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557" s="137"/>
      <c r="H557" s="137" t="str">
        <f>_xlfn.CONCAT(Libromaestro[[#This Row],[SIGLAS]],"-",Libromaestro[[#This Row],[T. DOC]],"-",Libromaestro[[#This Row],[CONSECUTIVO]])</f>
        <v>H-IN-</v>
      </c>
      <c r="I557" s="140" t="s">
        <v>2214</v>
      </c>
      <c r="J557" s="137">
        <v>1</v>
      </c>
      <c r="K557" s="64" t="str">
        <f>_xlfn.XLOOKUP(Libromaestro[[#This Row],[CODIGO DEL DOCUMENTO]],Arreglo_Binaps[Codigo Documento],Arreglo_Binaps[Estado],"No creado",0)</f>
        <v>No creado</v>
      </c>
      <c r="L557" s="66" t="str">
        <f>_xlfn.XLOOKUP(Libromaestro[[#This Row],[CODIGO DEL DOCUMENTO]],Arreglo_Binaps[Codigo Documento],Arreglo_Binaps[Fecha de creación],"",0,1)</f>
        <v/>
      </c>
      <c r="M557" s="138"/>
      <c r="N557" s="138"/>
      <c r="O557" s="13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57" s="139" t="str">
        <f>_xlfn.LET(_xlpm.resultado,_xlfn.XLOOKUP(Libromaestro[[#This Row],[CODIGO DEL DOCUMENTO]],Arreglo_Binaps[Codigo Documento],Arreglo_Binaps[Fecha_Aprobacion],"",0,1),IF(_xlpm.resultado=0,"",_xlpm.resultado))</f>
        <v/>
      </c>
      <c r="Q557" s="182"/>
      <c r="R557" s="141"/>
      <c r="S557" s="142"/>
      <c r="T557" s="143"/>
    </row>
    <row r="558" spans="1:20" ht="33.75" customHeight="1" x14ac:dyDescent="0.3">
      <c r="A558" s="60" t="str">
        <f>IFERROR(VLOOKUP(Libromaestro[[#This Row],[MACROPROCESO]],Tabla1[],2,FALSE),"")</f>
        <v>Alumbrado Público</v>
      </c>
      <c r="B558" s="147" t="s">
        <v>7</v>
      </c>
      <c r="C558" s="148" t="s">
        <v>9</v>
      </c>
      <c r="D558" s="137" t="s">
        <v>27</v>
      </c>
      <c r="E558" s="13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558" s="13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558" s="137"/>
      <c r="H558" s="137" t="str">
        <f>_xlfn.CONCAT(Libromaestro[[#This Row],[SIGLAS]],"-",Libromaestro[[#This Row],[T. DOC]],"-",Libromaestro[[#This Row],[CONSECUTIVO]])</f>
        <v>A-IN-</v>
      </c>
      <c r="I558" s="140" t="s">
        <v>2215</v>
      </c>
      <c r="J558" s="137">
        <v>1</v>
      </c>
      <c r="K558" s="64" t="str">
        <f>_xlfn.XLOOKUP(Libromaestro[[#This Row],[CODIGO DEL DOCUMENTO]],Arreglo_Binaps[Codigo Documento],Arreglo_Binaps[Estado],"No creado",0)</f>
        <v>No creado</v>
      </c>
      <c r="L558" s="66" t="str">
        <f>_xlfn.XLOOKUP(Libromaestro[[#This Row],[CODIGO DEL DOCUMENTO]],Arreglo_Binaps[Codigo Documento],Arreglo_Binaps[Fecha de creación],"",0,1)</f>
        <v/>
      </c>
      <c r="M558" s="138"/>
      <c r="N558" s="138"/>
      <c r="O558" s="13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58" s="139" t="str">
        <f>_xlfn.LET(_xlpm.resultado,_xlfn.XLOOKUP(Libromaestro[[#This Row],[CODIGO DEL DOCUMENTO]],Arreglo_Binaps[Codigo Documento],Arreglo_Binaps[Fecha_Aprobacion],"",0,1),IF(_xlpm.resultado=0,"",_xlpm.resultado))</f>
        <v/>
      </c>
      <c r="Q558" s="182"/>
      <c r="R558" s="141"/>
      <c r="S558" s="142"/>
      <c r="T558" s="143"/>
    </row>
    <row r="559" spans="1:20" ht="33.75" customHeight="1" x14ac:dyDescent="0.3">
      <c r="A559" s="60" t="str">
        <f>IFERROR(VLOOKUP(Libromaestro[[#This Row],[MACROPROCESO]],Tabla1[],2,FALSE),"")</f>
        <v>Alumbrado Público</v>
      </c>
      <c r="B559" s="147" t="s">
        <v>7</v>
      </c>
      <c r="C559" s="148" t="s">
        <v>9</v>
      </c>
      <c r="D559" s="137" t="s">
        <v>27</v>
      </c>
      <c r="E559" s="13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559" s="13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559" s="137"/>
      <c r="H559" s="137" t="str">
        <f>_xlfn.CONCAT(Libromaestro[[#This Row],[SIGLAS]],"-",Libromaestro[[#This Row],[T. DOC]],"-",Libromaestro[[#This Row],[CONSECUTIVO]])</f>
        <v>A-IN-</v>
      </c>
      <c r="I559" s="140" t="s">
        <v>2216</v>
      </c>
      <c r="J559" s="137"/>
      <c r="K559" s="64" t="str">
        <f>_xlfn.XLOOKUP(Libromaestro[[#This Row],[CODIGO DEL DOCUMENTO]],Arreglo_Binaps[Codigo Documento],Arreglo_Binaps[Estado],"No creado",0)</f>
        <v>No creado</v>
      </c>
      <c r="L559" s="66" t="str">
        <f>_xlfn.XLOOKUP(Libromaestro[[#This Row],[CODIGO DEL DOCUMENTO]],Arreglo_Binaps[Codigo Documento],Arreglo_Binaps[Fecha de creación],"",0,1)</f>
        <v/>
      </c>
      <c r="M559" s="138"/>
      <c r="N559" s="138"/>
      <c r="O559" s="13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59" s="139" t="str">
        <f>_xlfn.LET(_xlpm.resultado,_xlfn.XLOOKUP(Libromaestro[[#This Row],[CODIGO DEL DOCUMENTO]],Arreglo_Binaps[Codigo Documento],Arreglo_Binaps[Fecha_Aprobacion],"",0,1),IF(_xlpm.resultado=0,"",_xlpm.resultado))</f>
        <v/>
      </c>
      <c r="Q559" s="182"/>
      <c r="R559" s="141"/>
      <c r="S559" s="142"/>
      <c r="T559" s="143"/>
    </row>
    <row r="560" spans="1:20" ht="33.75" customHeight="1" x14ac:dyDescent="0.3">
      <c r="A560" s="60" t="str">
        <f>IFERROR(VLOOKUP(Libromaestro[[#This Row],[MACROPROCESO]],Tabla1[],2,FALSE),"")</f>
        <v>Corportativa</v>
      </c>
      <c r="B560" s="146" t="s">
        <v>32</v>
      </c>
      <c r="C560" s="149" t="s">
        <v>51</v>
      </c>
      <c r="D560" s="137" t="s">
        <v>22</v>
      </c>
      <c r="E560" s="13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560" s="13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560" s="137">
        <v>5</v>
      </c>
      <c r="H560" s="137" t="str">
        <f>_xlfn.CONCAT(Libromaestro[[#This Row],[SIGLAS]],"-",Libromaestro[[#This Row],[T. DOC]],"-",Libromaestro[[#This Row],[CONSECUTIVO]])</f>
        <v>H-GU-5</v>
      </c>
      <c r="I560" s="150" t="s">
        <v>2220</v>
      </c>
      <c r="J560" s="137">
        <v>1</v>
      </c>
      <c r="K560" s="64" t="str">
        <f>_xlfn.XLOOKUP(Libromaestro[[#This Row],[CODIGO DEL DOCUMENTO]],Arreglo_Binaps[Codigo Documento],Arreglo_Binaps[Estado],"No creado",0)</f>
        <v>Aprobado</v>
      </c>
      <c r="L560" s="66" t="str">
        <f>_xlfn.XLOOKUP(Libromaestro[[#This Row],[CODIGO DEL DOCUMENTO]],Arreglo_Binaps[Codigo Documento],Arreglo_Binaps[Fecha de creación],"",0,1)</f>
        <v>2026-02-20</v>
      </c>
      <c r="M560" s="138"/>
      <c r="N560" s="138"/>
      <c r="O560" s="139">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47169</v>
      </c>
      <c r="P560" s="139">
        <f>_xlfn.LET(_xlpm.resultado,_xlfn.XLOOKUP(Libromaestro[[#This Row],[CODIGO DEL DOCUMENTO]],Arreglo_Binaps[Codigo Documento],Arreglo_Binaps[Fecha_Aprobacion],"",0,1),IF(_xlpm.resultado=0,"",_xlpm.resultado))</f>
        <v>46093</v>
      </c>
      <c r="Q560" s="182"/>
      <c r="R560" s="141"/>
      <c r="S560" s="142"/>
      <c r="T560" s="143"/>
    </row>
    <row r="561" spans="1:20" ht="33.75" customHeight="1" x14ac:dyDescent="0.3">
      <c r="A561" s="60" t="str">
        <f>IFERROR(VLOOKUP(Libromaestro[[#This Row],[MACROPROCESO]],Tabla1[],2,FALSE),"")</f>
        <v>Corportativa</v>
      </c>
      <c r="B561" s="146" t="s">
        <v>32</v>
      </c>
      <c r="C561" s="149" t="s">
        <v>51</v>
      </c>
      <c r="D561" s="149" t="s">
        <v>22</v>
      </c>
      <c r="E561" s="13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561" s="13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561" s="137">
        <v>6</v>
      </c>
      <c r="H561" s="137" t="str">
        <f>_xlfn.CONCAT(Libromaestro[[#This Row],[SIGLAS]],"-",Libromaestro[[#This Row],[T. DOC]],"-",Libromaestro[[#This Row],[CONSECUTIVO]])</f>
        <v>H-GU-6</v>
      </c>
      <c r="I561" s="150" t="s">
        <v>2219</v>
      </c>
      <c r="J561" s="137">
        <v>1</v>
      </c>
      <c r="K561" s="64" t="str">
        <f>_xlfn.XLOOKUP(Libromaestro[[#This Row],[CODIGO DEL DOCUMENTO]],Arreglo_Binaps[Codigo Documento],Arreglo_Binaps[Estado],"No creado",0)</f>
        <v>Aprobado</v>
      </c>
      <c r="L561" s="66" t="str">
        <f>_xlfn.XLOOKUP(Libromaestro[[#This Row],[CODIGO DEL DOCUMENTO]],Arreglo_Binaps[Codigo Documento],Arreglo_Binaps[Fecha de creación],"",0,1)</f>
        <v>2026-02-20</v>
      </c>
      <c r="M561" s="138"/>
      <c r="N561" s="138"/>
      <c r="O561" s="139">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47169</v>
      </c>
      <c r="P561" s="139">
        <f>_xlfn.LET(_xlpm.resultado,_xlfn.XLOOKUP(Libromaestro[[#This Row],[CODIGO DEL DOCUMENTO]],Arreglo_Binaps[Codigo Documento],Arreglo_Binaps[Fecha_Aprobacion],"",0,1),IF(_xlpm.resultado=0,"",_xlpm.resultado))</f>
        <v>46093</v>
      </c>
      <c r="Q561" s="182"/>
      <c r="R561" s="141"/>
      <c r="S561" s="142"/>
      <c r="T561" s="143"/>
    </row>
    <row r="562" spans="1:20" ht="33.75" customHeight="1" x14ac:dyDescent="0.3">
      <c r="A562" s="60" t="str">
        <f>IFERROR(VLOOKUP(Libromaestro[[#This Row],[MACROPROCESO]],Tabla1[],2,FALSE),"")</f>
        <v>Corportativa</v>
      </c>
      <c r="B562" s="146" t="s">
        <v>32</v>
      </c>
      <c r="C562" s="149" t="s">
        <v>51</v>
      </c>
      <c r="D562" s="149" t="s">
        <v>22</v>
      </c>
      <c r="E562" s="13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562" s="13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562" s="137">
        <v>7</v>
      </c>
      <c r="H562" s="137" t="str">
        <f>_xlfn.CONCAT(Libromaestro[[#This Row],[SIGLAS]],"-",Libromaestro[[#This Row],[T. DOC]],"-",Libromaestro[[#This Row],[CONSECUTIVO]])</f>
        <v>H-GU-7</v>
      </c>
      <c r="I562" s="151" t="s">
        <v>2228</v>
      </c>
      <c r="J562" s="137">
        <v>1</v>
      </c>
      <c r="K562" s="64" t="str">
        <f>_xlfn.XLOOKUP(Libromaestro[[#This Row],[CODIGO DEL DOCUMENTO]],Arreglo_Binaps[Codigo Documento],Arreglo_Binaps[Estado],"No creado",0)</f>
        <v>En aprobacion</v>
      </c>
      <c r="L562" s="66" t="str">
        <f>_xlfn.XLOOKUP(Libromaestro[[#This Row],[CODIGO DEL DOCUMENTO]],Arreglo_Binaps[Codigo Documento],Arreglo_Binaps[Fecha de creación],"",0,1)</f>
        <v>2026-04-15</v>
      </c>
      <c r="M562" s="138"/>
      <c r="N562" s="138"/>
      <c r="O562" s="139">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47223</v>
      </c>
      <c r="P562" s="139" t="str">
        <f>_xlfn.LET(_xlpm.resultado,_xlfn.XLOOKUP(Libromaestro[[#This Row],[CODIGO DEL DOCUMENTO]],Arreglo_Binaps[Codigo Documento],Arreglo_Binaps[Fecha_Aprobacion],"",0,1),IF(_xlpm.resultado=0,"",_xlpm.resultado))</f>
        <v/>
      </c>
      <c r="Q562" s="182"/>
      <c r="R562" s="141"/>
      <c r="S562" s="142"/>
      <c r="T562" s="143"/>
    </row>
    <row r="563" spans="1:20" ht="33.75" customHeight="1" x14ac:dyDescent="0.3">
      <c r="A563" s="152" t="str">
        <f>IFERROR(VLOOKUP(Libromaestro[[#This Row],[MACROPROCESO]],Tabla1[],2,FALSE),"")</f>
        <v>Corportativa</v>
      </c>
      <c r="B563" s="146" t="s">
        <v>32</v>
      </c>
      <c r="C563" s="149" t="s">
        <v>51</v>
      </c>
      <c r="D563" s="149" t="s">
        <v>22</v>
      </c>
      <c r="E563" s="13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563" s="13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563" s="152">
        <v>8</v>
      </c>
      <c r="H563" s="152" t="str">
        <f>_xlfn.CONCAT(Libromaestro[[#This Row],[SIGLAS]],"-",Libromaestro[[#This Row],[T. DOC]],"-",Libromaestro[[#This Row],[CONSECUTIVO]])</f>
        <v>H-GU-8</v>
      </c>
      <c r="I563" s="158" t="s">
        <v>2229</v>
      </c>
      <c r="J563" s="152">
        <v>1</v>
      </c>
      <c r="K563" s="64" t="str">
        <f>_xlfn.XLOOKUP(Libromaestro[[#This Row],[CODIGO DEL DOCUMENTO]],Arreglo_Binaps[Codigo Documento],Arreglo_Binaps[Estado],"No creado",0)</f>
        <v>No creado</v>
      </c>
      <c r="L563" s="66" t="str">
        <f>_xlfn.XLOOKUP(Libromaestro[[#This Row],[CODIGO DEL DOCUMENTO]],Arreglo_Binaps[Codigo Documento],Arreglo_Binaps[Fecha de creación],"",0,1)</f>
        <v/>
      </c>
      <c r="M563" s="153"/>
      <c r="N563" s="153"/>
      <c r="O563"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63" s="154" t="str">
        <f>_xlfn.LET(_xlpm.resultado,_xlfn.XLOOKUP(Libromaestro[[#This Row],[CODIGO DEL DOCUMENTO]],Arreglo_Binaps[Codigo Documento],Arreglo_Binaps[Fecha_Aprobacion],"",0,1),IF(_xlpm.resultado=0,"",_xlpm.resultado))</f>
        <v/>
      </c>
      <c r="Q563" s="183"/>
      <c r="R563" s="155"/>
      <c r="S563" s="156"/>
      <c r="T563" s="157"/>
    </row>
    <row r="564" spans="1:20" ht="33.75" customHeight="1" x14ac:dyDescent="0.3">
      <c r="A564" s="152" t="str">
        <f>IFERROR(VLOOKUP(Libromaestro[[#This Row],[MACROPROCESO]],Tabla1[],2,FALSE),"")</f>
        <v>Corportativa</v>
      </c>
      <c r="B564" s="146" t="s">
        <v>32</v>
      </c>
      <c r="C564" s="149" t="s">
        <v>51</v>
      </c>
      <c r="D564" s="152" t="s">
        <v>22</v>
      </c>
      <c r="E564"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564"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564" s="152">
        <v>9</v>
      </c>
      <c r="H564" s="152" t="str">
        <f>_xlfn.CONCAT(Libromaestro[[#This Row],[SIGLAS]],"-",Libromaestro[[#This Row],[T. DOC]],"-",Libromaestro[[#This Row],[CONSECUTIVO]])</f>
        <v>H-GU-9</v>
      </c>
      <c r="I564" s="150" t="s">
        <v>2218</v>
      </c>
      <c r="J564" s="152">
        <v>1</v>
      </c>
      <c r="K564" s="64" t="str">
        <f>_xlfn.XLOOKUP(Libromaestro[[#This Row],[CODIGO DEL DOCUMENTO]],Arreglo_Binaps[Codigo Documento],Arreglo_Binaps[Estado],"No creado",0)</f>
        <v>No creado</v>
      </c>
      <c r="L564" s="66" t="str">
        <f>_xlfn.XLOOKUP(Libromaestro[[#This Row],[CODIGO DEL DOCUMENTO]],Arreglo_Binaps[Codigo Documento],Arreglo_Binaps[Fecha de creación],"",0,1)</f>
        <v/>
      </c>
      <c r="M564" s="153"/>
      <c r="N564" s="153"/>
      <c r="O564"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64" s="154" t="str">
        <f>_xlfn.LET(_xlpm.resultado,_xlfn.XLOOKUP(Libromaestro[[#This Row],[CODIGO DEL DOCUMENTO]],Arreglo_Binaps[Codigo Documento],Arreglo_Binaps[Fecha_Aprobacion],"",0,1),IF(_xlpm.resultado=0,"",_xlpm.resultado))</f>
        <v/>
      </c>
      <c r="Q564" s="183"/>
      <c r="R564" s="155"/>
      <c r="S564" s="156"/>
      <c r="T564" s="157"/>
    </row>
    <row r="565" spans="1:20" ht="33.75" customHeight="1" x14ac:dyDescent="0.3">
      <c r="A565" s="159" t="str">
        <f>IFERROR(VLOOKUP(Libromaestro[[#This Row],[MACROPROCESO]],Tabla1[],2,FALSE),"")</f>
        <v>Alumbrado Público</v>
      </c>
      <c r="B565" s="151" t="s">
        <v>634</v>
      </c>
      <c r="C565" s="149" t="s">
        <v>61</v>
      </c>
      <c r="D565" s="159" t="s">
        <v>16</v>
      </c>
      <c r="E565"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565"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65" s="159">
        <v>35</v>
      </c>
      <c r="H565" s="152" t="str">
        <f>_xlfn.CONCAT(Libromaestro[[#This Row],[SIGLAS]],"-",Libromaestro[[#This Row],[T. DOC]],"-",Libromaestro[[#This Row],[CONSECUTIVO]])</f>
        <v>A-FT-35</v>
      </c>
      <c r="I565" s="151" t="s">
        <v>818</v>
      </c>
      <c r="J565" s="159">
        <v>1</v>
      </c>
      <c r="K565" s="64" t="str">
        <f>_xlfn.XLOOKUP(Libromaestro[[#This Row],[CODIGO DEL DOCUMENTO]],Arreglo_Binaps[Codigo Documento],Arreglo_Binaps[Estado],"No creado",0)</f>
        <v>Aprobado</v>
      </c>
      <c r="L565" s="66" t="str">
        <f>_xlfn.XLOOKUP(Libromaestro[[#This Row],[CODIGO DEL DOCUMENTO]],Arreglo_Binaps[Codigo Documento],Arreglo_Binaps[Fecha de creación],"",0,1)</f>
        <v>2025-11-21</v>
      </c>
      <c r="M565" s="153"/>
      <c r="N565" s="153"/>
      <c r="O565" s="154">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47078</v>
      </c>
      <c r="P565" s="162">
        <f>_xlfn.LET(_xlpm.resultado,_xlfn.XLOOKUP(Libromaestro[[#This Row],[CODIGO DEL DOCUMENTO]],Arreglo_Binaps[Codigo Documento],Arreglo_Binaps[Fecha_Aprobacion],"",0,1),IF(_xlpm.resultado=0,"",_xlpm.resultado))</f>
        <v>45982</v>
      </c>
      <c r="Q565" s="184"/>
      <c r="R565" s="163"/>
      <c r="S565" s="164"/>
      <c r="T565" s="165"/>
    </row>
    <row r="566" spans="1:20" ht="33.75" customHeight="1" x14ac:dyDescent="0.3">
      <c r="A566" s="152" t="str">
        <f>IFERROR(VLOOKUP(Libromaestro[[#This Row],[MACROPROCESO]],Tabla1[],2,FALSE),"")</f>
        <v>Alumbrado Público</v>
      </c>
      <c r="B566" s="150" t="s">
        <v>634</v>
      </c>
      <c r="C566" s="149" t="s">
        <v>61</v>
      </c>
      <c r="D566" s="152" t="s">
        <v>16</v>
      </c>
      <c r="E566" s="1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566" s="1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66" s="152">
        <v>37</v>
      </c>
      <c r="H566" s="160" t="str">
        <f>_xlfn.CONCAT(Libromaestro[[#This Row],[SIGLAS]],"-",Libromaestro[[#This Row],[T. DOC]],"-",Libromaestro[[#This Row],[CONSECUTIVO]])</f>
        <v>A-FT-37</v>
      </c>
      <c r="I566" s="150" t="s">
        <v>1027</v>
      </c>
      <c r="J566" s="152">
        <v>1</v>
      </c>
      <c r="K566" s="64" t="str">
        <f>_xlfn.XLOOKUP(Libromaestro[[#This Row],[CODIGO DEL DOCUMENTO]],Arreglo_Binaps[Codigo Documento],Arreglo_Binaps[Estado],"No creado",0)</f>
        <v>Aprobado</v>
      </c>
      <c r="L566" s="66" t="str">
        <f>_xlfn.XLOOKUP(Libromaestro[[#This Row],[CODIGO DEL DOCUMENTO]],Arreglo_Binaps[Codigo Documento],Arreglo_Binaps[Fecha de creación],"",0,1)</f>
        <v>2025-11-21</v>
      </c>
      <c r="M566" s="153"/>
      <c r="N566" s="153"/>
      <c r="O566" s="161">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47078</v>
      </c>
      <c r="P566" s="154">
        <f>_xlfn.LET(_xlpm.resultado,_xlfn.XLOOKUP(Libromaestro[[#This Row],[CODIGO DEL DOCUMENTO]],Arreglo_Binaps[Codigo Documento],Arreglo_Binaps[Fecha_Aprobacion],"",0,1),IF(_xlpm.resultado=0,"",_xlpm.resultado))</f>
        <v>45982</v>
      </c>
      <c r="Q566" s="183"/>
      <c r="R566" s="155"/>
      <c r="S566" s="156"/>
      <c r="T566" s="157"/>
    </row>
    <row r="567" spans="1:20" ht="33.75" customHeight="1" x14ac:dyDescent="0.3">
      <c r="A567" s="152" t="str">
        <f>IFERROR(VLOOKUP(Libromaestro[[#This Row],[MACROPROCESO]],Tabla1[],2,FALSE),"")</f>
        <v>Corportativa</v>
      </c>
      <c r="B567" s="150" t="s">
        <v>38</v>
      </c>
      <c r="C567" s="152" t="s">
        <v>26</v>
      </c>
      <c r="D567" s="152" t="s">
        <v>16</v>
      </c>
      <c r="E567"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M</v>
      </c>
      <c r="F567"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67" s="152">
        <v>4</v>
      </c>
      <c r="H567" s="152" t="str">
        <f>_xlfn.CONCAT(Libromaestro[[#This Row],[SIGLAS]],"-",Libromaestro[[#This Row],[T. DOC]],"-",Libromaestro[[#This Row],[CONSECUTIVO]])</f>
        <v>M-FT-4</v>
      </c>
      <c r="I567" s="150" t="s">
        <v>1125</v>
      </c>
      <c r="J567" s="152">
        <v>1</v>
      </c>
      <c r="K567" s="64" t="str">
        <f>_xlfn.XLOOKUP(Libromaestro[[#This Row],[CODIGO DEL DOCUMENTO]],Arreglo_Binaps[Codigo Documento],Arreglo_Binaps[Estado],"No creado",0)</f>
        <v>Aprobado</v>
      </c>
      <c r="L567" s="66" t="str">
        <f>_xlfn.XLOOKUP(Libromaestro[[#This Row],[CODIGO DEL DOCUMENTO]],Arreglo_Binaps[Codigo Documento],Arreglo_Binaps[Fecha de creación],"",0,1)</f>
        <v>2019-12-26</v>
      </c>
      <c r="M567" s="153"/>
      <c r="N567" s="153"/>
      <c r="O567" s="154">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44921</v>
      </c>
      <c r="P567" s="154">
        <f>_xlfn.LET(_xlpm.resultado,_xlfn.XLOOKUP(Libromaestro[[#This Row],[CODIGO DEL DOCUMENTO]],Arreglo_Binaps[Codigo Documento],Arreglo_Binaps[Fecha_Aprobacion],"",0,1),IF(_xlpm.resultado=0,"",_xlpm.resultado))</f>
        <v>45246</v>
      </c>
      <c r="Q567" s="183"/>
      <c r="R567" s="155"/>
      <c r="S567" s="156"/>
      <c r="T567" s="157"/>
    </row>
    <row r="568" spans="1:20" ht="33.75" customHeight="1" x14ac:dyDescent="0.3">
      <c r="A568" s="152" t="str">
        <f>IFERROR(VLOOKUP(Libromaestro[[#This Row],[MACROPROCESO]],Tabla1[],2,FALSE),"")</f>
        <v>Alumbrado Público</v>
      </c>
      <c r="B568" s="150" t="s">
        <v>7</v>
      </c>
      <c r="C568" s="152" t="s">
        <v>61</v>
      </c>
      <c r="D568" s="152" t="s">
        <v>16</v>
      </c>
      <c r="E568"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568"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68" s="152">
        <v>34</v>
      </c>
      <c r="H568" s="152" t="str">
        <f>_xlfn.CONCAT(Libromaestro[[#This Row],[SIGLAS]],"-",Libromaestro[[#This Row],[T. DOC]],"-",Libromaestro[[#This Row],[CONSECUTIVO]])</f>
        <v>A-FT-34</v>
      </c>
      <c r="I568" s="150" t="s">
        <v>666</v>
      </c>
      <c r="J568" s="152">
        <v>1</v>
      </c>
      <c r="K568" s="64" t="str">
        <f>_xlfn.XLOOKUP(Libromaestro[[#This Row],[CODIGO DEL DOCUMENTO]],Arreglo_Binaps[Codigo Documento],Arreglo_Binaps[Estado],"No creado",0)</f>
        <v>Aprobado</v>
      </c>
      <c r="L568" s="66" t="str">
        <f>_xlfn.XLOOKUP(Libromaestro[[#This Row],[CODIGO DEL DOCUMENTO]],Arreglo_Binaps[Codigo Documento],Arreglo_Binaps[Fecha de creación],"",0,1)</f>
        <v>2023-05-05</v>
      </c>
      <c r="M568" s="153"/>
      <c r="N568" s="153"/>
      <c r="O568" s="154">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46147</v>
      </c>
      <c r="P568" s="154" t="str">
        <f>_xlfn.LET(_xlpm.resultado,_xlfn.XLOOKUP(Libromaestro[[#This Row],[CODIGO DEL DOCUMENTO]],Arreglo_Binaps[Codigo Documento],Arreglo_Binaps[Fecha_Aprobacion],"",0,1),IF(_xlpm.resultado=0,"",_xlpm.resultado))</f>
        <v/>
      </c>
      <c r="Q568" s="183"/>
      <c r="R568" s="155"/>
      <c r="S568" s="156"/>
      <c r="T568" s="157"/>
    </row>
    <row r="569" spans="1:20" ht="33.75" customHeight="1" x14ac:dyDescent="0.3">
      <c r="A569" s="152" t="str">
        <f>IFERROR(VLOOKUP(Libromaestro[[#This Row],[MACROPROCESO]],Tabla1[],2,FALSE),"")</f>
        <v>Alumbrado Público</v>
      </c>
      <c r="B569" s="150" t="s">
        <v>7</v>
      </c>
      <c r="C569" s="152" t="s">
        <v>61</v>
      </c>
      <c r="D569" s="152" t="s">
        <v>16</v>
      </c>
      <c r="E569"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569"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69" s="152">
        <v>36</v>
      </c>
      <c r="H569" s="152" t="str">
        <f>_xlfn.CONCAT(Libromaestro[[#This Row],[SIGLAS]],"-",Libromaestro[[#This Row],[T. DOC]],"-",Libromaestro[[#This Row],[CONSECUTIVO]])</f>
        <v>A-FT-36</v>
      </c>
      <c r="I569" s="150" t="s">
        <v>991</v>
      </c>
      <c r="J569" s="152">
        <v>1</v>
      </c>
      <c r="K569" s="64" t="str">
        <f>_xlfn.XLOOKUP(Libromaestro[[#This Row],[CODIGO DEL DOCUMENTO]],Arreglo_Binaps[Codigo Documento],Arreglo_Binaps[Estado],"No creado",0)</f>
        <v>Aprobado</v>
      </c>
      <c r="L569" s="66" t="str">
        <f>_xlfn.XLOOKUP(Libromaestro[[#This Row],[CODIGO DEL DOCUMENTO]],Arreglo_Binaps[Codigo Documento],Arreglo_Binaps[Fecha de creación],"",0,1)</f>
        <v>2025-11-21</v>
      </c>
      <c r="M569" s="153"/>
      <c r="N569" s="153"/>
      <c r="O569" s="154">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47078</v>
      </c>
      <c r="P569" s="154">
        <f>_xlfn.LET(_xlpm.resultado,_xlfn.XLOOKUP(Libromaestro[[#This Row],[CODIGO DEL DOCUMENTO]],Arreglo_Binaps[Codigo Documento],Arreglo_Binaps[Fecha_Aprobacion],"",0,1),IF(_xlpm.resultado=0,"",_xlpm.resultado))</f>
        <v>45982</v>
      </c>
      <c r="Q569" s="183"/>
      <c r="R569" s="155"/>
      <c r="S569" s="156"/>
      <c r="T569" s="157"/>
    </row>
    <row r="570" spans="1:20" ht="33.75" customHeight="1" x14ac:dyDescent="0.3">
      <c r="A570" s="152" t="str">
        <f>IFERROR(VLOOKUP(Libromaestro[[#This Row],[MACROPROCESO]],Tabla1[],2,FALSE),"")</f>
        <v>Corportativa</v>
      </c>
      <c r="B570" s="150" t="s">
        <v>24</v>
      </c>
      <c r="C570" s="64" t="s">
        <v>2252</v>
      </c>
      <c r="D570" s="152" t="s">
        <v>34</v>
      </c>
      <c r="E570"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570"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70" s="152"/>
      <c r="H570" s="152" t="str">
        <f>_xlfn.CONCAT(Libromaestro[[#This Row],[SIGLAS]],"-",Libromaestro[[#This Row],[T. DOC]],"-",Libromaestro[[#This Row],[CONSECUTIVO]])</f>
        <v>F-PR-</v>
      </c>
      <c r="I570" s="150" t="s">
        <v>2231</v>
      </c>
      <c r="J570" s="152"/>
      <c r="K570" s="64" t="str">
        <f>_xlfn.XLOOKUP(Libromaestro[[#This Row],[CODIGO DEL DOCUMENTO]],Arreglo_Binaps[Codigo Documento],Arreglo_Binaps[Estado],"No creado",0)</f>
        <v>No creado</v>
      </c>
      <c r="L570" s="66" t="str">
        <f>_xlfn.XLOOKUP(Libromaestro[[#This Row],[CODIGO DEL DOCUMENTO]],Arreglo_Binaps[Codigo Documento],Arreglo_Binaps[Fecha de creación],"",0,1)</f>
        <v/>
      </c>
      <c r="M570" s="153"/>
      <c r="N570" s="153"/>
      <c r="O570"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70" s="154" t="str">
        <f>_xlfn.LET(_xlpm.resultado,_xlfn.XLOOKUP(Libromaestro[[#This Row],[CODIGO DEL DOCUMENTO]],Arreglo_Binaps[Codigo Documento],Arreglo_Binaps[Fecha_Aprobacion],"",0,1),IF(_xlpm.resultado=0,"",_xlpm.resultado))</f>
        <v/>
      </c>
      <c r="Q570" s="183"/>
      <c r="R570" s="155"/>
      <c r="S570" s="156"/>
      <c r="T570" s="157"/>
    </row>
    <row r="571" spans="1:20" ht="33.75" customHeight="1" x14ac:dyDescent="0.3">
      <c r="A571" s="152" t="str">
        <f>IFERROR(VLOOKUP(Libromaestro[[#This Row],[MACROPROCESO]],Tabla1[],2,FALSE),"")</f>
        <v>Corportativa</v>
      </c>
      <c r="B571" s="150" t="s">
        <v>24</v>
      </c>
      <c r="C571" s="64" t="s">
        <v>2252</v>
      </c>
      <c r="D571" s="152" t="s">
        <v>22</v>
      </c>
      <c r="E571"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571"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571" s="152"/>
      <c r="H571" s="152" t="str">
        <f>_xlfn.CONCAT(Libromaestro[[#This Row],[SIGLAS]],"-",Libromaestro[[#This Row],[T. DOC]],"-",Libromaestro[[#This Row],[CONSECUTIVO]])</f>
        <v>F-GU-</v>
      </c>
      <c r="I571" s="150" t="s">
        <v>2232</v>
      </c>
      <c r="J571" s="152"/>
      <c r="K571" s="64" t="str">
        <f>_xlfn.XLOOKUP(Libromaestro[[#This Row],[CODIGO DEL DOCUMENTO]],Arreglo_Binaps[Codigo Documento],Arreglo_Binaps[Estado],"No creado",0)</f>
        <v>No creado</v>
      </c>
      <c r="L571" s="66" t="str">
        <f>_xlfn.XLOOKUP(Libromaestro[[#This Row],[CODIGO DEL DOCUMENTO]],Arreglo_Binaps[Codigo Documento],Arreglo_Binaps[Fecha de creación],"",0,1)</f>
        <v/>
      </c>
      <c r="M571" s="153"/>
      <c r="N571" s="153"/>
      <c r="O571"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71" s="154" t="str">
        <f>_xlfn.LET(_xlpm.resultado,_xlfn.XLOOKUP(Libromaestro[[#This Row],[CODIGO DEL DOCUMENTO]],Arreglo_Binaps[Codigo Documento],Arreglo_Binaps[Fecha_Aprobacion],"",0,1),IF(_xlpm.resultado=0,"",_xlpm.resultado))</f>
        <v/>
      </c>
      <c r="Q571" s="183"/>
      <c r="R571" s="155"/>
      <c r="S571" s="156"/>
      <c r="T571" s="157"/>
    </row>
    <row r="572" spans="1:20" ht="33.75" customHeight="1" x14ac:dyDescent="0.3">
      <c r="A572" s="152" t="str">
        <f>IFERROR(VLOOKUP(Libromaestro[[#This Row],[MACROPROCESO]],Tabla1[],2,FALSE),"")</f>
        <v>Corportativa</v>
      </c>
      <c r="B572" s="150" t="s">
        <v>24</v>
      </c>
      <c r="C572" s="64" t="s">
        <v>2252</v>
      </c>
      <c r="D572" s="152" t="s">
        <v>16</v>
      </c>
      <c r="E572"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572"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72" s="152"/>
      <c r="H572" s="152" t="str">
        <f>_xlfn.CONCAT(Libromaestro[[#This Row],[SIGLAS]],"-",Libromaestro[[#This Row],[T. DOC]],"-",Libromaestro[[#This Row],[CONSECUTIVO]])</f>
        <v>F-FT-</v>
      </c>
      <c r="I572" s="150" t="s">
        <v>2233</v>
      </c>
      <c r="J572" s="152"/>
      <c r="K572" s="64" t="str">
        <f>_xlfn.XLOOKUP(Libromaestro[[#This Row],[CODIGO DEL DOCUMENTO]],Arreglo_Binaps[Codigo Documento],Arreglo_Binaps[Estado],"No creado",0)</f>
        <v>No creado</v>
      </c>
      <c r="L572" s="66" t="str">
        <f>_xlfn.XLOOKUP(Libromaestro[[#This Row],[CODIGO DEL DOCUMENTO]],Arreglo_Binaps[Codigo Documento],Arreglo_Binaps[Fecha de creación],"",0,1)</f>
        <v/>
      </c>
      <c r="M572" s="153"/>
      <c r="N572" s="153"/>
      <c r="O572"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72" s="154" t="str">
        <f>_xlfn.LET(_xlpm.resultado,_xlfn.XLOOKUP(Libromaestro[[#This Row],[CODIGO DEL DOCUMENTO]],Arreglo_Binaps[Codigo Documento],Arreglo_Binaps[Fecha_Aprobacion],"",0,1),IF(_xlpm.resultado=0,"",_xlpm.resultado))</f>
        <v/>
      </c>
      <c r="Q572" s="183"/>
      <c r="R572" s="155"/>
      <c r="S572" s="156"/>
      <c r="T572" s="157"/>
    </row>
    <row r="573" spans="1:20" ht="33.75" customHeight="1" x14ac:dyDescent="0.3">
      <c r="A573" s="152" t="str">
        <f>IFERROR(VLOOKUP(Libromaestro[[#This Row],[MACROPROCESO]],Tabla1[],2,FALSE),"")</f>
        <v>Corportativa</v>
      </c>
      <c r="B573" s="150" t="s">
        <v>24</v>
      </c>
      <c r="C573" s="64" t="s">
        <v>2252</v>
      </c>
      <c r="D573" s="152" t="s">
        <v>22</v>
      </c>
      <c r="E573"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573"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573" s="152"/>
      <c r="H573" s="152" t="str">
        <f>_xlfn.CONCAT(Libromaestro[[#This Row],[SIGLAS]],"-",Libromaestro[[#This Row],[T. DOC]],"-",Libromaestro[[#This Row],[CONSECUTIVO]])</f>
        <v>F-GU-</v>
      </c>
      <c r="I573" s="150" t="s">
        <v>2234</v>
      </c>
      <c r="J573" s="152"/>
      <c r="K573" s="64" t="str">
        <f>_xlfn.XLOOKUP(Libromaestro[[#This Row],[CODIGO DEL DOCUMENTO]],Arreglo_Binaps[Codigo Documento],Arreglo_Binaps[Estado],"No creado",0)</f>
        <v>No creado</v>
      </c>
      <c r="L573" s="66" t="str">
        <f>_xlfn.XLOOKUP(Libromaestro[[#This Row],[CODIGO DEL DOCUMENTO]],Arreglo_Binaps[Codigo Documento],Arreglo_Binaps[Fecha de creación],"",0,1)</f>
        <v/>
      </c>
      <c r="M573" s="153"/>
      <c r="N573" s="153"/>
      <c r="O573"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73" s="154" t="str">
        <f>_xlfn.LET(_xlpm.resultado,_xlfn.XLOOKUP(Libromaestro[[#This Row],[CODIGO DEL DOCUMENTO]],Arreglo_Binaps[Codigo Documento],Arreglo_Binaps[Fecha_Aprobacion],"",0,1),IF(_xlpm.resultado=0,"",_xlpm.resultado))</f>
        <v/>
      </c>
      <c r="Q573" s="183"/>
      <c r="R573" s="155"/>
      <c r="S573" s="156"/>
      <c r="T573" s="157"/>
    </row>
    <row r="574" spans="1:20" ht="33.75" customHeight="1" x14ac:dyDescent="0.3">
      <c r="A574" s="152" t="str">
        <f>IFERROR(VLOOKUP(Libromaestro[[#This Row],[MACROPROCESO]],Tabla1[],2,FALSE),"")</f>
        <v>Corportativa</v>
      </c>
      <c r="B574" s="150" t="s">
        <v>24</v>
      </c>
      <c r="C574" s="64" t="s">
        <v>2252</v>
      </c>
      <c r="D574" s="152" t="s">
        <v>37</v>
      </c>
      <c r="E574"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574"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574" s="152"/>
      <c r="H574" s="152" t="str">
        <f>_xlfn.CONCAT(Libromaestro[[#This Row],[SIGLAS]],"-",Libromaestro[[#This Row],[T. DOC]],"-",Libromaestro[[#This Row],[CONSECUTIVO]])</f>
        <v>F-PO-</v>
      </c>
      <c r="I574" s="150" t="s">
        <v>2244</v>
      </c>
      <c r="J574" s="152"/>
      <c r="K574" s="64" t="str">
        <f>_xlfn.XLOOKUP(Libromaestro[[#This Row],[CODIGO DEL DOCUMENTO]],Arreglo_Binaps[Codigo Documento],Arreglo_Binaps[Estado],"No creado",0)</f>
        <v>No creado</v>
      </c>
      <c r="L574" s="66" t="str">
        <f>_xlfn.XLOOKUP(Libromaestro[[#This Row],[CODIGO DEL DOCUMENTO]],Arreglo_Binaps[Codigo Documento],Arreglo_Binaps[Fecha de creación],"",0,1)</f>
        <v/>
      </c>
      <c r="M574" s="153"/>
      <c r="N574" s="153"/>
      <c r="O574"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74" s="154" t="str">
        <f>_xlfn.LET(_xlpm.resultado,_xlfn.XLOOKUP(Libromaestro[[#This Row],[CODIGO DEL DOCUMENTO]],Arreglo_Binaps[Codigo Documento],Arreglo_Binaps[Fecha_Aprobacion],"",0,1),IF(_xlpm.resultado=0,"",_xlpm.resultado))</f>
        <v/>
      </c>
      <c r="Q574" s="183"/>
      <c r="R574" s="155"/>
      <c r="S574" s="156"/>
      <c r="T574" s="157"/>
    </row>
    <row r="575" spans="1:20" ht="33.75" customHeight="1" x14ac:dyDescent="0.3">
      <c r="A575" s="152" t="str">
        <f>IFERROR(VLOOKUP(Libromaestro[[#This Row],[MACROPROCESO]],Tabla1[],2,FALSE),"")</f>
        <v>Corportativa</v>
      </c>
      <c r="B575" s="150" t="s">
        <v>24</v>
      </c>
      <c r="C575" s="64" t="s">
        <v>2252</v>
      </c>
      <c r="D575" s="152" t="s">
        <v>16</v>
      </c>
      <c r="E575"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575"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75" s="152"/>
      <c r="H575" s="152" t="str">
        <f>_xlfn.CONCAT(Libromaestro[[#This Row],[SIGLAS]],"-",Libromaestro[[#This Row],[T. DOC]],"-",Libromaestro[[#This Row],[CONSECUTIVO]])</f>
        <v>F-FT-</v>
      </c>
      <c r="I575" s="150" t="s">
        <v>2236</v>
      </c>
      <c r="J575" s="152"/>
      <c r="K575" s="64" t="str">
        <f>_xlfn.XLOOKUP(Libromaestro[[#This Row],[CODIGO DEL DOCUMENTO]],Arreglo_Binaps[Codigo Documento],Arreglo_Binaps[Estado],"No creado",0)</f>
        <v>No creado</v>
      </c>
      <c r="L575" s="66" t="str">
        <f>_xlfn.XLOOKUP(Libromaestro[[#This Row],[CODIGO DEL DOCUMENTO]],Arreglo_Binaps[Codigo Documento],Arreglo_Binaps[Fecha de creación],"",0,1)</f>
        <v/>
      </c>
      <c r="M575" s="153"/>
      <c r="N575" s="153"/>
      <c r="O575"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75" s="154" t="str">
        <f>_xlfn.LET(_xlpm.resultado,_xlfn.XLOOKUP(Libromaestro[[#This Row],[CODIGO DEL DOCUMENTO]],Arreglo_Binaps[Codigo Documento],Arreglo_Binaps[Fecha_Aprobacion],"",0,1),IF(_xlpm.resultado=0,"",_xlpm.resultado))</f>
        <v/>
      </c>
      <c r="Q575" s="183"/>
      <c r="R575" s="155"/>
      <c r="S575" s="156"/>
      <c r="T575" s="157"/>
    </row>
    <row r="576" spans="1:20" ht="33.75" customHeight="1" x14ac:dyDescent="0.3">
      <c r="A576" s="152" t="str">
        <f>IFERROR(VLOOKUP(Libromaestro[[#This Row],[MACROPROCESO]],Tabla1[],2,FALSE),"")</f>
        <v>Corportativa</v>
      </c>
      <c r="B576" s="150" t="s">
        <v>24</v>
      </c>
      <c r="C576" s="64" t="s">
        <v>2252</v>
      </c>
      <c r="D576" s="152" t="s">
        <v>16</v>
      </c>
      <c r="E576"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576"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76" s="152"/>
      <c r="H576" s="152" t="str">
        <f>_xlfn.CONCAT(Libromaestro[[#This Row],[SIGLAS]],"-",Libromaestro[[#This Row],[T. DOC]],"-",Libromaestro[[#This Row],[CONSECUTIVO]])</f>
        <v>F-FT-</v>
      </c>
      <c r="I576" s="150" t="s">
        <v>2235</v>
      </c>
      <c r="J576" s="152"/>
      <c r="K576" s="64" t="str">
        <f>_xlfn.XLOOKUP(Libromaestro[[#This Row],[CODIGO DEL DOCUMENTO]],Arreglo_Binaps[Codigo Documento],Arreglo_Binaps[Estado],"No creado",0)</f>
        <v>No creado</v>
      </c>
      <c r="L576" s="66" t="str">
        <f>_xlfn.XLOOKUP(Libromaestro[[#This Row],[CODIGO DEL DOCUMENTO]],Arreglo_Binaps[Codigo Documento],Arreglo_Binaps[Fecha de creación],"",0,1)</f>
        <v/>
      </c>
      <c r="M576" s="153"/>
      <c r="N576" s="153"/>
      <c r="O576"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76" s="154" t="str">
        <f>_xlfn.LET(_xlpm.resultado,_xlfn.XLOOKUP(Libromaestro[[#This Row],[CODIGO DEL DOCUMENTO]],Arreglo_Binaps[Codigo Documento],Arreglo_Binaps[Fecha_Aprobacion],"",0,1),IF(_xlpm.resultado=0,"",_xlpm.resultado))</f>
        <v/>
      </c>
      <c r="Q576" s="183"/>
      <c r="R576" s="155"/>
      <c r="S576" s="156"/>
      <c r="T576" s="157"/>
    </row>
    <row r="577" spans="1:20" ht="33.75" customHeight="1" x14ac:dyDescent="0.3">
      <c r="A577" s="152" t="str">
        <f>IFERROR(VLOOKUP(Libromaestro[[#This Row],[MACROPROCESO]],Tabla1[],2,FALSE),"")</f>
        <v>Corportativa</v>
      </c>
      <c r="B577" s="150" t="s">
        <v>24</v>
      </c>
      <c r="C577" s="64" t="s">
        <v>2252</v>
      </c>
      <c r="D577" s="152" t="s">
        <v>16</v>
      </c>
      <c r="E577"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577"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77" s="152"/>
      <c r="H577" s="152" t="str">
        <f>_xlfn.CONCAT(Libromaestro[[#This Row],[SIGLAS]],"-",Libromaestro[[#This Row],[T. DOC]],"-",Libromaestro[[#This Row],[CONSECUTIVO]])</f>
        <v>F-FT-</v>
      </c>
      <c r="I577" s="150" t="s">
        <v>2237</v>
      </c>
      <c r="J577" s="152"/>
      <c r="K577" s="64" t="str">
        <f>_xlfn.XLOOKUP(Libromaestro[[#This Row],[CODIGO DEL DOCUMENTO]],Arreglo_Binaps[Codigo Documento],Arreglo_Binaps[Estado],"No creado",0)</f>
        <v>No creado</v>
      </c>
      <c r="L577" s="66" t="str">
        <f>_xlfn.XLOOKUP(Libromaestro[[#This Row],[CODIGO DEL DOCUMENTO]],Arreglo_Binaps[Codigo Documento],Arreglo_Binaps[Fecha de creación],"",0,1)</f>
        <v/>
      </c>
      <c r="M577" s="153"/>
      <c r="N577" s="153"/>
      <c r="O577"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77" s="154" t="str">
        <f>_xlfn.LET(_xlpm.resultado,_xlfn.XLOOKUP(Libromaestro[[#This Row],[CODIGO DEL DOCUMENTO]],Arreglo_Binaps[Codigo Documento],Arreglo_Binaps[Fecha_Aprobacion],"",0,1),IF(_xlpm.resultado=0,"",_xlpm.resultado))</f>
        <v/>
      </c>
      <c r="Q577" s="183"/>
      <c r="R577" s="155"/>
      <c r="S577" s="156"/>
      <c r="T577" s="157"/>
    </row>
    <row r="578" spans="1:20" ht="33.75" customHeight="1" x14ac:dyDescent="0.3">
      <c r="A578" s="152" t="str">
        <f>IFERROR(VLOOKUP(Libromaestro[[#This Row],[MACROPROCESO]],Tabla1[],2,FALSE),"")</f>
        <v>Corportativa</v>
      </c>
      <c r="B578" s="150" t="s">
        <v>24</v>
      </c>
      <c r="C578" s="64" t="s">
        <v>2252</v>
      </c>
      <c r="D578" s="152" t="s">
        <v>16</v>
      </c>
      <c r="E578"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578"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78" s="152"/>
      <c r="H578" s="152" t="str">
        <f>_xlfn.CONCAT(Libromaestro[[#This Row],[SIGLAS]],"-",Libromaestro[[#This Row],[T. DOC]],"-",Libromaestro[[#This Row],[CONSECUTIVO]])</f>
        <v>F-FT-</v>
      </c>
      <c r="I578" s="150" t="s">
        <v>2240</v>
      </c>
      <c r="J578" s="152"/>
      <c r="K578" s="64" t="str">
        <f>_xlfn.XLOOKUP(Libromaestro[[#This Row],[CODIGO DEL DOCUMENTO]],Arreglo_Binaps[Codigo Documento],Arreglo_Binaps[Estado],"No creado",0)</f>
        <v>No creado</v>
      </c>
      <c r="L578" s="66" t="str">
        <f>_xlfn.XLOOKUP(Libromaestro[[#This Row],[CODIGO DEL DOCUMENTO]],Arreglo_Binaps[Codigo Documento],Arreglo_Binaps[Fecha de creación],"",0,1)</f>
        <v/>
      </c>
      <c r="M578" s="153"/>
      <c r="N578" s="153"/>
      <c r="O578"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78" s="154" t="str">
        <f>_xlfn.LET(_xlpm.resultado,_xlfn.XLOOKUP(Libromaestro[[#This Row],[CODIGO DEL DOCUMENTO]],Arreglo_Binaps[Codigo Documento],Arreglo_Binaps[Fecha_Aprobacion],"",0,1),IF(_xlpm.resultado=0,"",_xlpm.resultado))</f>
        <v/>
      </c>
      <c r="Q578" s="183"/>
      <c r="R578" s="155"/>
      <c r="S578" s="156"/>
      <c r="T578" s="157"/>
    </row>
    <row r="579" spans="1:20" ht="33.75" customHeight="1" x14ac:dyDescent="0.3">
      <c r="A579" s="152" t="str">
        <f>IFERROR(VLOOKUP(Libromaestro[[#This Row],[MACROPROCESO]],Tabla1[],2,FALSE),"")</f>
        <v>Corportativa</v>
      </c>
      <c r="B579" s="150" t="s">
        <v>24</v>
      </c>
      <c r="C579" s="64" t="s">
        <v>2252</v>
      </c>
      <c r="D579" s="152" t="s">
        <v>16</v>
      </c>
      <c r="E579"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579"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79" s="152"/>
      <c r="H579" s="152" t="str">
        <f>_xlfn.CONCAT(Libromaestro[[#This Row],[SIGLAS]],"-",Libromaestro[[#This Row],[T. DOC]],"-",Libromaestro[[#This Row],[CONSECUTIVO]])</f>
        <v>F-FT-</v>
      </c>
      <c r="I579" s="150" t="s">
        <v>2238</v>
      </c>
      <c r="J579" s="152"/>
      <c r="K579" s="64" t="str">
        <f>_xlfn.XLOOKUP(Libromaestro[[#This Row],[CODIGO DEL DOCUMENTO]],Arreglo_Binaps[Codigo Documento],Arreglo_Binaps[Estado],"No creado",0)</f>
        <v>No creado</v>
      </c>
      <c r="L579" s="66" t="str">
        <f>_xlfn.XLOOKUP(Libromaestro[[#This Row],[CODIGO DEL DOCUMENTO]],Arreglo_Binaps[Codigo Documento],Arreglo_Binaps[Fecha de creación],"",0,1)</f>
        <v/>
      </c>
      <c r="M579" s="153"/>
      <c r="N579" s="153"/>
      <c r="O579"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79" s="154" t="str">
        <f>_xlfn.LET(_xlpm.resultado,_xlfn.XLOOKUP(Libromaestro[[#This Row],[CODIGO DEL DOCUMENTO]],Arreglo_Binaps[Codigo Documento],Arreglo_Binaps[Fecha_Aprobacion],"",0,1),IF(_xlpm.resultado=0,"",_xlpm.resultado))</f>
        <v/>
      </c>
      <c r="Q579" s="183"/>
      <c r="R579" s="155"/>
      <c r="S579" s="156"/>
      <c r="T579" s="157"/>
    </row>
    <row r="580" spans="1:20" ht="33.75" customHeight="1" x14ac:dyDescent="0.3">
      <c r="A580" s="152" t="str">
        <f>IFERROR(VLOOKUP(Libromaestro[[#This Row],[MACROPROCESO]],Tabla1[],2,FALSE),"")</f>
        <v>Corportativa</v>
      </c>
      <c r="B580" s="150" t="s">
        <v>24</v>
      </c>
      <c r="C580" s="64" t="s">
        <v>2252</v>
      </c>
      <c r="D580" s="152" t="s">
        <v>16</v>
      </c>
      <c r="E580"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580"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80" s="152"/>
      <c r="H580" s="152" t="str">
        <f>_xlfn.CONCAT(Libromaestro[[#This Row],[SIGLAS]],"-",Libromaestro[[#This Row],[T. DOC]],"-",Libromaestro[[#This Row],[CONSECUTIVO]])</f>
        <v>F-FT-</v>
      </c>
      <c r="I580" s="150" t="s">
        <v>2239</v>
      </c>
      <c r="J580" s="152"/>
      <c r="K580" s="64" t="str">
        <f>_xlfn.XLOOKUP(Libromaestro[[#This Row],[CODIGO DEL DOCUMENTO]],Arreglo_Binaps[Codigo Documento],Arreglo_Binaps[Estado],"No creado",0)</f>
        <v>No creado</v>
      </c>
      <c r="L580" s="66" t="str">
        <f>_xlfn.XLOOKUP(Libromaestro[[#This Row],[CODIGO DEL DOCUMENTO]],Arreglo_Binaps[Codigo Documento],Arreglo_Binaps[Fecha de creación],"",0,1)</f>
        <v/>
      </c>
      <c r="M580" s="153"/>
      <c r="N580" s="153"/>
      <c r="O580"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80" s="154" t="str">
        <f>_xlfn.LET(_xlpm.resultado,_xlfn.XLOOKUP(Libromaestro[[#This Row],[CODIGO DEL DOCUMENTO]],Arreglo_Binaps[Codigo Documento],Arreglo_Binaps[Fecha_Aprobacion],"",0,1),IF(_xlpm.resultado=0,"",_xlpm.resultado))</f>
        <v/>
      </c>
      <c r="Q580" s="183"/>
      <c r="R580" s="155"/>
      <c r="S580" s="156"/>
      <c r="T580" s="157"/>
    </row>
    <row r="581" spans="1:20" ht="33.75" customHeight="1" x14ac:dyDescent="0.3">
      <c r="A581" s="152" t="str">
        <f>IFERROR(VLOOKUP(Libromaestro[[#This Row],[MACROPROCESO]],Tabla1[],2,FALSE),"")</f>
        <v>Corportativa</v>
      </c>
      <c r="B581" s="150" t="s">
        <v>24</v>
      </c>
      <c r="C581" s="64" t="s">
        <v>2252</v>
      </c>
      <c r="D581" s="152" t="s">
        <v>27</v>
      </c>
      <c r="E581"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581"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581" s="152"/>
      <c r="H581" s="152" t="str">
        <f>_xlfn.CONCAT(Libromaestro[[#This Row],[SIGLAS]],"-",Libromaestro[[#This Row],[T. DOC]],"-",Libromaestro[[#This Row],[CONSECUTIVO]])</f>
        <v>F-IN-</v>
      </c>
      <c r="I581" s="150" t="s">
        <v>2241</v>
      </c>
      <c r="J581" s="152"/>
      <c r="K581" s="64" t="str">
        <f>_xlfn.XLOOKUP(Libromaestro[[#This Row],[CODIGO DEL DOCUMENTO]],Arreglo_Binaps[Codigo Documento],Arreglo_Binaps[Estado],"No creado",0)</f>
        <v>No creado</v>
      </c>
      <c r="L581" s="66" t="str">
        <f>_xlfn.XLOOKUP(Libromaestro[[#This Row],[CODIGO DEL DOCUMENTO]],Arreglo_Binaps[Codigo Documento],Arreglo_Binaps[Fecha de creación],"",0,1)</f>
        <v/>
      </c>
      <c r="M581" s="153"/>
      <c r="N581" s="153"/>
      <c r="O581"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81" s="154" t="str">
        <f>_xlfn.LET(_xlpm.resultado,_xlfn.XLOOKUP(Libromaestro[[#This Row],[CODIGO DEL DOCUMENTO]],Arreglo_Binaps[Codigo Documento],Arreglo_Binaps[Fecha_Aprobacion],"",0,1),IF(_xlpm.resultado=0,"",_xlpm.resultado))</f>
        <v/>
      </c>
      <c r="Q581" s="183"/>
      <c r="R581" s="155"/>
      <c r="S581" s="156"/>
      <c r="T581" s="157"/>
    </row>
    <row r="582" spans="1:20" ht="33.75" customHeight="1" x14ac:dyDescent="0.3">
      <c r="A582" s="152" t="str">
        <f>IFERROR(VLOOKUP(Libromaestro[[#This Row],[MACROPROCESO]],Tabla1[],2,FALSE),"")</f>
        <v>Corportativa</v>
      </c>
      <c r="B582" s="150" t="s">
        <v>24</v>
      </c>
      <c r="C582" s="64" t="s">
        <v>2252</v>
      </c>
      <c r="D582" s="152" t="s">
        <v>34</v>
      </c>
      <c r="E582"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582"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82" s="152"/>
      <c r="H582" s="152" t="str">
        <f>_xlfn.CONCAT(Libromaestro[[#This Row],[SIGLAS]],"-",Libromaestro[[#This Row],[T. DOC]],"-",Libromaestro[[#This Row],[CONSECUTIVO]])</f>
        <v>F-PR-</v>
      </c>
      <c r="I582" s="150" t="s">
        <v>2242</v>
      </c>
      <c r="J582" s="152"/>
      <c r="K582" s="64" t="str">
        <f>_xlfn.XLOOKUP(Libromaestro[[#This Row],[CODIGO DEL DOCUMENTO]],Arreglo_Binaps[Codigo Documento],Arreglo_Binaps[Estado],"No creado",0)</f>
        <v>No creado</v>
      </c>
      <c r="L582" s="66" t="str">
        <f>_xlfn.XLOOKUP(Libromaestro[[#This Row],[CODIGO DEL DOCUMENTO]],Arreglo_Binaps[Codigo Documento],Arreglo_Binaps[Fecha de creación],"",0,1)</f>
        <v/>
      </c>
      <c r="M582" s="153"/>
      <c r="N582" s="153"/>
      <c r="O582"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82" s="154" t="str">
        <f>_xlfn.LET(_xlpm.resultado,_xlfn.XLOOKUP(Libromaestro[[#This Row],[CODIGO DEL DOCUMENTO]],Arreglo_Binaps[Codigo Documento],Arreglo_Binaps[Fecha_Aprobacion],"",0,1),IF(_xlpm.resultado=0,"",_xlpm.resultado))</f>
        <v/>
      </c>
      <c r="Q582" s="183"/>
      <c r="R582" s="155"/>
      <c r="S582" s="156"/>
      <c r="T582" s="157"/>
    </row>
    <row r="583" spans="1:20" ht="33.75" customHeight="1" x14ac:dyDescent="0.3">
      <c r="A583" s="152" t="str">
        <f>IFERROR(VLOOKUP(Libromaestro[[#This Row],[MACROPROCESO]],Tabla1[],2,FALSE),"")</f>
        <v>Corportativa</v>
      </c>
      <c r="B583" s="150" t="s">
        <v>24</v>
      </c>
      <c r="C583" s="64" t="s">
        <v>2252</v>
      </c>
      <c r="D583" s="152" t="s">
        <v>34</v>
      </c>
      <c r="E583"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583"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83" s="152"/>
      <c r="H583" s="152" t="str">
        <f>_xlfn.CONCAT(Libromaestro[[#This Row],[SIGLAS]],"-",Libromaestro[[#This Row],[T. DOC]],"-",Libromaestro[[#This Row],[CONSECUTIVO]])</f>
        <v>F-PR-</v>
      </c>
      <c r="I583" s="150" t="s">
        <v>2243</v>
      </c>
      <c r="J583" s="152"/>
      <c r="K583" s="64" t="str">
        <f>_xlfn.XLOOKUP(Libromaestro[[#This Row],[CODIGO DEL DOCUMENTO]],Arreglo_Binaps[Codigo Documento],Arreglo_Binaps[Estado],"No creado",0)</f>
        <v>No creado</v>
      </c>
      <c r="L583" s="66" t="str">
        <f>_xlfn.XLOOKUP(Libromaestro[[#This Row],[CODIGO DEL DOCUMENTO]],Arreglo_Binaps[Codigo Documento],Arreglo_Binaps[Fecha de creación],"",0,1)</f>
        <v/>
      </c>
      <c r="M583" s="153"/>
      <c r="N583" s="153"/>
      <c r="O583"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83" s="154" t="str">
        <f>_xlfn.LET(_xlpm.resultado,_xlfn.XLOOKUP(Libromaestro[[#This Row],[CODIGO DEL DOCUMENTO]],Arreglo_Binaps[Codigo Documento],Arreglo_Binaps[Fecha_Aprobacion],"",0,1),IF(_xlpm.resultado=0,"",_xlpm.resultado))</f>
        <v/>
      </c>
      <c r="Q583" s="183"/>
      <c r="R583" s="155"/>
      <c r="S583" s="156"/>
      <c r="T583" s="157"/>
    </row>
    <row r="584" spans="1:20" ht="33.75" customHeight="1" x14ac:dyDescent="0.3">
      <c r="A584" s="152" t="str">
        <f>IFERROR(VLOOKUP(Libromaestro[[#This Row],[MACROPROCESO]],Tabla1[],2,FALSE),"")</f>
        <v>Corportativa</v>
      </c>
      <c r="B584" s="150" t="s">
        <v>24</v>
      </c>
      <c r="C584" s="64" t="s">
        <v>2252</v>
      </c>
      <c r="D584" s="159" t="s">
        <v>16</v>
      </c>
      <c r="E584"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584"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84" s="159"/>
      <c r="H584" s="152" t="str">
        <f>_xlfn.CONCAT(Libromaestro[[#This Row],[SIGLAS]],"-",Libromaestro[[#This Row],[T. DOC]],"-",Libromaestro[[#This Row],[CONSECUTIVO]])</f>
        <v>F-FT-</v>
      </c>
      <c r="I584" s="151" t="s">
        <v>2245</v>
      </c>
      <c r="J584" s="159"/>
      <c r="K584" s="64" t="str">
        <f>_xlfn.XLOOKUP(Libromaestro[[#This Row],[CODIGO DEL DOCUMENTO]],Arreglo_Binaps[Codigo Documento],Arreglo_Binaps[Estado],"No creado",0)</f>
        <v>No creado</v>
      </c>
      <c r="L584" s="66" t="str">
        <f>_xlfn.XLOOKUP(Libromaestro[[#This Row],[CODIGO DEL DOCUMENTO]],Arreglo_Binaps[Codigo Documento],Arreglo_Binaps[Fecha de creación],"",0,1)</f>
        <v/>
      </c>
      <c r="M584" s="153"/>
      <c r="N584" s="153"/>
      <c r="O584"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84" s="162" t="str">
        <f>_xlfn.LET(_xlpm.resultado,_xlfn.XLOOKUP(Libromaestro[[#This Row],[CODIGO DEL DOCUMENTO]],Arreglo_Binaps[Codigo Documento],Arreglo_Binaps[Fecha_Aprobacion],"",0,1),IF(_xlpm.resultado=0,"",_xlpm.resultado))</f>
        <v/>
      </c>
      <c r="Q584" s="184"/>
      <c r="R584" s="163"/>
      <c r="S584" s="164"/>
      <c r="T584" s="165"/>
    </row>
    <row r="585" spans="1:20" ht="33.75" customHeight="1" x14ac:dyDescent="0.3">
      <c r="A585" s="152" t="str">
        <f>IFERROR(VLOOKUP(Libromaestro[[#This Row],[MACROPROCESO]],Tabla1[],2,FALSE),"")</f>
        <v>Corportativa</v>
      </c>
      <c r="B585" s="150" t="s">
        <v>24</v>
      </c>
      <c r="C585" s="64" t="s">
        <v>2252</v>
      </c>
      <c r="D585" s="152" t="s">
        <v>16</v>
      </c>
      <c r="E585" s="1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585" s="1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85" s="152"/>
      <c r="H585" s="160" t="str">
        <f>_xlfn.CONCAT(Libromaestro[[#This Row],[SIGLAS]],"-",Libromaestro[[#This Row],[T. DOC]],"-",Libromaestro[[#This Row],[CONSECUTIVO]])</f>
        <v>F-FT-</v>
      </c>
      <c r="I585" s="150" t="s">
        <v>2246</v>
      </c>
      <c r="J585" s="152"/>
      <c r="K585" s="64" t="str">
        <f>_xlfn.XLOOKUP(Libromaestro[[#This Row],[CODIGO DEL DOCUMENTO]],Arreglo_Binaps[Codigo Documento],Arreglo_Binaps[Estado],"No creado",0)</f>
        <v>No creado</v>
      </c>
      <c r="L585" s="66" t="str">
        <f>_xlfn.XLOOKUP(Libromaestro[[#This Row],[CODIGO DEL DOCUMENTO]],Arreglo_Binaps[Codigo Documento],Arreglo_Binaps[Fecha de creación],"",0,1)</f>
        <v/>
      </c>
      <c r="M585" s="153"/>
      <c r="N585" s="153"/>
      <c r="O585" s="161"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85" s="154" t="str">
        <f>_xlfn.LET(_xlpm.resultado,_xlfn.XLOOKUP(Libromaestro[[#This Row],[CODIGO DEL DOCUMENTO]],Arreglo_Binaps[Codigo Documento],Arreglo_Binaps[Fecha_Aprobacion],"",0,1),IF(_xlpm.resultado=0,"",_xlpm.resultado))</f>
        <v/>
      </c>
      <c r="Q585" s="183"/>
      <c r="R585" s="155"/>
      <c r="S585" s="156"/>
      <c r="T585" s="157"/>
    </row>
    <row r="586" spans="1:20" ht="33.75" customHeight="1" x14ac:dyDescent="0.3">
      <c r="A586" s="152" t="str">
        <f>IFERROR(VLOOKUP(Libromaestro[[#This Row],[MACROPROCESO]],Tabla1[],2,FALSE),"")</f>
        <v>Corportativa</v>
      </c>
      <c r="B586" s="150" t="s">
        <v>24</v>
      </c>
      <c r="C586" s="64" t="s">
        <v>2252</v>
      </c>
      <c r="D586" s="159" t="s">
        <v>34</v>
      </c>
      <c r="E586"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586"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86" s="159"/>
      <c r="H586" s="152" t="str">
        <f>_xlfn.CONCAT(Libromaestro[[#This Row],[SIGLAS]],"-",Libromaestro[[#This Row],[T. DOC]],"-",Libromaestro[[#This Row],[CONSECUTIVO]])</f>
        <v>F-PR-</v>
      </c>
      <c r="I586" s="151" t="s">
        <v>2247</v>
      </c>
      <c r="J586" s="159"/>
      <c r="K586" s="64" t="str">
        <f>_xlfn.XLOOKUP(Libromaestro[[#This Row],[CODIGO DEL DOCUMENTO]],Arreglo_Binaps[Codigo Documento],Arreglo_Binaps[Estado],"No creado",0)</f>
        <v>No creado</v>
      </c>
      <c r="L586" s="66" t="str">
        <f>_xlfn.XLOOKUP(Libromaestro[[#This Row],[CODIGO DEL DOCUMENTO]],Arreglo_Binaps[Codigo Documento],Arreglo_Binaps[Fecha de creación],"",0,1)</f>
        <v/>
      </c>
      <c r="M586" s="153"/>
      <c r="N586" s="153"/>
      <c r="O586"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86" s="162" t="str">
        <f>_xlfn.LET(_xlpm.resultado,_xlfn.XLOOKUP(Libromaestro[[#This Row],[CODIGO DEL DOCUMENTO]],Arreglo_Binaps[Codigo Documento],Arreglo_Binaps[Fecha_Aprobacion],"",0,1),IF(_xlpm.resultado=0,"",_xlpm.resultado))</f>
        <v/>
      </c>
      <c r="Q586" s="184"/>
      <c r="R586" s="163"/>
      <c r="S586" s="164"/>
      <c r="T586" s="165"/>
    </row>
    <row r="587" spans="1:20" ht="33.75" customHeight="1" x14ac:dyDescent="0.3">
      <c r="A587" s="152" t="str">
        <f>IFERROR(VLOOKUP(Libromaestro[[#This Row],[MACROPROCESO]],Tabla1[],2,FALSE),"")</f>
        <v>Corportativa</v>
      </c>
      <c r="B587" s="150" t="s">
        <v>24</v>
      </c>
      <c r="C587" s="64" t="s">
        <v>2252</v>
      </c>
      <c r="D587" s="159" t="s">
        <v>34</v>
      </c>
      <c r="E587" s="1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587" s="1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87" s="159"/>
      <c r="H587" s="160" t="str">
        <f>_xlfn.CONCAT(Libromaestro[[#This Row],[SIGLAS]],"-",Libromaestro[[#This Row],[T. DOC]],"-",Libromaestro[[#This Row],[CONSECUTIVO]])</f>
        <v>F-PR-</v>
      </c>
      <c r="I587" s="151" t="s">
        <v>2248</v>
      </c>
      <c r="J587" s="159"/>
      <c r="K587" s="64" t="str">
        <f>_xlfn.XLOOKUP(Libromaestro[[#This Row],[CODIGO DEL DOCUMENTO]],Arreglo_Binaps[Codigo Documento],Arreglo_Binaps[Estado],"No creado",0)</f>
        <v>No creado</v>
      </c>
      <c r="L587" s="66" t="str">
        <f>_xlfn.XLOOKUP(Libromaestro[[#This Row],[CODIGO DEL DOCUMENTO]],Arreglo_Binaps[Codigo Documento],Arreglo_Binaps[Fecha de creación],"",0,1)</f>
        <v/>
      </c>
      <c r="M587" s="153"/>
      <c r="N587" s="153"/>
      <c r="O587" s="161"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87" s="162" t="str">
        <f>_xlfn.LET(_xlpm.resultado,_xlfn.XLOOKUP(Libromaestro[[#This Row],[CODIGO DEL DOCUMENTO]],Arreglo_Binaps[Codigo Documento],Arreglo_Binaps[Fecha_Aprobacion],"",0,1),IF(_xlpm.resultado=0,"",_xlpm.resultado))</f>
        <v/>
      </c>
      <c r="Q587" s="184"/>
      <c r="R587" s="163"/>
      <c r="S587" s="164"/>
      <c r="T587" s="165"/>
    </row>
    <row r="588" spans="1:20" ht="33.75" customHeight="1" x14ac:dyDescent="0.3">
      <c r="A588" s="152" t="str">
        <f>IFERROR(VLOOKUP(Libromaestro[[#This Row],[MACROPROCESO]],Tabla1[],2,FALSE),"")</f>
        <v>Corportativa</v>
      </c>
      <c r="B588" s="150" t="s">
        <v>24</v>
      </c>
      <c r="C588" s="64" t="s">
        <v>2252</v>
      </c>
      <c r="D588" s="159" t="s">
        <v>34</v>
      </c>
      <c r="E588" s="1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588" s="1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88" s="159"/>
      <c r="H588" s="160" t="str">
        <f>_xlfn.CONCAT(Libromaestro[[#This Row],[SIGLAS]],"-",Libromaestro[[#This Row],[T. DOC]],"-",Libromaestro[[#This Row],[CONSECUTIVO]])</f>
        <v>F-PR-</v>
      </c>
      <c r="I588" s="151" t="s">
        <v>2249</v>
      </c>
      <c r="J588" s="159"/>
      <c r="K588" s="64" t="str">
        <f>_xlfn.XLOOKUP(Libromaestro[[#This Row],[CODIGO DEL DOCUMENTO]],Arreglo_Binaps[Codigo Documento],Arreglo_Binaps[Estado],"No creado",0)</f>
        <v>No creado</v>
      </c>
      <c r="L588" s="66" t="str">
        <f>_xlfn.XLOOKUP(Libromaestro[[#This Row],[CODIGO DEL DOCUMENTO]],Arreglo_Binaps[Codigo Documento],Arreglo_Binaps[Fecha de creación],"",0,1)</f>
        <v/>
      </c>
      <c r="M588" s="153"/>
      <c r="N588" s="153"/>
      <c r="O588" s="161"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88" s="162" t="str">
        <f>_xlfn.LET(_xlpm.resultado,_xlfn.XLOOKUP(Libromaestro[[#This Row],[CODIGO DEL DOCUMENTO]],Arreglo_Binaps[Codigo Documento],Arreglo_Binaps[Fecha_Aprobacion],"",0,1),IF(_xlpm.resultado=0,"",_xlpm.resultado))</f>
        <v/>
      </c>
      <c r="Q588" s="184"/>
      <c r="R588" s="163"/>
      <c r="S588" s="164"/>
      <c r="T588" s="165"/>
    </row>
    <row r="589" spans="1:20" ht="33.75" customHeight="1" x14ac:dyDescent="0.3">
      <c r="A589" s="152" t="str">
        <f>IFERROR(VLOOKUP(Libromaestro[[#This Row],[MACROPROCESO]],Tabla1[],2,FALSE),"")</f>
        <v>Corportativa</v>
      </c>
      <c r="B589" s="150" t="s">
        <v>24</v>
      </c>
      <c r="C589" s="64" t="s">
        <v>2252</v>
      </c>
      <c r="D589" s="159" t="s">
        <v>34</v>
      </c>
      <c r="E589" s="1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589" s="1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89" s="159"/>
      <c r="H589" s="160" t="str">
        <f>_xlfn.CONCAT(Libromaestro[[#This Row],[SIGLAS]],"-",Libromaestro[[#This Row],[T. DOC]],"-",Libromaestro[[#This Row],[CONSECUTIVO]])</f>
        <v>F-PR-</v>
      </c>
      <c r="I589" s="151" t="s">
        <v>2250</v>
      </c>
      <c r="J589" s="159"/>
      <c r="K589" s="64" t="str">
        <f>_xlfn.XLOOKUP(Libromaestro[[#This Row],[CODIGO DEL DOCUMENTO]],Arreglo_Binaps[Codigo Documento],Arreglo_Binaps[Estado],"No creado",0)</f>
        <v>No creado</v>
      </c>
      <c r="L589" s="66" t="str">
        <f>_xlfn.XLOOKUP(Libromaestro[[#This Row],[CODIGO DEL DOCUMENTO]],Arreglo_Binaps[Codigo Documento],Arreglo_Binaps[Fecha de creación],"",0,1)</f>
        <v/>
      </c>
      <c r="M589" s="153"/>
      <c r="N589" s="153"/>
      <c r="O589" s="161"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89" s="162" t="str">
        <f>_xlfn.LET(_xlpm.resultado,_xlfn.XLOOKUP(Libromaestro[[#This Row],[CODIGO DEL DOCUMENTO]],Arreglo_Binaps[Codigo Documento],Arreglo_Binaps[Fecha_Aprobacion],"",0,1),IF(_xlpm.resultado=0,"",_xlpm.resultado))</f>
        <v/>
      </c>
      <c r="Q589" s="184"/>
      <c r="R589" s="163"/>
      <c r="S589" s="164"/>
      <c r="T589" s="165"/>
    </row>
    <row r="590" spans="1:20" ht="33.75" customHeight="1" x14ac:dyDescent="0.3">
      <c r="A590" s="152" t="str">
        <f>IFERROR(VLOOKUP(Libromaestro[[#This Row],[MACROPROCESO]],Tabla1[],2,FALSE),"")</f>
        <v>Corportativa</v>
      </c>
      <c r="B590" s="150" t="s">
        <v>24</v>
      </c>
      <c r="C590" s="64" t="s">
        <v>2252</v>
      </c>
      <c r="D590" s="152" t="s">
        <v>16</v>
      </c>
      <c r="E590" s="160"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F</v>
      </c>
      <c r="F590" s="160"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90" s="152"/>
      <c r="H590" s="160" t="str">
        <f>_xlfn.CONCAT(Libromaestro[[#This Row],[SIGLAS]],"-",Libromaestro[[#This Row],[T. DOC]],"-",Libromaestro[[#This Row],[CONSECUTIVO]])</f>
        <v>F-FT-</v>
      </c>
      <c r="I590" s="150" t="s">
        <v>2251</v>
      </c>
      <c r="J590" s="152"/>
      <c r="K590" s="64" t="str">
        <f>_xlfn.XLOOKUP(Libromaestro[[#This Row],[CODIGO DEL DOCUMENTO]],Arreglo_Binaps[Codigo Documento],Arreglo_Binaps[Estado],"No creado",0)</f>
        <v>No creado</v>
      </c>
      <c r="L590" s="66" t="str">
        <f>_xlfn.XLOOKUP(Libromaestro[[#This Row],[CODIGO DEL DOCUMENTO]],Arreglo_Binaps[Codigo Documento],Arreglo_Binaps[Fecha de creación],"",0,1)</f>
        <v/>
      </c>
      <c r="M590" s="153"/>
      <c r="N590" s="153"/>
      <c r="O590" s="161"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90" s="154" t="str">
        <f>_xlfn.LET(_xlpm.resultado,_xlfn.XLOOKUP(Libromaestro[[#This Row],[CODIGO DEL DOCUMENTO]],Arreglo_Binaps[Codigo Documento],Arreglo_Binaps[Fecha_Aprobacion],"",0,1),IF(_xlpm.resultado=0,"",_xlpm.resultado))</f>
        <v/>
      </c>
      <c r="Q590" s="183"/>
      <c r="R590" s="155"/>
      <c r="S590" s="156"/>
      <c r="T590" s="157"/>
    </row>
    <row r="591" spans="1:20" ht="33.75" customHeight="1" x14ac:dyDescent="0.3">
      <c r="A591" s="166" t="str">
        <f>IFERROR(VLOOKUP(Libromaestro[[#This Row],[MACROPROCESO]],Tabla1[],2,FALSE),"")</f>
        <v>Suministros</v>
      </c>
      <c r="B591" s="185" t="s">
        <v>45</v>
      </c>
      <c r="C591" s="60"/>
      <c r="D591" s="166" t="s">
        <v>34</v>
      </c>
      <c r="E591" s="166"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591" s="166"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91" s="166">
        <v>14</v>
      </c>
      <c r="H591" s="166" t="str">
        <f>_xlfn.CONCAT(Libromaestro[[#This Row],[SIGLAS]],"-",Libromaestro[[#This Row],[T. DOC]],"-",Libromaestro[[#This Row],[CONSECUTIVO]])</f>
        <v>S-PR-14</v>
      </c>
      <c r="I591" s="185" t="s">
        <v>394</v>
      </c>
      <c r="J591" s="166">
        <v>1</v>
      </c>
      <c r="K591" s="64" t="str">
        <f>_xlfn.XLOOKUP(Libromaestro[[#This Row],[CODIGO DEL DOCUMENTO]],Arreglo_Binaps[Codigo Documento],Arreglo_Binaps[Estado],"No creado",0)</f>
        <v>No creado</v>
      </c>
      <c r="L591" s="66" t="str">
        <f>_xlfn.XLOOKUP(Libromaestro[[#This Row],[CODIGO DEL DOCUMENTO]],Arreglo_Binaps[Codigo Documento],Arreglo_Binaps[Fecha de creación],"",0,1)</f>
        <v/>
      </c>
      <c r="M591" s="167"/>
      <c r="N591" s="167"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O591" s="167"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91" s="220" t="str">
        <f>_xlfn.LET(_xlpm.resultado,_xlfn.XLOOKUP(Libromaestro[[#This Row],[CODIGO DEL DOCUMENTO]],Arreglo_Binaps[Codigo Documento],Arreglo_Binaps[Fecha_Aprobacion],"",0,1),IF(_xlpm.resultado=0,"",_xlpm.resultado))</f>
        <v/>
      </c>
      <c r="Q591" s="224"/>
      <c r="R591" s="228"/>
      <c r="S591" s="232"/>
      <c r="T591" s="185"/>
    </row>
    <row r="592" spans="1:20" ht="33.75" customHeight="1" x14ac:dyDescent="0.3">
      <c r="A592" s="152" t="str">
        <f>IFERROR(VLOOKUP(Libromaestro[[#This Row],[MACROPROCESO]],Tabla1[],2,FALSE),"")</f>
        <v>Corportativa</v>
      </c>
      <c r="B592" s="146" t="s">
        <v>32</v>
      </c>
      <c r="C592" s="149" t="s">
        <v>51</v>
      </c>
      <c r="D592" s="152" t="s">
        <v>16</v>
      </c>
      <c r="E592"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592"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92" s="152">
        <v>82</v>
      </c>
      <c r="H592" s="152" t="str">
        <f>_xlfn.CONCAT(Libromaestro[[#This Row],[SIGLAS]],"-",Libromaestro[[#This Row],[T. DOC]],"-",Libromaestro[[#This Row],[CONSECUTIVO]])</f>
        <v>H-FT-82</v>
      </c>
      <c r="I592" s="150" t="s">
        <v>2257</v>
      </c>
      <c r="J592" s="152">
        <v>1</v>
      </c>
      <c r="K592" s="64" t="str">
        <f>_xlfn.XLOOKUP(Libromaestro[[#This Row],[CODIGO DEL DOCUMENTO]],Arreglo_Binaps[Codigo Documento],Arreglo_Binaps[Estado],"No creado",0)</f>
        <v>No creado</v>
      </c>
      <c r="L592" s="66" t="str">
        <f>_xlfn.XLOOKUP(Libromaestro[[#This Row],[CODIGO DEL DOCUMENTO]],Arreglo_Binaps[Codigo Documento],Arreglo_Binaps[Fecha de creación],"",0,1)</f>
        <v/>
      </c>
      <c r="M592" s="153"/>
      <c r="N592" s="153"/>
      <c r="O592"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92" s="154" t="str">
        <f>_xlfn.LET(_xlpm.resultado,_xlfn.XLOOKUP(Libromaestro[[#This Row],[CODIGO DEL DOCUMENTO]],Arreglo_Binaps[Codigo Documento],Arreglo_Binaps[Fecha_Aprobacion],"",0,1),IF(_xlpm.resultado=0,"",_xlpm.resultado))</f>
        <v/>
      </c>
      <c r="Q592" s="183"/>
      <c r="R592" s="155"/>
      <c r="S592" s="156"/>
      <c r="T592" s="157"/>
    </row>
    <row r="593" spans="1:20" ht="33.75" customHeight="1" x14ac:dyDescent="0.3">
      <c r="A593" s="152" t="str">
        <f>IFERROR(VLOOKUP(Libromaestro[[#This Row],[MACROPROCESO]],Tabla1[],2,FALSE),"")</f>
        <v>Corportativa</v>
      </c>
      <c r="B593" s="146" t="s">
        <v>32</v>
      </c>
      <c r="C593" s="149" t="s">
        <v>51</v>
      </c>
      <c r="D593" s="152" t="s">
        <v>16</v>
      </c>
      <c r="E593"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593"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93" s="152">
        <v>83</v>
      </c>
      <c r="H593" s="152" t="str">
        <f>_xlfn.CONCAT(Libromaestro[[#This Row],[SIGLAS]],"-",Libromaestro[[#This Row],[T. DOC]],"-",Libromaestro[[#This Row],[CONSECUTIVO]])</f>
        <v>H-FT-83</v>
      </c>
      <c r="I593" s="150" t="s">
        <v>2259</v>
      </c>
      <c r="J593" s="152">
        <v>1</v>
      </c>
      <c r="K593" s="64" t="str">
        <f>_xlfn.XLOOKUP(Libromaestro[[#This Row],[CODIGO DEL DOCUMENTO]],Arreglo_Binaps[Codigo Documento],Arreglo_Binaps[Estado],"No creado",0)</f>
        <v>No creado</v>
      </c>
      <c r="L593" s="66" t="str">
        <f>_xlfn.XLOOKUP(Libromaestro[[#This Row],[CODIGO DEL DOCUMENTO]],Arreglo_Binaps[Codigo Documento],Arreglo_Binaps[Fecha de creación],"",0,1)</f>
        <v/>
      </c>
      <c r="M593" s="153"/>
      <c r="N593" s="153"/>
      <c r="O593"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93" s="154" t="str">
        <f>_xlfn.LET(_xlpm.resultado,_xlfn.XLOOKUP(Libromaestro[[#This Row],[CODIGO DEL DOCUMENTO]],Arreglo_Binaps[Codigo Documento],Arreglo_Binaps[Fecha_Aprobacion],"",0,1),IF(_xlpm.resultado=0,"",_xlpm.resultado))</f>
        <v/>
      </c>
      <c r="Q593" s="183"/>
      <c r="R593" s="155"/>
      <c r="S593" s="156"/>
      <c r="T593" s="157"/>
    </row>
    <row r="594" spans="1:20" ht="33.75" customHeight="1" x14ac:dyDescent="0.3">
      <c r="A594" s="152" t="str">
        <f>IFERROR(VLOOKUP(Libromaestro[[#This Row],[MACROPROCESO]],Tabla1[],2,FALSE),"")</f>
        <v>Corportativa</v>
      </c>
      <c r="B594" s="146" t="s">
        <v>32</v>
      </c>
      <c r="C594" s="149" t="s">
        <v>51</v>
      </c>
      <c r="D594" s="152" t="s">
        <v>16</v>
      </c>
      <c r="E594"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594"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94" s="152">
        <v>84</v>
      </c>
      <c r="H594" s="152" t="str">
        <f>_xlfn.CONCAT(Libromaestro[[#This Row],[SIGLAS]],"-",Libromaestro[[#This Row],[T. DOC]],"-",Libromaestro[[#This Row],[CONSECUTIVO]])</f>
        <v>H-FT-84</v>
      </c>
      <c r="I594" s="150" t="s">
        <v>2260</v>
      </c>
      <c r="J594" s="152">
        <v>1</v>
      </c>
      <c r="K594" s="64" t="str">
        <f>_xlfn.XLOOKUP(Libromaestro[[#This Row],[CODIGO DEL DOCUMENTO]],Arreglo_Binaps[Codigo Documento],Arreglo_Binaps[Estado],"No creado",0)</f>
        <v>No creado</v>
      </c>
      <c r="L594" s="66" t="str">
        <f>_xlfn.XLOOKUP(Libromaestro[[#This Row],[CODIGO DEL DOCUMENTO]],Arreglo_Binaps[Codigo Documento],Arreglo_Binaps[Fecha de creación],"",0,1)</f>
        <v/>
      </c>
      <c r="M594" s="153"/>
      <c r="N594" s="153"/>
      <c r="O594"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94" s="154" t="str">
        <f>_xlfn.LET(_xlpm.resultado,_xlfn.XLOOKUP(Libromaestro[[#This Row],[CODIGO DEL DOCUMENTO]],Arreglo_Binaps[Codigo Documento],Arreglo_Binaps[Fecha_Aprobacion],"",0,1),IF(_xlpm.resultado=0,"",_xlpm.resultado))</f>
        <v/>
      </c>
      <c r="Q594" s="183"/>
      <c r="R594" s="155"/>
      <c r="S594" s="156"/>
      <c r="T594" s="157"/>
    </row>
    <row r="595" spans="1:20" ht="33.75" customHeight="1" x14ac:dyDescent="0.3">
      <c r="A595" s="152" t="str">
        <f>IFERROR(VLOOKUP(Libromaestro[[#This Row],[MACROPROCESO]],Tabla1[],2,FALSE),"")</f>
        <v>Corportativa</v>
      </c>
      <c r="B595" s="146" t="s">
        <v>32</v>
      </c>
      <c r="C595" s="149" t="s">
        <v>51</v>
      </c>
      <c r="D595" s="152" t="s">
        <v>16</v>
      </c>
      <c r="E595"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595"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95" s="152">
        <v>85</v>
      </c>
      <c r="H595" s="152" t="str">
        <f>_xlfn.CONCAT(Libromaestro[[#This Row],[SIGLAS]],"-",Libromaestro[[#This Row],[T. DOC]],"-",Libromaestro[[#This Row],[CONSECUTIVO]])</f>
        <v>H-FT-85</v>
      </c>
      <c r="I595" s="150" t="s">
        <v>2261</v>
      </c>
      <c r="J595" s="152">
        <v>1</v>
      </c>
      <c r="K595" s="64" t="str">
        <f>_xlfn.XLOOKUP(Libromaestro[[#This Row],[CODIGO DEL DOCUMENTO]],Arreglo_Binaps[Codigo Documento],Arreglo_Binaps[Estado],"No creado",0)</f>
        <v>No creado</v>
      </c>
      <c r="L595" s="66" t="str">
        <f>_xlfn.XLOOKUP(Libromaestro[[#This Row],[CODIGO DEL DOCUMENTO]],Arreglo_Binaps[Codigo Documento],Arreglo_Binaps[Fecha de creación],"",0,1)</f>
        <v/>
      </c>
      <c r="M595" s="153"/>
      <c r="N595" s="153"/>
      <c r="O595"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95" s="154" t="str">
        <f>_xlfn.LET(_xlpm.resultado,_xlfn.XLOOKUP(Libromaestro[[#This Row],[CODIGO DEL DOCUMENTO]],Arreglo_Binaps[Codigo Documento],Arreglo_Binaps[Fecha_Aprobacion],"",0,1),IF(_xlpm.resultado=0,"",_xlpm.resultado))</f>
        <v/>
      </c>
      <c r="Q595" s="183"/>
      <c r="R595" s="155"/>
      <c r="S595" s="156"/>
      <c r="T595" s="157"/>
    </row>
    <row r="596" spans="1:20" ht="33.75" customHeight="1" x14ac:dyDescent="0.3">
      <c r="A596" s="152" t="str">
        <f>IFERROR(VLOOKUP(Libromaestro[[#This Row],[MACROPROCESO]],Tabla1[],2,FALSE),"")</f>
        <v>Corportativa</v>
      </c>
      <c r="B596" s="146" t="s">
        <v>32</v>
      </c>
      <c r="C596" s="149" t="s">
        <v>51</v>
      </c>
      <c r="D596" s="152" t="s">
        <v>37</v>
      </c>
      <c r="E596"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596"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596" s="152">
        <v>4</v>
      </c>
      <c r="H596" s="152" t="str">
        <f>_xlfn.CONCAT(Libromaestro[[#This Row],[SIGLAS]],"-",Libromaestro[[#This Row],[T. DOC]],"-",Libromaestro[[#This Row],[CONSECUTIVO]])</f>
        <v>H-PO-4</v>
      </c>
      <c r="I596" s="150" t="s">
        <v>2344</v>
      </c>
      <c r="J596" s="152">
        <v>1</v>
      </c>
      <c r="K596" s="64" t="str">
        <f>_xlfn.XLOOKUP(Libromaestro[[#This Row],[CODIGO DEL DOCUMENTO]],Arreglo_Binaps[Codigo Documento],Arreglo_Binaps[Estado],"No creado",0)</f>
        <v>No creado</v>
      </c>
      <c r="L596" s="66" t="str">
        <f>_xlfn.XLOOKUP(Libromaestro[[#This Row],[CODIGO DEL DOCUMENTO]],Arreglo_Binaps[Codigo Documento],Arreglo_Binaps[Fecha de creación],"",0,1)</f>
        <v/>
      </c>
      <c r="M596" s="153"/>
      <c r="N596" s="153"/>
      <c r="O596"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96" s="154" t="str">
        <f>_xlfn.LET(_xlpm.resultado,_xlfn.XLOOKUP(Libromaestro[[#This Row],[CODIGO DEL DOCUMENTO]],Arreglo_Binaps[Codigo Documento],Arreglo_Binaps[Fecha_Aprobacion],"",0,1),IF(_xlpm.resultado=0,"",_xlpm.resultado))</f>
        <v/>
      </c>
      <c r="Q596" s="183"/>
      <c r="R596" s="155"/>
      <c r="S596" s="156"/>
      <c r="T596" s="157"/>
    </row>
    <row r="597" spans="1:20" ht="33.75" customHeight="1" x14ac:dyDescent="0.3">
      <c r="A597" s="152" t="str">
        <f>IFERROR(VLOOKUP(Libromaestro[[#This Row],[MACROPROCESO]],Tabla1[],2,FALSE),"")</f>
        <v>Proyectos</v>
      </c>
      <c r="B597" s="73" t="s">
        <v>41</v>
      </c>
      <c r="C597" s="64" t="s">
        <v>47</v>
      </c>
      <c r="D597" s="152" t="s">
        <v>16</v>
      </c>
      <c r="E597"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597"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597" s="152">
        <v>1</v>
      </c>
      <c r="H597" s="152" t="str">
        <f>_xlfn.CONCAT(Libromaestro[[#This Row],[SIGLAS]],"-",Libromaestro[[#This Row],[T. DOC]],"-",Libromaestro[[#This Row],[CONSECUTIVO]])</f>
        <v>P-FT-1</v>
      </c>
      <c r="I597" s="150" t="s">
        <v>2473</v>
      </c>
      <c r="J597" s="152">
        <v>1</v>
      </c>
      <c r="K597" s="64" t="str">
        <f>_xlfn.XLOOKUP(Libromaestro[[#This Row],[CODIGO DEL DOCUMENTO]],Arreglo_Binaps[Codigo Documento],Arreglo_Binaps[Estado],"No creado",0)</f>
        <v>No creado</v>
      </c>
      <c r="L597" s="66" t="str">
        <f>_xlfn.XLOOKUP(Libromaestro[[#This Row],[CODIGO DEL DOCUMENTO]],Arreglo_Binaps[Codigo Documento],Arreglo_Binaps[Fecha de creación],"",0,1)</f>
        <v/>
      </c>
      <c r="M597" s="153"/>
      <c r="N597" s="153"/>
      <c r="O597"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597" s="154" t="str">
        <f>_xlfn.LET(_xlpm.resultado,_xlfn.XLOOKUP(Libromaestro[[#This Row],[CODIGO DEL DOCUMENTO]],Arreglo_Binaps[Codigo Documento],Arreglo_Binaps[Fecha_Aprobacion],"",0,1),IF(_xlpm.resultado=0,"",_xlpm.resultado))</f>
        <v/>
      </c>
      <c r="Q597" s="183"/>
      <c r="R597" s="155"/>
      <c r="S597" s="156"/>
      <c r="T597" s="157"/>
    </row>
    <row r="598" spans="1:20" ht="33.75" customHeight="1" x14ac:dyDescent="0.3">
      <c r="A598" s="64" t="str">
        <f>IFERROR(VLOOKUP(Libromaestro[[#This Row],[MACROPROCESO]],Tabla1[],2,FALSE),"")</f>
        <v>Suministros</v>
      </c>
      <c r="B598" s="73" t="s">
        <v>45</v>
      </c>
      <c r="C598" s="64" t="s">
        <v>54</v>
      </c>
      <c r="D598" s="64" t="s">
        <v>34</v>
      </c>
      <c r="E59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59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98" s="76">
        <v>6</v>
      </c>
      <c r="H598" s="64" t="str">
        <f>_xlfn.CONCAT(Libromaestro[[#This Row],[SIGLAS]],"-",Libromaestro[[#This Row],[T. DOC]],"-",Libromaestro[[#This Row],[CONSECUTIVO]])</f>
        <v>S-PR-6</v>
      </c>
      <c r="I598" s="251" t="s">
        <v>2540</v>
      </c>
      <c r="J598" s="64">
        <v>2</v>
      </c>
      <c r="K598" s="64" t="str">
        <f>_xlfn.XLOOKUP(Libromaestro[[#This Row],[CODIGO DEL DOCUMENTO]],Arreglo_Binaps[Codigo Documento],Arreglo_Binaps[Estado],"No creado",0)</f>
        <v>Aprobado</v>
      </c>
      <c r="L598" s="66" t="str">
        <f>_xlfn.XLOOKUP(Libromaestro[[#This Row],[CODIGO DEL DOCUMENTO]],Arreglo_Binaps[Codigo Documento],Arreglo_Binaps[Fecha de creación],"",0,1)</f>
        <v>2025-01-23</v>
      </c>
      <c r="M598" s="66">
        <v>46176</v>
      </c>
      <c r="N598"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O598"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598" s="74">
        <f>_xlfn.LET(_xlpm.resultado,_xlfn.XLOOKUP(Libromaestro[[#This Row],[CODIGO DEL DOCUMENTO]],Arreglo_Binaps[Codigo Documento],Arreglo_Binaps[Fecha_Aprobacion],"",0,1),IF(_xlpm.resultado=0,"",_xlpm.resultado))</f>
        <v>46218</v>
      </c>
      <c r="Q598" s="176"/>
      <c r="R598" s="76"/>
      <c r="S598" s="78"/>
      <c r="T598" s="83"/>
    </row>
    <row r="599" spans="1:20" ht="33.75" customHeight="1" x14ac:dyDescent="0.3">
      <c r="A599" s="64" t="str">
        <f>IFERROR(VLOOKUP(Libromaestro[[#This Row],[MACROPROCESO]],Tabla1[],2,FALSE),"")</f>
        <v>Suministros</v>
      </c>
      <c r="B599" s="73" t="s">
        <v>45</v>
      </c>
      <c r="C599" s="64" t="s">
        <v>54</v>
      </c>
      <c r="D599" s="64" t="s">
        <v>34</v>
      </c>
      <c r="E59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59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599" s="76">
        <v>7</v>
      </c>
      <c r="H599" s="64" t="str">
        <f>_xlfn.CONCAT(Libromaestro[[#This Row],[SIGLAS]],"-",Libromaestro[[#This Row],[T. DOC]],"-",Libromaestro[[#This Row],[CONSECUTIVO]])</f>
        <v>S-PR-7</v>
      </c>
      <c r="I599" s="73" t="s">
        <v>304</v>
      </c>
      <c r="J599" s="64">
        <v>1</v>
      </c>
      <c r="K599" s="64" t="str">
        <f>_xlfn.XLOOKUP(Libromaestro[[#This Row],[CODIGO DEL DOCUMENTO]],Arreglo_Binaps[Codigo Documento],Arreglo_Binaps[Estado],"No creado",0)</f>
        <v>Aprobado</v>
      </c>
      <c r="L599" s="66" t="str">
        <f>_xlfn.XLOOKUP(Libromaestro[[#This Row],[CODIGO DEL DOCUMENTO]],Arreglo_Binaps[Codigo Documento],Arreglo_Binaps[Fecha de creación],"",0,1)</f>
        <v>2024-12-30</v>
      </c>
      <c r="M599" s="66">
        <v>46176</v>
      </c>
      <c r="N599"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O599"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599" s="74">
        <f>_xlfn.LET(_xlpm.resultado,_xlfn.XLOOKUP(Libromaestro[[#This Row],[CODIGO DEL DOCUMENTO]],Arreglo_Binaps[Codigo Documento],Arreglo_Binaps[Fecha_Aprobacion],"",0,1),IF(_xlpm.resultado=0,"",_xlpm.resultado))</f>
        <v>45700</v>
      </c>
      <c r="Q599" s="176"/>
      <c r="R599" s="76"/>
      <c r="S599" s="78"/>
      <c r="T599" s="83"/>
    </row>
    <row r="600" spans="1:20" ht="33.75" customHeight="1" x14ac:dyDescent="0.3">
      <c r="A600" s="187" t="str">
        <f>IFERROR(VLOOKUP(Libromaestro[[#This Row],[MACROPROCESO]],Tabla1[],2,FALSE),"")</f>
        <v>Corportativa</v>
      </c>
      <c r="B600" s="73" t="s">
        <v>32</v>
      </c>
      <c r="C600" s="64" t="s">
        <v>51</v>
      </c>
      <c r="D600" s="187" t="s">
        <v>16</v>
      </c>
      <c r="E600" s="18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600" s="18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600" s="187">
        <v>86</v>
      </c>
      <c r="H600" s="187" t="str">
        <f>_xlfn.CONCAT(Libromaestro[[#This Row],[SIGLAS]],"-",Libromaestro[[#This Row],[T. DOC]],"-",Libromaestro[[#This Row],[CONSECUTIVO]])</f>
        <v>H-FT-86</v>
      </c>
      <c r="I600" s="186" t="s">
        <v>2515</v>
      </c>
      <c r="J600" s="187">
        <v>1</v>
      </c>
      <c r="K600" s="64" t="str">
        <f>_xlfn.XLOOKUP(Libromaestro[[#This Row],[CODIGO DEL DOCUMENTO]],Arreglo_Binaps[Codigo Documento],Arreglo_Binaps[Estado],"No creado",0)</f>
        <v>No creado</v>
      </c>
      <c r="L600" s="66" t="str">
        <f>_xlfn.XLOOKUP(Libromaestro[[#This Row],[CODIGO DEL DOCUMENTO]],Arreglo_Binaps[Codigo Documento],Arreglo_Binaps[Fecha de creación],"",0,1)</f>
        <v/>
      </c>
      <c r="M600" s="188"/>
      <c r="N600" s="188"/>
      <c r="O600" s="18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00" s="189" t="str">
        <f>_xlfn.LET(_xlpm.resultado,_xlfn.XLOOKUP(Libromaestro[[#This Row],[CODIGO DEL DOCUMENTO]],Arreglo_Binaps[Codigo Documento],Arreglo_Binaps[Fecha_Aprobacion],"",0,1),IF(_xlpm.resultado=0,"",_xlpm.resultado))</f>
        <v/>
      </c>
      <c r="Q600" s="190"/>
      <c r="R600" s="191"/>
      <c r="S600" s="192"/>
      <c r="T600" s="193"/>
    </row>
    <row r="601" spans="1:20" ht="33.75" customHeight="1" x14ac:dyDescent="0.3">
      <c r="A601" s="187" t="str">
        <f>IFERROR(VLOOKUP(Libromaestro[[#This Row],[MACROPROCESO]],Tabla1[],2,FALSE),"")</f>
        <v>Corportativa</v>
      </c>
      <c r="B601" s="73" t="s">
        <v>32</v>
      </c>
      <c r="C601" s="64" t="s">
        <v>51</v>
      </c>
      <c r="D601" s="187" t="s">
        <v>16</v>
      </c>
      <c r="E601" s="18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601" s="18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601" s="187">
        <v>87</v>
      </c>
      <c r="H601" s="187" t="str">
        <f>_xlfn.CONCAT(Libromaestro[[#This Row],[SIGLAS]],"-",Libromaestro[[#This Row],[T. DOC]],"-",Libromaestro[[#This Row],[CONSECUTIVO]])</f>
        <v>H-FT-87</v>
      </c>
      <c r="I601" s="186" t="s">
        <v>2294</v>
      </c>
      <c r="J601" s="187">
        <v>1</v>
      </c>
      <c r="K601" s="64" t="str">
        <f>_xlfn.XLOOKUP(Libromaestro[[#This Row],[CODIGO DEL DOCUMENTO]],Arreglo_Binaps[Codigo Documento],Arreglo_Binaps[Estado],"No creado",0)</f>
        <v>No creado</v>
      </c>
      <c r="L601" s="66" t="str">
        <f>_xlfn.XLOOKUP(Libromaestro[[#This Row],[CODIGO DEL DOCUMENTO]],Arreglo_Binaps[Codigo Documento],Arreglo_Binaps[Fecha de creación],"",0,1)</f>
        <v/>
      </c>
      <c r="M601" s="188"/>
      <c r="N601" s="188"/>
      <c r="O601" s="18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01" s="189" t="str">
        <f>_xlfn.LET(_xlpm.resultado,_xlfn.XLOOKUP(Libromaestro[[#This Row],[CODIGO DEL DOCUMENTO]],Arreglo_Binaps[Codigo Documento],Arreglo_Binaps[Fecha_Aprobacion],"",0,1),IF(_xlpm.resultado=0,"",_xlpm.resultado))</f>
        <v/>
      </c>
      <c r="Q601" s="190"/>
      <c r="R601" s="191"/>
      <c r="S601" s="192"/>
      <c r="T601" s="193"/>
    </row>
    <row r="602" spans="1:20" ht="33.75" customHeight="1" x14ac:dyDescent="0.3">
      <c r="A602" s="187" t="str">
        <f>IFERROR(VLOOKUP(Libromaestro[[#This Row],[MACROPROCESO]],Tabla1[],2,FALSE),"")</f>
        <v>Corportativa</v>
      </c>
      <c r="B602" s="73" t="s">
        <v>32</v>
      </c>
      <c r="C602" s="64" t="s">
        <v>51</v>
      </c>
      <c r="D602" s="187" t="s">
        <v>27</v>
      </c>
      <c r="E602" s="18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602" s="18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602" s="187">
        <v>17</v>
      </c>
      <c r="H602" s="187" t="str">
        <f>_xlfn.CONCAT(Libromaestro[[#This Row],[SIGLAS]],"-",Libromaestro[[#This Row],[T. DOC]],"-",Libromaestro[[#This Row],[CONSECUTIVO]])</f>
        <v>H-IN-17</v>
      </c>
      <c r="I602" s="186" t="s">
        <v>2517</v>
      </c>
      <c r="J602" s="187">
        <v>1</v>
      </c>
      <c r="K602" s="64" t="str">
        <f>_xlfn.XLOOKUP(Libromaestro[[#This Row],[CODIGO DEL DOCUMENTO]],Arreglo_Binaps[Codigo Documento],Arreglo_Binaps[Estado],"No creado",0)</f>
        <v>No creado</v>
      </c>
      <c r="L602" s="66" t="str">
        <f>_xlfn.XLOOKUP(Libromaestro[[#This Row],[CODIGO DEL DOCUMENTO]],Arreglo_Binaps[Codigo Documento],Arreglo_Binaps[Fecha de creación],"",0,1)</f>
        <v/>
      </c>
      <c r="M602" s="188"/>
      <c r="N602" s="188"/>
      <c r="O602" s="18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02" s="189" t="str">
        <f>_xlfn.LET(_xlpm.resultado,_xlfn.XLOOKUP(Libromaestro[[#This Row],[CODIGO DEL DOCUMENTO]],Arreglo_Binaps[Codigo Documento],Arreglo_Binaps[Fecha_Aprobacion],"",0,1),IF(_xlpm.resultado=0,"",_xlpm.resultado))</f>
        <v/>
      </c>
      <c r="Q602" s="190"/>
      <c r="R602" s="191"/>
      <c r="S602" s="192"/>
      <c r="T602" s="193"/>
    </row>
    <row r="603" spans="1:20" ht="33.75" customHeight="1" x14ac:dyDescent="0.3">
      <c r="A603" s="64" t="str">
        <f>IFERROR(VLOOKUP(Libromaestro[[#This Row],[MACROPROCESO]],Tabla1[],2,FALSE),"")</f>
        <v>Suministros</v>
      </c>
      <c r="B603" s="73" t="s">
        <v>45</v>
      </c>
      <c r="C603" s="64" t="s">
        <v>54</v>
      </c>
      <c r="D603" s="64" t="s">
        <v>34</v>
      </c>
      <c r="E603"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603"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603" s="76">
        <v>8</v>
      </c>
      <c r="H603" s="64" t="str">
        <f>_xlfn.CONCAT(Libromaestro[[#This Row],[SIGLAS]],"-",Libromaestro[[#This Row],[T. DOC]],"-",Libromaestro[[#This Row],[CONSECUTIVO]])</f>
        <v>S-PR-8</v>
      </c>
      <c r="I603" s="73" t="s">
        <v>321</v>
      </c>
      <c r="J603" s="64">
        <v>1</v>
      </c>
      <c r="K603" s="64" t="str">
        <f>_xlfn.XLOOKUP(Libromaestro[[#This Row],[CODIGO DEL DOCUMENTO]],Arreglo_Binaps[Codigo Documento],Arreglo_Binaps[Estado],"No creado",0)</f>
        <v>Aprobado</v>
      </c>
      <c r="L603" s="66" t="str">
        <f>_xlfn.XLOOKUP(Libromaestro[[#This Row],[CODIGO DEL DOCUMENTO]],Arreglo_Binaps[Codigo Documento],Arreglo_Binaps[Fecha de creación],"",0,1)</f>
        <v>2024-12-12</v>
      </c>
      <c r="M603" s="66">
        <v>46176</v>
      </c>
      <c r="N603"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O603"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603" s="74">
        <f>_xlfn.LET(_xlpm.resultado,_xlfn.XLOOKUP(Libromaestro[[#This Row],[CODIGO DEL DOCUMENTO]],Arreglo_Binaps[Codigo Documento],Arreglo_Binaps[Fecha_Aprobacion],"",0,1),IF(_xlpm.resultado=0,"",_xlpm.resultado))</f>
        <v>46218</v>
      </c>
      <c r="Q603" s="176"/>
      <c r="R603" s="76"/>
      <c r="S603" s="78"/>
      <c r="T603" s="83"/>
    </row>
    <row r="604" spans="1:20" ht="33.75" customHeight="1" x14ac:dyDescent="0.3">
      <c r="A604" s="187" t="str">
        <f>IFERROR(VLOOKUP(Libromaestro[[#This Row],[MACROPROCESO]],Tabla1[],2,FALSE),"")</f>
        <v>Corportativa</v>
      </c>
      <c r="B604" s="73" t="s">
        <v>32</v>
      </c>
      <c r="C604" s="64" t="s">
        <v>51</v>
      </c>
      <c r="D604" s="187" t="s">
        <v>27</v>
      </c>
      <c r="E604" s="18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604" s="18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604" s="187">
        <v>18</v>
      </c>
      <c r="H604" s="187" t="str">
        <f>_xlfn.CONCAT(Libromaestro[[#This Row],[SIGLAS]],"-",Libromaestro[[#This Row],[T. DOC]],"-",Libromaestro[[#This Row],[CONSECUTIVO]])</f>
        <v>H-IN-18</v>
      </c>
      <c r="I604" s="186" t="s">
        <v>2520</v>
      </c>
      <c r="J604" s="187">
        <v>1</v>
      </c>
      <c r="K604" s="64" t="str">
        <f>_xlfn.XLOOKUP(Libromaestro[[#This Row],[CODIGO DEL DOCUMENTO]],Arreglo_Binaps[Codigo Documento],Arreglo_Binaps[Estado],"No creado",0)</f>
        <v>No creado</v>
      </c>
      <c r="L604" s="66" t="str">
        <f>_xlfn.XLOOKUP(Libromaestro[[#This Row],[CODIGO DEL DOCUMENTO]],Arreglo_Binaps[Codigo Documento],Arreglo_Binaps[Fecha de creación],"",0,1)</f>
        <v/>
      </c>
      <c r="M604" s="188"/>
      <c r="N604" s="188"/>
      <c r="O604" s="18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04" s="189" t="str">
        <f>_xlfn.LET(_xlpm.resultado,_xlfn.XLOOKUP(Libromaestro[[#This Row],[CODIGO DEL DOCUMENTO]],Arreglo_Binaps[Codigo Documento],Arreglo_Binaps[Fecha_Aprobacion],"",0,1),IF(_xlpm.resultado=0,"",_xlpm.resultado))</f>
        <v/>
      </c>
      <c r="Q604" s="190"/>
      <c r="R604" s="191"/>
      <c r="S604" s="192"/>
      <c r="T604" s="193"/>
    </row>
    <row r="605" spans="1:20" ht="33.75" customHeight="1" x14ac:dyDescent="0.3">
      <c r="A605" s="187" t="str">
        <f>IFERROR(VLOOKUP(Libromaestro[[#This Row],[MACROPROCESO]],Tabla1[],2,FALSE),"")</f>
        <v>Corportativa</v>
      </c>
      <c r="B605" s="73" t="s">
        <v>32</v>
      </c>
      <c r="C605" s="64" t="s">
        <v>51</v>
      </c>
      <c r="D605" s="187" t="s">
        <v>27</v>
      </c>
      <c r="E605" s="18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605" s="18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605" s="187">
        <v>19</v>
      </c>
      <c r="H605" s="187" t="str">
        <f>_xlfn.CONCAT(Libromaestro[[#This Row],[SIGLAS]],"-",Libromaestro[[#This Row],[T. DOC]],"-",Libromaestro[[#This Row],[CONSECUTIVO]])</f>
        <v>H-IN-19</v>
      </c>
      <c r="I605" s="186" t="s">
        <v>2521</v>
      </c>
      <c r="J605" s="187">
        <v>1</v>
      </c>
      <c r="K605" s="64" t="str">
        <f>_xlfn.XLOOKUP(Libromaestro[[#This Row],[CODIGO DEL DOCUMENTO]],Arreglo_Binaps[Codigo Documento],Arreglo_Binaps[Estado],"No creado",0)</f>
        <v>No creado</v>
      </c>
      <c r="L605" s="66" t="str">
        <f>_xlfn.XLOOKUP(Libromaestro[[#This Row],[CODIGO DEL DOCUMENTO]],Arreglo_Binaps[Codigo Documento],Arreglo_Binaps[Fecha de creación],"",0,1)</f>
        <v/>
      </c>
      <c r="M605" s="188"/>
      <c r="N605" s="188"/>
      <c r="O605" s="18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05" s="189" t="str">
        <f>_xlfn.LET(_xlpm.resultado,_xlfn.XLOOKUP(Libromaestro[[#This Row],[CODIGO DEL DOCUMENTO]],Arreglo_Binaps[Codigo Documento],Arreglo_Binaps[Fecha_Aprobacion],"",0,1),IF(_xlpm.resultado=0,"",_xlpm.resultado))</f>
        <v/>
      </c>
      <c r="Q605" s="190"/>
      <c r="R605" s="191"/>
      <c r="S605" s="192"/>
      <c r="T605" s="193"/>
    </row>
    <row r="606" spans="1:20" ht="33.75" customHeight="1" x14ac:dyDescent="0.3">
      <c r="A606" s="187" t="str">
        <f>IFERROR(VLOOKUP(Libromaestro[[#This Row],[MACROPROCESO]],Tabla1[],2,FALSE),"")</f>
        <v>Corportativa</v>
      </c>
      <c r="B606" s="73" t="s">
        <v>32</v>
      </c>
      <c r="C606" s="64" t="s">
        <v>51</v>
      </c>
      <c r="D606" s="187" t="s">
        <v>27</v>
      </c>
      <c r="E606" s="18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606" s="18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606" s="187">
        <v>20</v>
      </c>
      <c r="H606" s="187" t="str">
        <f>_xlfn.CONCAT(Libromaestro[[#This Row],[SIGLAS]],"-",Libromaestro[[#This Row],[T. DOC]],"-",Libromaestro[[#This Row],[CONSECUTIVO]])</f>
        <v>H-IN-20</v>
      </c>
      <c r="I606" s="186" t="s">
        <v>2522</v>
      </c>
      <c r="J606" s="187">
        <v>1</v>
      </c>
      <c r="K606" s="64" t="str">
        <f>_xlfn.XLOOKUP(Libromaestro[[#This Row],[CODIGO DEL DOCUMENTO]],Arreglo_Binaps[Codigo Documento],Arreglo_Binaps[Estado],"No creado",0)</f>
        <v>No creado</v>
      </c>
      <c r="L606" s="66" t="str">
        <f>_xlfn.XLOOKUP(Libromaestro[[#This Row],[CODIGO DEL DOCUMENTO]],Arreglo_Binaps[Codigo Documento],Arreglo_Binaps[Fecha de creación],"",0,1)</f>
        <v/>
      </c>
      <c r="M606" s="188"/>
      <c r="N606" s="188"/>
      <c r="O606" s="18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06" s="189" t="str">
        <f>_xlfn.LET(_xlpm.resultado,_xlfn.XLOOKUP(Libromaestro[[#This Row],[CODIGO DEL DOCUMENTO]],Arreglo_Binaps[Codigo Documento],Arreglo_Binaps[Fecha_Aprobacion],"",0,1),IF(_xlpm.resultado=0,"",_xlpm.resultado))</f>
        <v/>
      </c>
      <c r="Q606" s="190"/>
      <c r="R606" s="191"/>
      <c r="S606" s="192"/>
      <c r="T606" s="193"/>
    </row>
    <row r="607" spans="1:20" ht="33.75" customHeight="1" x14ac:dyDescent="0.3">
      <c r="A607" s="187" t="str">
        <f>IFERROR(VLOOKUP(Libromaestro[[#This Row],[MACROPROCESO]],Tabla1[],2,FALSE),"")</f>
        <v>Corportativa</v>
      </c>
      <c r="B607" s="73" t="s">
        <v>32</v>
      </c>
      <c r="C607" s="64" t="s">
        <v>51</v>
      </c>
      <c r="D607" s="187" t="s">
        <v>27</v>
      </c>
      <c r="E607" s="18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607" s="18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607" s="187">
        <v>21</v>
      </c>
      <c r="H607" s="187" t="str">
        <f>_xlfn.CONCAT(Libromaestro[[#This Row],[SIGLAS]],"-",Libromaestro[[#This Row],[T. DOC]],"-",Libromaestro[[#This Row],[CONSECUTIVO]])</f>
        <v>H-IN-21</v>
      </c>
      <c r="I607" s="186" t="s">
        <v>2523</v>
      </c>
      <c r="J607" s="187">
        <v>1</v>
      </c>
      <c r="K607" s="64" t="str">
        <f>_xlfn.XLOOKUP(Libromaestro[[#This Row],[CODIGO DEL DOCUMENTO]],Arreglo_Binaps[Codigo Documento],Arreglo_Binaps[Estado],"No creado",0)</f>
        <v>No creado</v>
      </c>
      <c r="L607" s="66" t="str">
        <f>_xlfn.XLOOKUP(Libromaestro[[#This Row],[CODIGO DEL DOCUMENTO]],Arreglo_Binaps[Codigo Documento],Arreglo_Binaps[Fecha de creación],"",0,1)</f>
        <v/>
      </c>
      <c r="M607" s="188"/>
      <c r="N607" s="188"/>
      <c r="O607" s="18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07" s="189" t="str">
        <f>_xlfn.LET(_xlpm.resultado,_xlfn.XLOOKUP(Libromaestro[[#This Row],[CODIGO DEL DOCUMENTO]],Arreglo_Binaps[Codigo Documento],Arreglo_Binaps[Fecha_Aprobacion],"",0,1),IF(_xlpm.resultado=0,"",_xlpm.resultado))</f>
        <v/>
      </c>
      <c r="Q607" s="190"/>
      <c r="R607" s="191"/>
      <c r="S607" s="192"/>
      <c r="T607" s="193"/>
    </row>
    <row r="608" spans="1:20" ht="33.75" customHeight="1" x14ac:dyDescent="0.3">
      <c r="A608" s="64" t="str">
        <f>IFERROR(VLOOKUP(Libromaestro[[#This Row],[MACROPROCESO]],Tabla1[],2,FALSE),"")</f>
        <v>Suministros</v>
      </c>
      <c r="B608" s="73" t="s">
        <v>45</v>
      </c>
      <c r="C608" s="60" t="s">
        <v>36</v>
      </c>
      <c r="D608" s="64" t="s">
        <v>34</v>
      </c>
      <c r="E608"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608"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608" s="76">
        <v>9</v>
      </c>
      <c r="H608" s="64" t="str">
        <f>_xlfn.CONCAT(Libromaestro[[#This Row],[SIGLAS]],"-",Libromaestro[[#This Row],[T. DOC]],"-",Libromaestro[[#This Row],[CONSECUTIVO]])</f>
        <v>S-PR-9</v>
      </c>
      <c r="I608" s="73" t="s">
        <v>338</v>
      </c>
      <c r="J608" s="64">
        <v>1</v>
      </c>
      <c r="K608" s="64" t="str">
        <f>_xlfn.XLOOKUP(Libromaestro[[#This Row],[CODIGO DEL DOCUMENTO]],Arreglo_Binaps[Codigo Documento],Arreglo_Binaps[Estado],"No creado",0)</f>
        <v>Aprobado</v>
      </c>
      <c r="L608" s="66" t="str">
        <f>_xlfn.XLOOKUP(Libromaestro[[#This Row],[CODIGO DEL DOCUMENTO]],Arreglo_Binaps[Codigo Documento],Arreglo_Binaps[Fecha de creación],"",0,1)</f>
        <v>2025-02-20</v>
      </c>
      <c r="M608" s="66"/>
      <c r="N608"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46803</v>
      </c>
      <c r="O608"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46803</v>
      </c>
      <c r="P608" s="74">
        <f>_xlfn.LET(_xlpm.resultado,_xlfn.XLOOKUP(Libromaestro[[#This Row],[CODIGO DEL DOCUMENTO]],Arreglo_Binaps[Codigo Documento],Arreglo_Binaps[Fecha_Aprobacion],"",0,1),IF(_xlpm.resultado=0,"",_xlpm.resultado))</f>
        <v>45917</v>
      </c>
      <c r="Q608" s="176"/>
      <c r="R608" s="76"/>
      <c r="S608" s="78"/>
      <c r="T608" s="79"/>
    </row>
    <row r="609" spans="1:20" ht="33.75" customHeight="1" x14ac:dyDescent="0.3">
      <c r="A609" s="64" t="str">
        <f>IFERROR(VLOOKUP(Libromaestro[[#This Row],[MACROPROCESO]],Tabla1[],2,FALSE),"")</f>
        <v>Suministros</v>
      </c>
      <c r="B609" s="73" t="s">
        <v>45</v>
      </c>
      <c r="C609" s="64" t="s">
        <v>63</v>
      </c>
      <c r="D609" s="64" t="s">
        <v>34</v>
      </c>
      <c r="E609"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609"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609" s="64">
        <v>11</v>
      </c>
      <c r="H609" s="64" t="str">
        <f>_xlfn.CONCAT(Libromaestro[[#This Row],[SIGLAS]],"-",Libromaestro[[#This Row],[T. DOC]],"-",Libromaestro[[#This Row],[CONSECUTIVO]])</f>
        <v>S-PR-11</v>
      </c>
      <c r="I609" s="73" t="s">
        <v>364</v>
      </c>
      <c r="J609" s="64">
        <v>1</v>
      </c>
      <c r="K609" s="64" t="str">
        <f>_xlfn.XLOOKUP(Libromaestro[[#This Row],[CODIGO DEL DOCUMENTO]],Arreglo_Binaps[Codigo Documento],Arreglo_Binaps[Estado],"No creado",0)</f>
        <v>Aprobado</v>
      </c>
      <c r="L609" s="66" t="str">
        <f>_xlfn.XLOOKUP(Libromaestro[[#This Row],[CODIGO DEL DOCUMENTO]],Arreglo_Binaps[Codigo Documento],Arreglo_Binaps[Fecha de creación],"",0,1)</f>
        <v>2024-09-12</v>
      </c>
      <c r="M609" s="66"/>
      <c r="N609"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46642</v>
      </c>
      <c r="O609"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46642</v>
      </c>
      <c r="P609" s="74">
        <f>_xlfn.LET(_xlpm.resultado,_xlfn.XLOOKUP(Libromaestro[[#This Row],[CODIGO DEL DOCUMENTO]],Arreglo_Binaps[Codigo Documento],Arreglo_Binaps[Fecha_Aprobacion],"",0,1),IF(_xlpm.resultado=0,"",_xlpm.resultado))</f>
        <v>45581</v>
      </c>
      <c r="Q609" s="173"/>
      <c r="R609" s="75"/>
      <c r="S609" s="76" t="s">
        <v>28</v>
      </c>
      <c r="T609" s="73"/>
    </row>
    <row r="610" spans="1:20" ht="33.75" customHeight="1" x14ac:dyDescent="0.3">
      <c r="A610" s="64" t="str">
        <f>IFERROR(VLOOKUP(Libromaestro[[#This Row],[MACROPROCESO]],Tabla1[],2,FALSE),"")</f>
        <v>Suministros</v>
      </c>
      <c r="B610" s="73" t="s">
        <v>45</v>
      </c>
      <c r="C610" s="64" t="s">
        <v>54</v>
      </c>
      <c r="D610" s="64" t="s">
        <v>34</v>
      </c>
      <c r="E610"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610"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610" s="64">
        <v>15</v>
      </c>
      <c r="H610" s="64" t="str">
        <f>_xlfn.CONCAT(Libromaestro[[#This Row],[SIGLAS]],"-",Libromaestro[[#This Row],[T. DOC]],"-",Libromaestro[[#This Row],[CONSECUTIVO]])</f>
        <v>S-PR-15</v>
      </c>
      <c r="I610" s="73" t="s">
        <v>405</v>
      </c>
      <c r="J610" s="64">
        <v>1</v>
      </c>
      <c r="K610" s="64" t="str">
        <f>_xlfn.XLOOKUP(Libromaestro[[#This Row],[CODIGO DEL DOCUMENTO]],Arreglo_Binaps[Codigo Documento],Arreglo_Binaps[Estado],"No creado",0)</f>
        <v>Aprobado</v>
      </c>
      <c r="L610" s="66" t="str">
        <f>_xlfn.XLOOKUP(Libromaestro[[#This Row],[CODIGO DEL DOCUMENTO]],Arreglo_Binaps[Codigo Documento],Arreglo_Binaps[Fecha de creación],"",0,1)</f>
        <v>2024-09-04</v>
      </c>
      <c r="M610" s="66">
        <v>46176</v>
      </c>
      <c r="N610"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O610"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610" s="74">
        <f>_xlfn.LET(_xlpm.resultado,_xlfn.XLOOKUP(Libromaestro[[#This Row],[CODIGO DEL DOCUMENTO]],Arreglo_Binaps[Codigo Documento],Arreglo_Binaps[Fecha_Aprobacion],"",0,1),IF(_xlpm.resultado=0,"",_xlpm.resultado))</f>
        <v>45700</v>
      </c>
      <c r="Q610" s="173"/>
      <c r="R610" s="75"/>
      <c r="S610" s="76"/>
      <c r="T610" s="82"/>
    </row>
    <row r="611" spans="1:20" ht="33.75" customHeight="1" x14ac:dyDescent="0.3">
      <c r="A611" s="64" t="str">
        <f>IFERROR(VLOOKUP(Libromaestro[[#This Row],[MACROPROCESO]],Tabla1[],2,FALSE),"")</f>
        <v>Suministros</v>
      </c>
      <c r="B611" s="73" t="s">
        <v>45</v>
      </c>
      <c r="C611" s="64" t="s">
        <v>54</v>
      </c>
      <c r="D611" s="64" t="s">
        <v>34</v>
      </c>
      <c r="E611"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611"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611" s="64">
        <v>24</v>
      </c>
      <c r="H611" s="64" t="str">
        <f>_xlfn.CONCAT(Libromaestro[[#This Row],[SIGLAS]],"-",Libromaestro[[#This Row],[T. DOC]],"-",Libromaestro[[#This Row],[CONSECUTIVO]])</f>
        <v>S-PR-24</v>
      </c>
      <c r="I611" s="73" t="s">
        <v>605</v>
      </c>
      <c r="J611" s="64">
        <v>1</v>
      </c>
      <c r="K611" s="64" t="str">
        <f>_xlfn.XLOOKUP(Libromaestro[[#This Row],[CODIGO DEL DOCUMENTO]],Arreglo_Binaps[Codigo Documento],Arreglo_Binaps[Estado],"No creado",0)</f>
        <v>No creado</v>
      </c>
      <c r="L611" s="66" t="str">
        <f>_xlfn.XLOOKUP(Libromaestro[[#This Row],[CODIGO DEL DOCUMENTO]],Arreglo_Binaps[Codigo Documento],Arreglo_Binaps[Fecha de creación],"",0,1)</f>
        <v/>
      </c>
      <c r="M611" s="66"/>
      <c r="N611" s="66"/>
      <c r="O611"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11" s="74" t="str">
        <f>_xlfn.LET(_xlpm.resultado,_xlfn.XLOOKUP(Libromaestro[[#This Row],[CODIGO DEL DOCUMENTO]],Arreglo_Binaps[Codigo Documento],Arreglo_Binaps[Fecha_Aprobacion],"",0,1),IF(_xlpm.resultado=0,"",_xlpm.resultado))</f>
        <v/>
      </c>
      <c r="Q611" s="173"/>
      <c r="R611" s="75"/>
      <c r="S611" s="76"/>
      <c r="T611" s="80"/>
    </row>
    <row r="612" spans="1:20" ht="33.75" customHeight="1" x14ac:dyDescent="0.3">
      <c r="A612" s="64" t="str">
        <f>IFERROR(VLOOKUP(Libromaestro[[#This Row],[MACROPROCESO]],Tabla1[],2,FALSE),"")</f>
        <v>Suministros</v>
      </c>
      <c r="B612" s="73" t="s">
        <v>45</v>
      </c>
      <c r="C612" s="64" t="s">
        <v>54</v>
      </c>
      <c r="D612" s="64" t="s">
        <v>34</v>
      </c>
      <c r="E612"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612"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612" s="64">
        <v>12</v>
      </c>
      <c r="H612" s="64" t="str">
        <f>_xlfn.CONCAT(Libromaestro[[#This Row],[SIGLAS]],"-",Libromaestro[[#This Row],[T. DOC]],"-",Libromaestro[[#This Row],[CONSECUTIVO]])</f>
        <v>S-PR-12</v>
      </c>
      <c r="I612" s="73" t="s">
        <v>607</v>
      </c>
      <c r="J612" s="64">
        <v>1</v>
      </c>
      <c r="K612" s="64" t="str">
        <f>_xlfn.XLOOKUP(Libromaestro[[#This Row],[CODIGO DEL DOCUMENTO]],Arreglo_Binaps[Codigo Documento],Arreglo_Binaps[Estado],"No creado",0)</f>
        <v>No creado</v>
      </c>
      <c r="L612" s="66" t="str">
        <f>_xlfn.XLOOKUP(Libromaestro[[#This Row],[CODIGO DEL DOCUMENTO]],Arreglo_Binaps[Codigo Documento],Arreglo_Binaps[Fecha de creación],"",0,1)</f>
        <v/>
      </c>
      <c r="M612" s="66"/>
      <c r="N612" s="66"/>
      <c r="O612" s="7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12" s="74" t="str">
        <f>_xlfn.LET(_xlpm.resultado,_xlfn.XLOOKUP(Libromaestro[[#This Row],[CODIGO DEL DOCUMENTO]],Arreglo_Binaps[Codigo Documento],Arreglo_Binaps[Fecha_Aprobacion],"",0,1),IF(_xlpm.resultado=0,"",_xlpm.resultado))</f>
        <v/>
      </c>
      <c r="Q612" s="173"/>
      <c r="R612" s="75"/>
      <c r="S612" s="76"/>
      <c r="T612" s="80"/>
    </row>
    <row r="613" spans="1:20" ht="33.75" customHeight="1" x14ac:dyDescent="0.3">
      <c r="A613" s="152" t="str">
        <f>IFERROR(VLOOKUP(Libromaestro[[#This Row],[MACROPROCESO]],Tabla1[],2,FALSE),"")</f>
        <v>Suministros</v>
      </c>
      <c r="B613" s="73" t="s">
        <v>45</v>
      </c>
      <c r="C613" s="64" t="s">
        <v>36</v>
      </c>
      <c r="D613" s="152" t="s">
        <v>34</v>
      </c>
      <c r="E613" s="152"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613" s="152"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613" s="152">
        <v>13</v>
      </c>
      <c r="H613" s="152" t="str">
        <f>_xlfn.CONCAT(Libromaestro[[#This Row],[SIGLAS]],"-",Libromaestro[[#This Row],[T. DOC]],"-",Libromaestro[[#This Row],[CONSECUTIVO]])</f>
        <v>S-PR-13</v>
      </c>
      <c r="I613" s="150" t="s">
        <v>2256</v>
      </c>
      <c r="J613" s="152">
        <v>1</v>
      </c>
      <c r="K613" s="64" t="str">
        <f>_xlfn.XLOOKUP(Libromaestro[[#This Row],[CODIGO DEL DOCUMENTO]],Arreglo_Binaps[Codigo Documento],Arreglo_Binaps[Estado],"No creado",0)</f>
        <v>No creado</v>
      </c>
      <c r="L613" s="66" t="str">
        <f>_xlfn.XLOOKUP(Libromaestro[[#This Row],[CODIGO DEL DOCUMENTO]],Arreglo_Binaps[Codigo Documento],Arreglo_Binaps[Fecha de creación],"",0,1)</f>
        <v/>
      </c>
      <c r="M613" s="153"/>
      <c r="N613" s="153"/>
      <c r="O613" s="154"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13" s="154" t="str">
        <f>_xlfn.LET(_xlpm.resultado,_xlfn.XLOOKUP(Libromaestro[[#This Row],[CODIGO DEL DOCUMENTO]],Arreglo_Binaps[Codigo Documento],Arreglo_Binaps[Fecha_Aprobacion],"",0,1),IF(_xlpm.resultado=0,"",_xlpm.resultado))</f>
        <v/>
      </c>
      <c r="Q613" s="183"/>
      <c r="R613" s="155"/>
      <c r="S613" s="156"/>
      <c r="T613" s="157"/>
    </row>
    <row r="614" spans="1:20" ht="33.75" customHeight="1" x14ac:dyDescent="0.3">
      <c r="A614" s="196" t="str">
        <f>IFERROR(VLOOKUP(Libromaestro[[#This Row],[MACROPROCESO]],Tabla1[],2,FALSE),"")</f>
        <v>Suministros</v>
      </c>
      <c r="B614" s="199" t="s">
        <v>45</v>
      </c>
      <c r="C614" s="196" t="s">
        <v>54</v>
      </c>
      <c r="D614" s="196" t="s">
        <v>34</v>
      </c>
      <c r="E614" s="196"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614" s="196"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614" s="196">
        <v>25</v>
      </c>
      <c r="H614" s="196" t="str">
        <f>_xlfn.CONCAT(Libromaestro[[#This Row],[SIGLAS]],"-",Libromaestro[[#This Row],[T. DOC]],"-",Libromaestro[[#This Row],[CONSECUTIVO]])</f>
        <v>S-PR-25</v>
      </c>
      <c r="I614" s="199" t="s">
        <v>2530</v>
      </c>
      <c r="J614" s="196">
        <v>1</v>
      </c>
      <c r="K614" s="64" t="str">
        <f>_xlfn.XLOOKUP(Libromaestro[[#This Row],[CODIGO DEL DOCUMENTO]],Arreglo_Binaps[Codigo Documento],Arreglo_Binaps[Estado],"No creado",0)</f>
        <v>Aprobado</v>
      </c>
      <c r="L614" s="66" t="str">
        <f>_xlfn.XLOOKUP(Libromaestro[[#This Row],[CODIGO DEL DOCUMENTO]],Arreglo_Binaps[Codigo Documento],Arreglo_Binaps[Fecha de creación],"",0,1)</f>
        <v>2026-06-03</v>
      </c>
      <c r="M614" s="66"/>
      <c r="N614" s="197"/>
      <c r="O614" s="198">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614" s="198">
        <f>_xlfn.LET(_xlpm.resultado,_xlfn.XLOOKUP(Libromaestro[[#This Row],[CODIGO DEL DOCUMENTO]],Arreglo_Binaps[Codigo Documento],Arreglo_Binaps[Fecha_Aprobacion],"",0,1),IF(_xlpm.resultado=0,"",_xlpm.resultado))</f>
        <v>46218</v>
      </c>
      <c r="Q614" s="200"/>
      <c r="R614" s="201"/>
      <c r="S614" s="202"/>
      <c r="T614" s="203"/>
    </row>
    <row r="615" spans="1:20" ht="33.75" customHeight="1" x14ac:dyDescent="0.3">
      <c r="A615" s="196" t="str">
        <f>IFERROR(VLOOKUP(Libromaestro[[#This Row],[MACROPROCESO]],Tabla1[],2,FALSE),"")</f>
        <v>Proyectos</v>
      </c>
      <c r="B615" s="199" t="s">
        <v>41</v>
      </c>
      <c r="C615" s="196" t="s">
        <v>47</v>
      </c>
      <c r="D615" s="196" t="s">
        <v>16</v>
      </c>
      <c r="E615" s="196"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P</v>
      </c>
      <c r="F615" s="196"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615" s="196">
        <v>3</v>
      </c>
      <c r="H615" s="196" t="str">
        <f>_xlfn.CONCAT(Libromaestro[[#This Row],[SIGLAS]],"-",Libromaestro[[#This Row],[T. DOC]],"-",Libromaestro[[#This Row],[CONSECUTIVO]])</f>
        <v>P-FT-3</v>
      </c>
      <c r="I615" s="199" t="s">
        <v>2532</v>
      </c>
      <c r="J615" s="196">
        <v>1</v>
      </c>
      <c r="K615" s="64" t="str">
        <f>_xlfn.XLOOKUP(Libromaestro[[#This Row],[CODIGO DEL DOCUMENTO]],Arreglo_Binaps[Codigo Documento],Arreglo_Binaps[Estado],"No creado",0)</f>
        <v>No creado</v>
      </c>
      <c r="L615" s="66" t="str">
        <f>_xlfn.XLOOKUP(Libromaestro[[#This Row],[CODIGO DEL DOCUMENTO]],Arreglo_Binaps[Codigo Documento],Arreglo_Binaps[Fecha de creación],"",0,1)</f>
        <v/>
      </c>
      <c r="M615" s="197"/>
      <c r="N615" s="197"/>
      <c r="O615" s="198"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15" s="198" t="str">
        <f>_xlfn.LET(_xlpm.resultado,_xlfn.XLOOKUP(Libromaestro[[#This Row],[CODIGO DEL DOCUMENTO]],Arreglo_Binaps[Codigo Documento],Arreglo_Binaps[Fecha_Aprobacion],"",0,1),IF(_xlpm.resultado=0,"",_xlpm.resultado))</f>
        <v/>
      </c>
      <c r="Q615" s="200"/>
      <c r="R615" s="201"/>
      <c r="S615" s="202"/>
      <c r="T615" s="203"/>
    </row>
    <row r="616" spans="1:20" ht="33.75" customHeight="1" x14ac:dyDescent="0.3">
      <c r="A616" s="196" t="str">
        <f>IFERROR(VLOOKUP(Libromaestro[[#This Row],[MACROPROCESO]],Tabla1[],2,FALSE),"")</f>
        <v>Suministros</v>
      </c>
      <c r="B616" s="199" t="s">
        <v>45</v>
      </c>
      <c r="C616" s="204" t="s">
        <v>36</v>
      </c>
      <c r="D616" s="196" t="s">
        <v>34</v>
      </c>
      <c r="E616" s="196"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616" s="196"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616" s="196">
        <v>16</v>
      </c>
      <c r="H616" s="196" t="str">
        <f>_xlfn.CONCAT(Libromaestro[[#This Row],[SIGLAS]],"-",Libromaestro[[#This Row],[T. DOC]],"-",Libromaestro[[#This Row],[CONSECUTIVO]])</f>
        <v>S-PR-16</v>
      </c>
      <c r="I616" s="199" t="s">
        <v>2533</v>
      </c>
      <c r="J616" s="196">
        <v>1</v>
      </c>
      <c r="K616" s="64" t="str">
        <f>_xlfn.XLOOKUP(Libromaestro[[#This Row],[CODIGO DEL DOCUMENTO]],Arreglo_Binaps[Codigo Documento],Arreglo_Binaps[Estado],"No creado",0)</f>
        <v>En Revision</v>
      </c>
      <c r="L616" s="66" t="str">
        <f>_xlfn.XLOOKUP(Libromaestro[[#This Row],[CODIGO DEL DOCUMENTO]],Arreglo_Binaps[Codigo Documento],Arreglo_Binaps[Fecha de creación],"",0,1)</f>
        <v>2026-06-03</v>
      </c>
      <c r="M616" s="197"/>
      <c r="N616" s="197"/>
      <c r="O616" s="198">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616" s="198" t="str">
        <f>_xlfn.LET(_xlpm.resultado,_xlfn.XLOOKUP(Libromaestro[[#This Row],[CODIGO DEL DOCUMENTO]],Arreglo_Binaps[Codigo Documento],Arreglo_Binaps[Fecha_Aprobacion],"",0,1),IF(_xlpm.resultado=0,"",_xlpm.resultado))</f>
        <v/>
      </c>
      <c r="Q616" s="200"/>
      <c r="R616" s="201"/>
      <c r="S616" s="202"/>
      <c r="T616" s="203"/>
    </row>
    <row r="617" spans="1:20" ht="33.75" customHeight="1" x14ac:dyDescent="0.3">
      <c r="A617" s="64" t="str">
        <f>IFERROR(VLOOKUP(Libromaestro[[#This Row],[MACROPROCESO]],Tabla1[],2,FALSE),"")</f>
        <v>Suministros</v>
      </c>
      <c r="B617" s="73" t="s">
        <v>45</v>
      </c>
      <c r="C617" s="64" t="s">
        <v>63</v>
      </c>
      <c r="D617" s="64" t="s">
        <v>40</v>
      </c>
      <c r="E617" s="64"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617" s="64"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PT</v>
      </c>
      <c r="G617" s="64">
        <v>1</v>
      </c>
      <c r="H617" s="64" t="str">
        <f>_xlfn.CONCAT(Libromaestro[[#This Row],[SIGLAS]],"-",Libromaestro[[#This Row],[T. DOC]],"-",Libromaestro[[#This Row],[CONSECUTIVO]])</f>
        <v>S-PT-1</v>
      </c>
      <c r="I617" s="265" t="s">
        <v>136</v>
      </c>
      <c r="J617" s="64">
        <v>1</v>
      </c>
      <c r="K617" s="64" t="str">
        <f>_xlfn.XLOOKUP(Libromaestro[[#This Row],[CODIGO DEL DOCUMENTO]],Arreglo_Binaps[Codigo Documento],Arreglo_Binaps[Estado],"No creado",0)</f>
        <v>En Revision</v>
      </c>
      <c r="L617" s="66" t="str">
        <f>_xlfn.XLOOKUP(Libromaestro[[#This Row],[CODIGO DEL DOCUMENTO]],Arreglo_Binaps[Codigo Documento],Arreglo_Binaps[Fecha de creación],"",0,1)</f>
        <v>2026-07-16</v>
      </c>
      <c r="M617" s="66"/>
      <c r="N617"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47315</v>
      </c>
      <c r="O617" s="66">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47315</v>
      </c>
      <c r="P617" s="74" t="str">
        <f>_xlfn.LET(_xlpm.resultado,_xlfn.XLOOKUP(Libromaestro[[#This Row],[CODIGO DEL DOCUMENTO]],Arreglo_Binaps[Codigo Documento],Arreglo_Binaps[Fecha_Aprobacion],"",0,1),IF(_xlpm.resultado=0,"",_xlpm.resultado))</f>
        <v/>
      </c>
      <c r="Q617" s="173"/>
      <c r="R617" s="75"/>
      <c r="S617" s="76"/>
      <c r="T617" s="73"/>
    </row>
    <row r="618" spans="1:20" ht="33.75" customHeight="1" x14ac:dyDescent="0.3">
      <c r="A618" s="196" t="str">
        <f>IFERROR(VLOOKUP(Libromaestro[[#This Row],[MACROPROCESO]],Tabla1[],2,FALSE),"")</f>
        <v>Corportativa</v>
      </c>
      <c r="B618" s="199" t="s">
        <v>32</v>
      </c>
      <c r="C618" s="196" t="s">
        <v>51</v>
      </c>
      <c r="D618" s="196" t="s">
        <v>37</v>
      </c>
      <c r="E618" s="196"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618" s="196"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618" s="196">
        <v>10</v>
      </c>
      <c r="H618" s="196" t="str">
        <f>_xlfn.CONCAT(Libromaestro[[#This Row],[SIGLAS]],"-",Libromaestro[[#This Row],[T. DOC]],"-",Libromaestro[[#This Row],[CONSECUTIVO]])</f>
        <v>H-PO-10</v>
      </c>
      <c r="I618" s="199" t="s">
        <v>2535</v>
      </c>
      <c r="J618" s="196">
        <v>1</v>
      </c>
      <c r="K618" s="64" t="str">
        <f>_xlfn.XLOOKUP(Libromaestro[[#This Row],[CODIGO DEL DOCUMENTO]],Arreglo_Binaps[Codigo Documento],Arreglo_Binaps[Estado],"No creado",0)</f>
        <v>Aprobado</v>
      </c>
      <c r="L618" s="66" t="str">
        <f>_xlfn.XLOOKUP(Libromaestro[[#This Row],[CODIGO DEL DOCUMENTO]],Arreglo_Binaps[Codigo Documento],Arreglo_Binaps[Fecha de creación],"",0,1)</f>
        <v>2026-06-18</v>
      </c>
      <c r="M618" s="197"/>
      <c r="N618" s="197"/>
      <c r="O618" s="198">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47287</v>
      </c>
      <c r="P618" s="198">
        <f>_xlfn.LET(_xlpm.resultado,_xlfn.XLOOKUP(Libromaestro[[#This Row],[CODIGO DEL DOCUMENTO]],Arreglo_Binaps[Codigo Documento],Arreglo_Binaps[Fecha_Aprobacion],"",0,1),IF(_xlpm.resultado=0,"",_xlpm.resultado))</f>
        <v>46191</v>
      </c>
      <c r="Q618" s="200"/>
      <c r="R618" s="201"/>
      <c r="S618" s="202"/>
      <c r="T618" s="203"/>
    </row>
    <row r="619" spans="1:20" ht="33.75" customHeight="1" x14ac:dyDescent="0.3">
      <c r="A619" s="196" t="str">
        <f>IFERROR(VLOOKUP(Libromaestro[[#This Row],[MACROPROCESO]],Tabla1[],2,FALSE),"")</f>
        <v>Corportativa</v>
      </c>
      <c r="B619" s="199" t="s">
        <v>32</v>
      </c>
      <c r="C619" s="196" t="s">
        <v>51</v>
      </c>
      <c r="D619" s="196" t="s">
        <v>48</v>
      </c>
      <c r="E619" s="196"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619" s="196"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PG</v>
      </c>
      <c r="G619" s="196">
        <v>2</v>
      </c>
      <c r="H619" s="196" t="str">
        <f>_xlfn.CONCAT(Libromaestro[[#This Row],[SIGLAS]],"-",Libromaestro[[#This Row],[T. DOC]],"-",Libromaestro[[#This Row],[CONSECUTIVO]])</f>
        <v>H-PG-2</v>
      </c>
      <c r="I619" s="199" t="s">
        <v>2536</v>
      </c>
      <c r="J619" s="196">
        <v>1</v>
      </c>
      <c r="K619" s="64" t="str">
        <f>_xlfn.XLOOKUP(Libromaestro[[#This Row],[CODIGO DEL DOCUMENTO]],Arreglo_Binaps[Codigo Documento],Arreglo_Binaps[Estado],"No creado",0)</f>
        <v>No creado</v>
      </c>
      <c r="L619" s="66" t="str">
        <f>_xlfn.XLOOKUP(Libromaestro[[#This Row],[CODIGO DEL DOCUMENTO]],Arreglo_Binaps[Codigo Documento],Arreglo_Binaps[Fecha de creación],"",0,1)</f>
        <v/>
      </c>
      <c r="M619" s="197"/>
      <c r="N619" s="197"/>
      <c r="O619" s="198"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19" s="198" t="str">
        <f>_xlfn.LET(_xlpm.resultado,_xlfn.XLOOKUP(Libromaestro[[#This Row],[CODIGO DEL DOCUMENTO]],Arreglo_Binaps[Codigo Documento],Arreglo_Binaps[Fecha_Aprobacion],"",0,1),IF(_xlpm.resultado=0,"",_xlpm.resultado))</f>
        <v/>
      </c>
      <c r="Q619" s="200"/>
      <c r="R619" s="201"/>
      <c r="S619" s="202"/>
      <c r="T619" s="203"/>
    </row>
    <row r="620" spans="1:20" ht="33.75" customHeight="1" x14ac:dyDescent="0.3">
      <c r="A620" s="241" t="str">
        <f>IFERROR(VLOOKUP(Libromaestro[[#This Row],[MACROPROCESO]],Tabla1[],2,FALSE),"")</f>
        <v>Suministros</v>
      </c>
      <c r="B620" s="199" t="s">
        <v>45</v>
      </c>
      <c r="C620" s="204" t="s">
        <v>36</v>
      </c>
      <c r="D620" s="196" t="s">
        <v>34</v>
      </c>
      <c r="E620" s="241"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620" s="241"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620" s="241">
        <v>2</v>
      </c>
      <c r="H620" s="241" t="str">
        <f>_xlfn.CONCAT(Libromaestro[[#This Row],[SIGLAS]],"-",Libromaestro[[#This Row],[T. DOC]],"-",Libromaestro[[#This Row],[CONSECUTIVO]])</f>
        <v>S-PR-2</v>
      </c>
      <c r="I620" s="240" t="s">
        <v>2538</v>
      </c>
      <c r="J620" s="241">
        <v>1</v>
      </c>
      <c r="K620" s="64" t="str">
        <f>_xlfn.XLOOKUP(Libromaestro[[#This Row],[CODIGO DEL DOCUMENTO]],Arreglo_Binaps[Codigo Documento],Arreglo_Binaps[Estado],"No creado",0)</f>
        <v>En Revision</v>
      </c>
      <c r="L620" s="66" t="str">
        <f>_xlfn.XLOOKUP(Libromaestro[[#This Row],[CODIGO DEL DOCUMENTO]],Arreglo_Binaps[Codigo Documento],Arreglo_Binaps[Fecha de creación],"",0,1)</f>
        <v>2026-06-03</v>
      </c>
      <c r="M620" s="242"/>
      <c r="N620" s="242"/>
      <c r="O620" s="243">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620" s="243" t="str">
        <f>_xlfn.LET(_xlpm.resultado,_xlfn.XLOOKUP(Libromaestro[[#This Row],[CODIGO DEL DOCUMENTO]],Arreglo_Binaps[Codigo Documento],Arreglo_Binaps[Fecha_Aprobacion],"",0,1),IF(_xlpm.resultado=0,"",_xlpm.resultado))</f>
        <v/>
      </c>
      <c r="Q620" s="244"/>
      <c r="R620" s="245"/>
      <c r="S620" s="246"/>
      <c r="T620" s="247"/>
    </row>
    <row r="621" spans="1:20" ht="33.75" customHeight="1" x14ac:dyDescent="0.3">
      <c r="A621" s="248" t="str">
        <f>IFERROR(VLOOKUP(Libromaestro[[#This Row],[MACROPROCESO]],Tabla1[],2,FALSE),"")</f>
        <v>Suministros</v>
      </c>
      <c r="B621" s="251" t="s">
        <v>45</v>
      </c>
      <c r="C621" s="248" t="s">
        <v>54</v>
      </c>
      <c r="D621" s="248" t="s">
        <v>34</v>
      </c>
      <c r="E621" s="248"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621" s="248"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621" s="248">
        <v>26</v>
      </c>
      <c r="H621" s="248" t="str">
        <f>_xlfn.CONCAT(Libromaestro[[#This Row],[SIGLAS]],"-",Libromaestro[[#This Row],[T. DOC]],"-",Libromaestro[[#This Row],[CONSECUTIVO]])</f>
        <v>S-PR-26</v>
      </c>
      <c r="I621" s="251" t="s">
        <v>2539</v>
      </c>
      <c r="J621" s="196">
        <v>1</v>
      </c>
      <c r="K621" s="64" t="str">
        <f>_xlfn.XLOOKUP(Libromaestro[[#This Row],[CODIGO DEL DOCUMENTO]],Arreglo_Binaps[Codigo Documento],Arreglo_Binaps[Estado],"No creado",0)</f>
        <v>Aprobado</v>
      </c>
      <c r="L621" s="66" t="str">
        <f>_xlfn.XLOOKUP(Libromaestro[[#This Row],[CODIGO DEL DOCUMENTO]],Arreglo_Binaps[Codigo Documento],Arreglo_Binaps[Fecha de creación],"",0,1)</f>
        <v>2026-06-03</v>
      </c>
      <c r="M621" s="66"/>
      <c r="N621" s="249"/>
      <c r="O621" s="250">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621" s="250">
        <f>_xlfn.LET(_xlpm.resultado,_xlfn.XLOOKUP(Libromaestro[[#This Row],[CODIGO DEL DOCUMENTO]],Arreglo_Binaps[Codigo Documento],Arreglo_Binaps[Fecha_Aprobacion],"",0,1),IF(_xlpm.resultado=0,"",_xlpm.resultado))</f>
        <v>46218</v>
      </c>
      <c r="Q621" s="252"/>
      <c r="R621" s="253"/>
      <c r="S621" s="254"/>
      <c r="T621" s="255"/>
    </row>
    <row r="622" spans="1:20" ht="33.75" customHeight="1" x14ac:dyDescent="0.3">
      <c r="A622" s="248" t="str">
        <f>IFERROR(VLOOKUP(Libromaestro[[#This Row],[MACROPROCESO]],Tabla1[],2,FALSE),"")</f>
        <v>Suministros</v>
      </c>
      <c r="B622" s="251" t="s">
        <v>45</v>
      </c>
      <c r="C622" s="248" t="s">
        <v>54</v>
      </c>
      <c r="D622" s="248" t="s">
        <v>34</v>
      </c>
      <c r="E622" s="248"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622" s="248"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622" s="248">
        <v>27</v>
      </c>
      <c r="H622" s="248" t="str">
        <f>_xlfn.CONCAT(Libromaestro[[#This Row],[SIGLAS]],"-",Libromaestro[[#This Row],[T. DOC]],"-",Libromaestro[[#This Row],[CONSECUTIVO]])</f>
        <v>S-PR-27</v>
      </c>
      <c r="I622" s="251" t="s">
        <v>285</v>
      </c>
      <c r="J622" s="196">
        <v>1</v>
      </c>
      <c r="K622" s="64" t="str">
        <f>_xlfn.XLOOKUP(Libromaestro[[#This Row],[CODIGO DEL DOCUMENTO]],Arreglo_Binaps[Codigo Documento],Arreglo_Binaps[Estado],"No creado",0)</f>
        <v>Aprobado</v>
      </c>
      <c r="L622" s="66" t="str">
        <f>_xlfn.XLOOKUP(Libromaestro[[#This Row],[CODIGO DEL DOCUMENTO]],Arreglo_Binaps[Codigo Documento],Arreglo_Binaps[Fecha de creación],"",0,1)</f>
        <v>2026-06-03</v>
      </c>
      <c r="M622" s="249"/>
      <c r="N622" s="249"/>
      <c r="O622" s="250">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622" s="250">
        <f>_xlfn.LET(_xlpm.resultado,_xlfn.XLOOKUP(Libromaestro[[#This Row],[CODIGO DEL DOCUMENTO]],Arreglo_Binaps[Codigo Documento],Arreglo_Binaps[Fecha_Aprobacion],"",0,1),IF(_xlpm.resultado=0,"",_xlpm.resultado))</f>
        <v>46218</v>
      </c>
      <c r="Q622" s="252"/>
      <c r="R622" s="253"/>
      <c r="S622" s="254"/>
      <c r="T622" s="255"/>
    </row>
    <row r="623" spans="1:20" ht="33.75" customHeight="1" x14ac:dyDescent="0.3">
      <c r="A623" s="248" t="str">
        <f>IFERROR(VLOOKUP(Libromaestro[[#This Row],[MACROPROCESO]],Tabla1[],2,FALSE),"")</f>
        <v>Suministros</v>
      </c>
      <c r="B623" s="251" t="s">
        <v>45</v>
      </c>
      <c r="C623" s="248" t="s">
        <v>54</v>
      </c>
      <c r="D623" s="248" t="s">
        <v>34</v>
      </c>
      <c r="E623" s="248"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623" s="248"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623" s="248">
        <v>28</v>
      </c>
      <c r="H623" s="248" t="str">
        <f>_xlfn.CONCAT(Libromaestro[[#This Row],[SIGLAS]],"-",Libromaestro[[#This Row],[T. DOC]],"-",Libromaestro[[#This Row],[CONSECUTIVO]])</f>
        <v>S-PR-28</v>
      </c>
      <c r="I623" s="251" t="s">
        <v>2541</v>
      </c>
      <c r="J623" s="196">
        <v>1</v>
      </c>
      <c r="K623" s="64" t="str">
        <f>_xlfn.XLOOKUP(Libromaestro[[#This Row],[CODIGO DEL DOCUMENTO]],Arreglo_Binaps[Codigo Documento],Arreglo_Binaps[Estado],"No creado",0)</f>
        <v>Aprobado</v>
      </c>
      <c r="L623" s="66" t="str">
        <f>_xlfn.XLOOKUP(Libromaestro[[#This Row],[CODIGO DEL DOCUMENTO]],Arreglo_Binaps[Codigo Documento],Arreglo_Binaps[Fecha de creación],"",0,1)</f>
        <v>2026-06-03</v>
      </c>
      <c r="M623" s="249"/>
      <c r="N623" s="249"/>
      <c r="O623" s="250">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623" s="250">
        <f>_xlfn.LET(_xlpm.resultado,_xlfn.XLOOKUP(Libromaestro[[#This Row],[CODIGO DEL DOCUMENTO]],Arreglo_Binaps[Codigo Documento],Arreglo_Binaps[Fecha_Aprobacion],"",0,1),IF(_xlpm.resultado=0,"",_xlpm.resultado))</f>
        <v>46218</v>
      </c>
      <c r="Q623" s="252"/>
      <c r="R623" s="253"/>
      <c r="S623" s="254"/>
      <c r="T623" s="255"/>
    </row>
    <row r="624" spans="1:20" ht="33.75" customHeight="1" x14ac:dyDescent="0.3">
      <c r="A624" s="248" t="str">
        <f>IFERROR(VLOOKUP(Libromaestro[[#This Row],[MACROPROCESO]],Tabla1[],2,FALSE),"")</f>
        <v>Suministros</v>
      </c>
      <c r="B624" s="251" t="s">
        <v>45</v>
      </c>
      <c r="C624" s="248" t="s">
        <v>54</v>
      </c>
      <c r="D624" s="248" t="s">
        <v>34</v>
      </c>
      <c r="E624" s="248"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624" s="248"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624" s="248">
        <v>29</v>
      </c>
      <c r="H624" s="248" t="str">
        <f>_xlfn.CONCAT(Libromaestro[[#This Row],[SIGLAS]],"-",Libromaestro[[#This Row],[T. DOC]],"-",Libromaestro[[#This Row],[CONSECUTIVO]])</f>
        <v>S-PR-29</v>
      </c>
      <c r="I624" s="251" t="s">
        <v>2542</v>
      </c>
      <c r="J624" s="196">
        <v>1</v>
      </c>
      <c r="K624" s="64" t="str">
        <f>_xlfn.XLOOKUP(Libromaestro[[#This Row],[CODIGO DEL DOCUMENTO]],Arreglo_Binaps[Codigo Documento],Arreglo_Binaps[Estado],"No creado",0)</f>
        <v>Aprobado</v>
      </c>
      <c r="L624" s="66" t="str">
        <f>_xlfn.XLOOKUP(Libromaestro[[#This Row],[CODIGO DEL DOCUMENTO]],Arreglo_Binaps[Codigo Documento],Arreglo_Binaps[Fecha de creación],"",0,1)</f>
        <v>2026-06-03</v>
      </c>
      <c r="M624" s="249"/>
      <c r="N624" s="249"/>
      <c r="O624" s="250">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624" s="250">
        <f>_xlfn.LET(_xlpm.resultado,_xlfn.XLOOKUP(Libromaestro[[#This Row],[CODIGO DEL DOCUMENTO]],Arreglo_Binaps[Codigo Documento],Arreglo_Binaps[Fecha_Aprobacion],"",0,1),IF(_xlpm.resultado=0,"",_xlpm.resultado))</f>
        <v>46218</v>
      </c>
      <c r="Q624" s="252"/>
      <c r="R624" s="253"/>
      <c r="S624" s="254"/>
      <c r="T624" s="255"/>
    </row>
    <row r="625" spans="1:20" ht="33.75" customHeight="1" x14ac:dyDescent="0.3">
      <c r="A625" s="248" t="str">
        <f>IFERROR(VLOOKUP(Libromaestro[[#This Row],[MACROPROCESO]],Tabla1[],2,FALSE),"")</f>
        <v>Suministros</v>
      </c>
      <c r="B625" s="251" t="s">
        <v>45</v>
      </c>
      <c r="C625" s="248" t="s">
        <v>54</v>
      </c>
      <c r="D625" s="248" t="s">
        <v>34</v>
      </c>
      <c r="E625" s="248"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625" s="248"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PR</v>
      </c>
      <c r="G625" s="248">
        <v>30</v>
      </c>
      <c r="H625" s="248" t="str">
        <f>_xlfn.CONCAT(Libromaestro[[#This Row],[SIGLAS]],"-",Libromaestro[[#This Row],[T. DOC]],"-",Libromaestro[[#This Row],[CONSECUTIVO]])</f>
        <v>S-PR-30</v>
      </c>
      <c r="I625" s="251" t="s">
        <v>2543</v>
      </c>
      <c r="J625" s="196">
        <v>1</v>
      </c>
      <c r="K625" s="64" t="str">
        <f>_xlfn.XLOOKUP(Libromaestro[[#This Row],[CODIGO DEL DOCUMENTO]],Arreglo_Binaps[Codigo Documento],Arreglo_Binaps[Estado],"No creado",0)</f>
        <v>Aprobado</v>
      </c>
      <c r="L625" s="66" t="str">
        <f>_xlfn.XLOOKUP(Libromaestro[[#This Row],[CODIGO DEL DOCUMENTO]],Arreglo_Binaps[Codigo Documento],Arreglo_Binaps[Fecha de creación],"",0,1)</f>
        <v>2026-06-03</v>
      </c>
      <c r="M625" s="249"/>
      <c r="N625" s="249"/>
      <c r="O625" s="250">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47272</v>
      </c>
      <c r="P625" s="250">
        <f>_xlfn.LET(_xlpm.resultado,_xlfn.XLOOKUP(Libromaestro[[#This Row],[CODIGO DEL DOCUMENTO]],Arreglo_Binaps[Codigo Documento],Arreglo_Binaps[Fecha_Aprobacion],"",0,1),IF(_xlpm.resultado=0,"",_xlpm.resultado))</f>
        <v>46218</v>
      </c>
      <c r="Q625" s="252"/>
      <c r="R625" s="253"/>
      <c r="S625" s="254"/>
      <c r="T625" s="255"/>
    </row>
    <row r="626" spans="1:20" ht="33.75" customHeight="1" x14ac:dyDescent="0.3">
      <c r="A626" s="248" t="str">
        <f>IFERROR(VLOOKUP(Libromaestro[[#This Row],[MACROPROCESO]],Tabla1[],2,FALSE),"")</f>
        <v>Corportativa</v>
      </c>
      <c r="B626" s="251" t="s">
        <v>32</v>
      </c>
      <c r="C626" s="248" t="s">
        <v>59</v>
      </c>
      <c r="D626" s="248" t="s">
        <v>22</v>
      </c>
      <c r="E626" s="248"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626" s="248"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GU</v>
      </c>
      <c r="G626" s="248">
        <v>10</v>
      </c>
      <c r="H626" s="248" t="str">
        <f>_xlfn.CONCAT(Libromaestro[[#This Row],[SIGLAS]],"-",Libromaestro[[#This Row],[T. DOC]],"-",Libromaestro[[#This Row],[CONSECUTIVO]])</f>
        <v>H-GU-10</v>
      </c>
      <c r="I626" s="251" t="s">
        <v>2545</v>
      </c>
      <c r="J626" s="248">
        <v>1</v>
      </c>
      <c r="K626" s="64" t="str">
        <f>_xlfn.XLOOKUP(Libromaestro[[#This Row],[CODIGO DEL DOCUMENTO]],Arreglo_Binaps[Codigo Documento],Arreglo_Binaps[Estado],"No creado",0)</f>
        <v>No creado</v>
      </c>
      <c r="L626" s="66" t="str">
        <f>_xlfn.XLOOKUP(Libromaestro[[#This Row],[CODIGO DEL DOCUMENTO]],Arreglo_Binaps[Codigo Documento],Arreglo_Binaps[Fecha de creación],"",0,1)</f>
        <v/>
      </c>
      <c r="M626" s="249"/>
      <c r="N626" s="249"/>
      <c r="O626" s="250"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26" s="250" t="str">
        <f>_xlfn.LET(_xlpm.resultado,_xlfn.XLOOKUP(Libromaestro[[#This Row],[CODIGO DEL DOCUMENTO]],Arreglo_Binaps[Codigo Documento],Arreglo_Binaps[Fecha_Aprobacion],"",0,1),IF(_xlpm.resultado=0,"",_xlpm.resultado))</f>
        <v/>
      </c>
      <c r="Q626" s="252"/>
      <c r="R626" s="253"/>
      <c r="S626" s="254"/>
      <c r="T626" s="255"/>
    </row>
    <row r="627" spans="1:20" ht="33.75" customHeight="1" x14ac:dyDescent="0.3">
      <c r="A627" s="195" t="str">
        <f>IFERROR(VLOOKUP(Libromaestro[[#This Row],[MACROPROCESO]],Tabla1[],2,FALSE),"")</f>
        <v>Suministros</v>
      </c>
      <c r="B627" s="205" t="s">
        <v>45</v>
      </c>
      <c r="C627" s="248" t="s">
        <v>36</v>
      </c>
      <c r="D627" s="248" t="s">
        <v>27</v>
      </c>
      <c r="E627" s="248"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S</v>
      </c>
      <c r="F627" s="248"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IN</v>
      </c>
      <c r="G627" s="248">
        <v>30</v>
      </c>
      <c r="H627" s="248" t="str">
        <f>_xlfn.CONCAT(Libromaestro[[#This Row],[SIGLAS]],"-",Libromaestro[[#This Row],[T. DOC]],"-",Libromaestro[[#This Row],[CONSECUTIVO]])</f>
        <v>S-IN-30</v>
      </c>
      <c r="I627" s="251" t="s">
        <v>2546</v>
      </c>
      <c r="J627" s="248">
        <v>1</v>
      </c>
      <c r="K627" s="64" t="str">
        <f>_xlfn.XLOOKUP(Libromaestro[[#This Row],[CODIGO DEL DOCUMENTO]],Arreglo_Binaps[Codigo Documento],Arreglo_Binaps[Estado],"No creado",0)</f>
        <v>No creado</v>
      </c>
      <c r="L627" s="66" t="str">
        <f>_xlfn.XLOOKUP(Libromaestro[[#This Row],[CODIGO DEL DOCUMENTO]],Arreglo_Binaps[Codigo Documento],Arreglo_Binaps[Fecha de creación],"",0,1)</f>
        <v/>
      </c>
      <c r="M627" s="249"/>
      <c r="N627" s="249"/>
      <c r="O627" s="250"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27" s="250" t="str">
        <f>_xlfn.LET(_xlpm.resultado,_xlfn.XLOOKUP(Libromaestro[[#This Row],[CODIGO DEL DOCUMENTO]],Arreglo_Binaps[Codigo Documento],Arreglo_Binaps[Fecha_Aprobacion],"",0,1),IF(_xlpm.resultado=0,"",_xlpm.resultado))</f>
        <v/>
      </c>
      <c r="Q627" s="252"/>
      <c r="R627" s="253"/>
      <c r="S627" s="254"/>
      <c r="T627" s="255"/>
    </row>
    <row r="628" spans="1:20" ht="33.75" customHeight="1" x14ac:dyDescent="0.3">
      <c r="A628" s="248" t="str">
        <f>IFERROR(VLOOKUP(Libromaestro[[#This Row],[MACROPROCESO]],Tabla1[],2,FALSE),"")</f>
        <v>Alumbrado Público</v>
      </c>
      <c r="B628" s="98" t="s">
        <v>7</v>
      </c>
      <c r="C628" s="103" t="s">
        <v>9</v>
      </c>
      <c r="D628" s="103" t="s">
        <v>16</v>
      </c>
      <c r="E628" s="248"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A</v>
      </c>
      <c r="F628" s="248"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FT</v>
      </c>
      <c r="G628" s="248">
        <v>31</v>
      </c>
      <c r="H628" s="248" t="str">
        <f>_xlfn.CONCAT(Libromaestro[[#This Row],[SIGLAS]],"-",Libromaestro[[#This Row],[T. DOC]],"-",Libromaestro[[#This Row],[CONSECUTIVO]])</f>
        <v>A-FT-31</v>
      </c>
      <c r="I628" s="251" t="s">
        <v>2547</v>
      </c>
      <c r="J628" s="248">
        <v>1</v>
      </c>
      <c r="K628" s="64" t="str">
        <f>_xlfn.XLOOKUP(Libromaestro[[#This Row],[CODIGO DEL DOCUMENTO]],Arreglo_Binaps[Codigo Documento],Arreglo_Binaps[Estado],"No creado",0)</f>
        <v>No creado</v>
      </c>
      <c r="L628" s="66" t="str">
        <f>_xlfn.XLOOKUP(Libromaestro[[#This Row],[CODIGO DEL DOCUMENTO]],Arreglo_Binaps[Codigo Documento],Arreglo_Binaps[Fecha de creación],"",0,1)</f>
        <v/>
      </c>
      <c r="M628" s="249"/>
      <c r="N628" s="249"/>
      <c r="O628" s="250"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28" s="250" t="str">
        <f>_xlfn.LET(_xlpm.resultado,_xlfn.XLOOKUP(Libromaestro[[#This Row],[CODIGO DEL DOCUMENTO]],Arreglo_Binaps[Codigo Documento],Arreglo_Binaps[Fecha_Aprobacion],"",0,1),IF(_xlpm.resultado=0,"",_xlpm.resultado))</f>
        <v/>
      </c>
      <c r="Q628" s="252"/>
      <c r="R628" s="253"/>
      <c r="S628" s="254"/>
      <c r="T628" s="255"/>
    </row>
    <row r="629" spans="1:20" ht="33.75" customHeight="1" x14ac:dyDescent="0.3">
      <c r="A629" s="248" t="str">
        <f>IFERROR(VLOOKUP(Libromaestro[[#This Row],[MACROPROCESO]],Tabla1[],2,FALSE),"")</f>
        <v>Corportativa</v>
      </c>
      <c r="B629" s="251" t="s">
        <v>32</v>
      </c>
      <c r="C629" s="248" t="s">
        <v>51</v>
      </c>
      <c r="D629" s="248" t="s">
        <v>37</v>
      </c>
      <c r="E629" s="248"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629" s="248"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629" s="248">
        <v>11</v>
      </c>
      <c r="H629" s="248" t="str">
        <f>_xlfn.CONCAT(Libromaestro[[#This Row],[SIGLAS]],"-",Libromaestro[[#This Row],[T. DOC]],"-",Libromaestro[[#This Row],[CONSECUTIVO]])</f>
        <v>H-PO-11</v>
      </c>
      <c r="I629" s="251" t="s">
        <v>2548</v>
      </c>
      <c r="J629" s="248">
        <v>1</v>
      </c>
      <c r="K629" s="64" t="str">
        <f>_xlfn.XLOOKUP(Libromaestro[[#This Row],[CODIGO DEL DOCUMENTO]],Arreglo_Binaps[Codigo Documento],Arreglo_Binaps[Estado],"No creado",0)</f>
        <v>Aprobado</v>
      </c>
      <c r="L629" s="66" t="str">
        <f>_xlfn.XLOOKUP(Libromaestro[[#This Row],[CODIGO DEL DOCUMENTO]],Arreglo_Binaps[Codigo Documento],Arreglo_Binaps[Fecha de creación],"",0,1)</f>
        <v>2026-06-23</v>
      </c>
      <c r="M629" s="249"/>
      <c r="N629" s="249"/>
      <c r="O629" s="250">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47292</v>
      </c>
      <c r="P629" s="250">
        <f>_xlfn.LET(_xlpm.resultado,_xlfn.XLOOKUP(Libromaestro[[#This Row],[CODIGO DEL DOCUMENTO]],Arreglo_Binaps[Codigo Documento],Arreglo_Binaps[Fecha_Aprobacion],"",0,1),IF(_xlpm.resultado=0,"",_xlpm.resultado))</f>
        <v>46196</v>
      </c>
      <c r="Q629" s="252"/>
      <c r="R629" s="253"/>
      <c r="S629" s="254"/>
      <c r="T629" s="255"/>
    </row>
    <row r="630" spans="1:20" ht="33.75" customHeight="1" x14ac:dyDescent="0.3">
      <c r="A630" s="60" t="str">
        <f>IFERROR(VLOOKUP(Libromaestro[[#This Row],[MACROPROCESO]],Tabla1[],2,FALSE),"")</f>
        <v>Corportativa</v>
      </c>
      <c r="B630" s="98" t="s">
        <v>32</v>
      </c>
      <c r="C630" s="103" t="s">
        <v>59</v>
      </c>
      <c r="D630" s="103" t="s">
        <v>31</v>
      </c>
      <c r="E630" s="257"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630" s="257"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MA</v>
      </c>
      <c r="G630" s="257">
        <v>5</v>
      </c>
      <c r="H630" s="257" t="str">
        <f>_xlfn.CONCAT(Libromaestro[[#This Row],[SIGLAS]],"-",Libromaestro[[#This Row],[T. DOC]],"-",Libromaestro[[#This Row],[CONSECUTIVO]])</f>
        <v>H-MA-5</v>
      </c>
      <c r="I630" s="260" t="s">
        <v>2550</v>
      </c>
      <c r="J630" s="257">
        <v>1</v>
      </c>
      <c r="K630" s="64" t="str">
        <f>_xlfn.XLOOKUP(Libromaestro[[#This Row],[CODIGO DEL DOCUMENTO]],Arreglo_Binaps[Codigo Documento],Arreglo_Binaps[Estado],"No creado",0)</f>
        <v>No creado</v>
      </c>
      <c r="L630" s="66" t="str">
        <f>_xlfn.XLOOKUP(Libromaestro[[#This Row],[CODIGO DEL DOCUMENTO]],Arreglo_Binaps[Codigo Documento],Arreglo_Binaps[Fecha de creación],"",0,1)</f>
        <v/>
      </c>
      <c r="M630" s="258"/>
      <c r="N630" s="258"/>
      <c r="O630" s="259"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30" s="259" t="str">
        <f>_xlfn.LET(_xlpm.resultado,_xlfn.XLOOKUP(Libromaestro[[#This Row],[CODIGO DEL DOCUMENTO]],Arreglo_Binaps[Codigo Documento],Arreglo_Binaps[Fecha_Aprobacion],"",0,1),IF(_xlpm.resultado=0,"",_xlpm.resultado))</f>
        <v/>
      </c>
      <c r="Q630" s="261"/>
      <c r="R630" s="262"/>
      <c r="S630" s="263"/>
      <c r="T630" s="264"/>
    </row>
    <row r="631" spans="1:20" ht="33.75" customHeight="1" x14ac:dyDescent="0.3">
      <c r="A631" s="269" t="str">
        <f>IFERROR(VLOOKUP(Libromaestro[[#This Row],[MACROPROCESO]],Tabla1[],2,FALSE),"")</f>
        <v>Corportativa</v>
      </c>
      <c r="B631" s="267" t="s">
        <v>32</v>
      </c>
      <c r="C631" s="269" t="s">
        <v>51</v>
      </c>
      <c r="D631" s="248" t="s">
        <v>37</v>
      </c>
      <c r="E631" s="269" t="str">
        <f>IF(Libromaestro[[#This Row],[MACROPROCESO]]="Gestión Alumbrado Público e Iluminación","A",
IF(Libromaestro[[#This Row],[MACROPROCESO]]="Gestión Administrativa","D",
IF(Libromaestro[[#This Row],[MACROPROCESO]]="Gestión Estratégica","E",
IF(Libromaestro[[#This Row],[MACROPROCESO]]="Gestión Financiera","F",
IF(Libromaestro[[#This Row],[MACROPROCESO]]="Gestión Cumplimiento","L",
IF(Libromaestro[[#This Row],[MACROPROCESO]]="Gestión Humana","H",
IF(Libromaestro[[#This Row],[MACROPROCESO]]="Gestión Juridica","J",
IF(Libromaestro[[#This Row],[MACROPROCESO]]="Gestión Mejora Continua","M",
IF(Libromaestro[[#This Row],[MACROPROCESO]]="Gestión Proyectos","P",
IF(Libromaestro[[#This Row],[MACROPROCESO]]="Gestión Suministros","S",
IF(Libromaestro[[#This Row],[MACROPROCESO]]="Gestión Contable","T","")))))))))))</f>
        <v>H</v>
      </c>
      <c r="F631" s="269" t="str">
        <f>+IF(Libromaestro[[#This Row],[TIPO DE DOCUMENTO]]="Caracterización","CA",
IF(Libromaestro[[#This Row],[TIPO DE DOCUMENTO]]="Formato","FT",
IF(Libromaestro[[#This Row],[TIPO DE DOCUMENTO]]="Guía","GU",
IF(Libromaestro[[#This Row],[TIPO DE DOCUMENTO]]="Instructivo","IN",
IF(Libromaestro[[#This Row],[TIPO DE DOCUMENTO]]="Manual","MA",
IF(Libromaestro[[#This Row],[TIPO DE DOCUMENTO]]="Procedimiento","PR",
IF(Libromaestro[[#This Row],[TIPO DE DOCUMENTO]]="Política","PO",
IF(Libromaestro[[#This Row],[TIPO DE DOCUMENTO]]="Protocolo","PT",
IF(Libromaestro[[#This Row],[TIPO DE DOCUMENTO]]="Plan","PL",
IF(Libromaestro[[#This Row],[TIPO DE DOCUMENTO]]="Programa","PG",""))))))))))</f>
        <v>PO</v>
      </c>
      <c r="G631" s="269">
        <v>12</v>
      </c>
      <c r="H631" s="269" t="str">
        <f>_xlfn.CONCAT(Libromaestro[[#This Row],[SIGLAS]],"-",Libromaestro[[#This Row],[T. DOC]],"-",Libromaestro[[#This Row],[CONSECUTIVO]])</f>
        <v>H-PO-12</v>
      </c>
      <c r="I631" s="267" t="s">
        <v>2744</v>
      </c>
      <c r="J631" s="269">
        <v>1</v>
      </c>
      <c r="K631" s="269" t="str">
        <f>_xlfn.XLOOKUP(Libromaestro[[#This Row],[CODIGO DEL DOCUMENTO]],Arreglo_Binaps[Codigo Documento],Arreglo_Binaps[Estado],"No creado",0)</f>
        <v>No creado</v>
      </c>
      <c r="L631" s="66" t="str">
        <f>_xlfn.XLOOKUP(Libromaestro[[#This Row],[CODIGO DEL DOCUMENTO]],Arreglo_Binaps[Codigo Documento],Arreglo_Binaps[Fecha de creación],"",0,1)</f>
        <v/>
      </c>
      <c r="M631" s="270"/>
      <c r="N631" s="270"/>
      <c r="O631" s="270" t="str">
        <f>IFERROR((IF(AND(Libromaestro[[#This Row],[FECHA DE CREACIÓN ]]="",Libromaestro[[#This Row],[FECHA DE ACTUALIZACIÓN]]=""),"",IF(Libromaestro[[#This Row],[FECHA DE ACTUALIZACIÓN]]="",DATE(YEAR(Libromaestro[[#This Row],[FECHA DE CREACIÓN ]])+3,MONTH(Libromaestro[[#This Row],[FECHA DE CREACIÓN ]]),DAY(Libromaestro[[#This Row],[FECHA DE CREACIÓN ]])),DATE(YEAR(Libromaestro[[#This Row],[FECHA DE ACTUALIZACIÓN]])+3,MONTH(Libromaestro[[#This Row],[FECHA DE ACTUALIZACIÓN]]),DAY(Libromaestro[[#This Row],[FECHA DE ACTUALIZACIÓN]]))))),"")</f>
        <v/>
      </c>
      <c r="P631" s="271" t="str">
        <f>_xlfn.LET(_xlpm.resultado,_xlfn.XLOOKUP(Libromaestro[[#This Row],[CODIGO DEL DOCUMENTO]],Arreglo_Binaps[Codigo Documento],Arreglo_Binaps[Fecha_Aprobacion],"",0,1),IF(_xlpm.resultado=0,"",_xlpm.resultado))</f>
        <v/>
      </c>
      <c r="Q631" s="272"/>
      <c r="R631" s="273"/>
      <c r="S631" s="274"/>
      <c r="T631" s="275"/>
    </row>
    <row r="632" spans="1:20" ht="33.75" customHeight="1" x14ac:dyDescent="0.3">
      <c r="B632" s="113"/>
      <c r="C632" s="113"/>
      <c r="D632" s="113"/>
      <c r="E632" s="59"/>
      <c r="F632" s="59"/>
      <c r="G632" s="59"/>
      <c r="H632" s="59"/>
      <c r="I632" s="113"/>
      <c r="J632" s="113"/>
      <c r="K632" s="113"/>
      <c r="L632" s="113"/>
      <c r="M632" s="114"/>
      <c r="N632" s="115"/>
      <c r="O632" s="115"/>
      <c r="P632" s="115"/>
      <c r="Q632" s="115"/>
      <c r="R632" s="115"/>
      <c r="S632" s="115"/>
      <c r="T632" s="115"/>
    </row>
    <row r="633" spans="1:20" ht="33.75" customHeight="1" x14ac:dyDescent="0.3">
      <c r="B633" s="113"/>
      <c r="C633" s="113"/>
      <c r="D633" s="113"/>
      <c r="E633" s="59"/>
      <c r="F633" s="59"/>
      <c r="G633" s="59"/>
      <c r="H633" s="59"/>
      <c r="I633" s="113"/>
      <c r="J633" s="113"/>
      <c r="K633" s="113"/>
      <c r="L633" s="113"/>
      <c r="M633" s="114"/>
      <c r="N633" s="115"/>
      <c r="O633" s="115"/>
      <c r="P633" s="115"/>
      <c r="Q633" s="115"/>
      <c r="R633" s="115"/>
      <c r="S633" s="115"/>
      <c r="T633" s="115"/>
    </row>
    <row r="634" spans="1:20" ht="33.75" customHeight="1" x14ac:dyDescent="0.3">
      <c r="B634" s="113"/>
      <c r="C634" s="113"/>
      <c r="D634" s="113"/>
      <c r="E634" s="59"/>
      <c r="F634" s="59"/>
      <c r="G634" s="59"/>
      <c r="H634" s="59"/>
      <c r="I634" s="113"/>
      <c r="J634" s="113"/>
      <c r="K634" s="113"/>
      <c r="L634" s="113"/>
      <c r="M634" s="114"/>
      <c r="N634" s="115"/>
      <c r="O634" s="115"/>
      <c r="P634" s="115"/>
      <c r="Q634" s="115"/>
      <c r="R634" s="115"/>
      <c r="S634" s="115"/>
      <c r="T634" s="115"/>
    </row>
    <row r="635" spans="1:20" ht="33.75" customHeight="1" x14ac:dyDescent="0.3">
      <c r="B635" s="113"/>
      <c r="C635" s="113"/>
      <c r="D635" s="113"/>
      <c r="E635" s="59"/>
      <c r="F635" s="59"/>
      <c r="G635" s="59"/>
      <c r="H635" s="59"/>
      <c r="I635" s="113"/>
      <c r="J635" s="113"/>
      <c r="K635" s="113"/>
      <c r="L635" s="113"/>
      <c r="M635" s="114"/>
      <c r="N635" s="115"/>
      <c r="O635" s="115"/>
      <c r="P635" s="115"/>
      <c r="Q635" s="115"/>
      <c r="R635" s="115"/>
      <c r="S635" s="115"/>
      <c r="T635" s="115"/>
    </row>
    <row r="636" spans="1:20" ht="33.75" customHeight="1" x14ac:dyDescent="0.3">
      <c r="B636" s="113"/>
      <c r="C636" s="113"/>
      <c r="D636" s="113"/>
      <c r="E636" s="59"/>
      <c r="F636" s="59"/>
      <c r="G636" s="59"/>
      <c r="H636" s="59"/>
      <c r="I636" s="113"/>
      <c r="J636" s="113"/>
      <c r="K636" s="113"/>
      <c r="L636" s="113"/>
      <c r="M636" s="114"/>
      <c r="N636" s="115"/>
      <c r="O636" s="115"/>
      <c r="P636" s="115"/>
      <c r="Q636" s="115"/>
      <c r="R636" s="115"/>
      <c r="S636" s="115"/>
      <c r="T636" s="115"/>
    </row>
    <row r="637" spans="1:20" ht="33.75" customHeight="1" x14ac:dyDescent="0.3">
      <c r="B637" s="113"/>
      <c r="C637" s="113"/>
      <c r="D637" s="113"/>
      <c r="E637" s="59"/>
      <c r="F637" s="59"/>
      <c r="G637" s="59"/>
      <c r="H637" s="59"/>
      <c r="I637" s="113"/>
      <c r="J637" s="113"/>
      <c r="K637" s="113"/>
      <c r="L637" s="113"/>
      <c r="M637" s="114"/>
      <c r="N637" s="115"/>
      <c r="O637" s="115"/>
      <c r="P637" s="115"/>
      <c r="Q637" s="115"/>
      <c r="R637" s="115"/>
      <c r="S637" s="115"/>
      <c r="T637" s="115"/>
    </row>
    <row r="638" spans="1:20" ht="33.75" customHeight="1" x14ac:dyDescent="0.3">
      <c r="B638" s="113"/>
      <c r="C638" s="113"/>
      <c r="D638" s="113"/>
      <c r="E638" s="59"/>
      <c r="F638" s="59"/>
      <c r="G638" s="59"/>
      <c r="H638" s="59"/>
      <c r="I638" s="113"/>
      <c r="J638" s="113"/>
      <c r="K638" s="113"/>
      <c r="L638" s="113"/>
      <c r="M638" s="114"/>
      <c r="N638" s="115"/>
      <c r="O638" s="115"/>
      <c r="P638" s="115"/>
      <c r="Q638" s="115"/>
      <c r="R638" s="115"/>
      <c r="S638" s="115"/>
      <c r="T638" s="115"/>
    </row>
    <row r="639" spans="1:20" ht="33.75" customHeight="1" x14ac:dyDescent="0.3">
      <c r="B639" s="113"/>
      <c r="C639" s="113"/>
      <c r="D639" s="113"/>
      <c r="E639" s="59"/>
      <c r="F639" s="59"/>
      <c r="G639" s="59"/>
      <c r="H639" s="59"/>
      <c r="I639" s="113"/>
      <c r="J639" s="113"/>
      <c r="K639" s="113"/>
      <c r="L639" s="113"/>
      <c r="M639" s="114"/>
      <c r="N639" s="115"/>
      <c r="O639" s="115"/>
      <c r="P639" s="115"/>
      <c r="Q639" s="115"/>
      <c r="R639" s="115"/>
      <c r="S639" s="115"/>
      <c r="T639" s="115"/>
    </row>
    <row r="640" spans="1:20" ht="33.75" customHeight="1" x14ac:dyDescent="0.3">
      <c r="B640" s="113"/>
      <c r="C640" s="113"/>
      <c r="D640" s="113"/>
      <c r="E640" s="59"/>
      <c r="F640" s="59"/>
      <c r="G640" s="59"/>
      <c r="H640" s="59"/>
      <c r="I640" s="113"/>
      <c r="J640" s="113"/>
      <c r="K640" s="113"/>
      <c r="L640" s="113"/>
      <c r="M640" s="114"/>
      <c r="N640" s="115"/>
      <c r="O640" s="115"/>
      <c r="P640" s="115"/>
      <c r="Q640" s="115"/>
      <c r="R640" s="115"/>
      <c r="S640" s="115"/>
      <c r="T640" s="115"/>
    </row>
    <row r="641" spans="2:20" ht="33.75" customHeight="1" x14ac:dyDescent="0.3">
      <c r="B641" s="113"/>
      <c r="C641" s="113"/>
      <c r="D641" s="113"/>
      <c r="E641" s="59"/>
      <c r="F641" s="59"/>
      <c r="G641" s="59"/>
      <c r="H641" s="59"/>
      <c r="I641" s="113"/>
      <c r="J641" s="113"/>
      <c r="K641" s="113"/>
      <c r="L641" s="113"/>
      <c r="M641" s="114"/>
      <c r="N641" s="115"/>
      <c r="O641" s="115"/>
      <c r="P641" s="115"/>
      <c r="Q641" s="115"/>
      <c r="R641" s="115"/>
      <c r="S641" s="115"/>
      <c r="T641" s="115"/>
    </row>
    <row r="642" spans="2:20" ht="33.75" customHeight="1" x14ac:dyDescent="0.3">
      <c r="B642" s="113"/>
      <c r="C642" s="113"/>
      <c r="D642" s="113"/>
      <c r="E642" s="59"/>
      <c r="F642" s="59"/>
      <c r="G642" s="59"/>
      <c r="H642" s="59"/>
      <c r="I642" s="113"/>
      <c r="J642" s="113"/>
      <c r="K642" s="113"/>
      <c r="L642" s="113"/>
      <c r="M642" s="114"/>
      <c r="N642" s="115"/>
      <c r="O642" s="115"/>
      <c r="P642" s="115"/>
      <c r="Q642" s="115"/>
      <c r="R642" s="115"/>
      <c r="S642" s="115"/>
      <c r="T642" s="115"/>
    </row>
    <row r="643" spans="2:20" ht="33.75" customHeight="1" x14ac:dyDescent="0.3">
      <c r="B643" s="113"/>
      <c r="C643" s="113"/>
      <c r="D643" s="113"/>
      <c r="E643" s="59"/>
      <c r="F643" s="59"/>
      <c r="G643" s="59"/>
      <c r="H643" s="59"/>
      <c r="I643" s="113"/>
      <c r="J643" s="113"/>
      <c r="K643" s="113"/>
      <c r="L643" s="113"/>
      <c r="M643" s="114"/>
      <c r="N643" s="115"/>
      <c r="O643" s="115"/>
      <c r="P643" s="115"/>
      <c r="Q643" s="115"/>
      <c r="R643" s="115"/>
      <c r="S643" s="115"/>
      <c r="T643" s="115"/>
    </row>
    <row r="644" spans="2:20" ht="33.75" customHeight="1" x14ac:dyDescent="0.3">
      <c r="B644" s="113"/>
      <c r="C644" s="113"/>
      <c r="D644" s="113"/>
      <c r="E644" s="59"/>
      <c r="F644" s="59"/>
      <c r="G644" s="59"/>
      <c r="H644" s="59"/>
      <c r="I644" s="113"/>
      <c r="J644" s="113"/>
      <c r="K644" s="113"/>
      <c r="L644" s="113"/>
      <c r="M644" s="114"/>
      <c r="N644" s="115"/>
      <c r="O644" s="115"/>
      <c r="P644" s="115"/>
      <c r="Q644" s="115"/>
      <c r="R644" s="115"/>
      <c r="S644" s="115"/>
      <c r="T644" s="115"/>
    </row>
    <row r="645" spans="2:20" ht="33.75" customHeight="1" x14ac:dyDescent="0.3">
      <c r="B645" s="113"/>
      <c r="C645" s="113"/>
      <c r="D645" s="113"/>
      <c r="E645" s="59"/>
      <c r="F645" s="59"/>
      <c r="G645" s="59"/>
      <c r="H645" s="59"/>
      <c r="I645" s="113"/>
      <c r="J645" s="113"/>
      <c r="K645" s="113"/>
      <c r="L645" s="113"/>
      <c r="M645" s="114"/>
      <c r="N645" s="115"/>
      <c r="O645" s="115"/>
      <c r="P645" s="115"/>
      <c r="Q645" s="115"/>
      <c r="R645" s="115"/>
      <c r="S645" s="115"/>
      <c r="T645" s="115"/>
    </row>
    <row r="646" spans="2:20" ht="33.75" customHeight="1" x14ac:dyDescent="0.3">
      <c r="B646" s="113"/>
      <c r="C646" s="113"/>
      <c r="D646" s="113"/>
      <c r="E646" s="59"/>
      <c r="F646" s="59"/>
      <c r="G646" s="59"/>
      <c r="H646" s="59"/>
      <c r="I646" s="113"/>
      <c r="J646" s="113"/>
      <c r="K646" s="113"/>
      <c r="L646" s="113"/>
      <c r="M646" s="114"/>
      <c r="N646" s="115"/>
      <c r="O646" s="115"/>
      <c r="P646" s="115"/>
      <c r="Q646" s="115"/>
      <c r="R646" s="115"/>
      <c r="S646" s="115"/>
      <c r="T646" s="115"/>
    </row>
    <row r="647" spans="2:20" ht="33.75" customHeight="1" x14ac:dyDescent="0.3">
      <c r="B647" s="113"/>
      <c r="C647" s="113"/>
      <c r="D647" s="113"/>
      <c r="E647" s="59"/>
      <c r="F647" s="59"/>
      <c r="G647" s="59"/>
      <c r="H647" s="59"/>
      <c r="I647" s="113"/>
      <c r="J647" s="113"/>
      <c r="K647" s="113"/>
      <c r="L647" s="113"/>
      <c r="M647" s="114"/>
      <c r="N647" s="115"/>
      <c r="O647" s="115"/>
      <c r="P647" s="115"/>
      <c r="Q647" s="115"/>
      <c r="R647" s="115"/>
      <c r="S647" s="115"/>
      <c r="T647" s="115"/>
    </row>
    <row r="648" spans="2:20" ht="33.75" customHeight="1" x14ac:dyDescent="0.3">
      <c r="B648" s="113"/>
      <c r="C648" s="113"/>
      <c r="D648" s="113"/>
      <c r="E648" s="59"/>
      <c r="F648" s="59"/>
      <c r="G648" s="59"/>
      <c r="H648" s="59"/>
      <c r="I648" s="113"/>
      <c r="J648" s="113"/>
      <c r="K648" s="113"/>
      <c r="L648" s="113"/>
      <c r="M648" s="114"/>
      <c r="N648" s="115"/>
      <c r="O648" s="115"/>
      <c r="P648" s="115"/>
      <c r="Q648" s="115"/>
      <c r="R648" s="115"/>
      <c r="S648" s="115"/>
      <c r="T648" s="115"/>
    </row>
    <row r="649" spans="2:20" ht="33.75" customHeight="1" x14ac:dyDescent="0.3">
      <c r="B649" s="113"/>
      <c r="C649" s="113"/>
      <c r="D649" s="113"/>
      <c r="E649" s="59"/>
      <c r="F649" s="59"/>
      <c r="G649" s="59"/>
      <c r="H649" s="59"/>
      <c r="I649" s="113"/>
      <c r="J649" s="113"/>
      <c r="K649" s="113"/>
      <c r="L649" s="113"/>
      <c r="M649" s="114"/>
      <c r="N649" s="115"/>
      <c r="O649" s="115"/>
      <c r="P649" s="115"/>
      <c r="Q649" s="115"/>
      <c r="R649" s="115"/>
      <c r="S649" s="115"/>
      <c r="T649" s="115"/>
    </row>
    <row r="650" spans="2:20" ht="33.75" customHeight="1" x14ac:dyDescent="0.3">
      <c r="B650" s="113"/>
      <c r="C650" s="113"/>
      <c r="D650" s="113"/>
      <c r="E650" s="59"/>
      <c r="F650" s="59"/>
      <c r="G650" s="59"/>
      <c r="H650" s="59"/>
      <c r="I650" s="113"/>
      <c r="J650" s="113"/>
      <c r="K650" s="113"/>
      <c r="L650" s="113"/>
      <c r="M650" s="114"/>
      <c r="N650" s="115"/>
      <c r="O650" s="115"/>
      <c r="P650" s="115"/>
      <c r="Q650" s="115"/>
      <c r="R650" s="115"/>
      <c r="S650" s="115"/>
      <c r="T650" s="115"/>
    </row>
    <row r="651" spans="2:20" ht="33.75" customHeight="1" x14ac:dyDescent="0.3">
      <c r="B651" s="113"/>
      <c r="C651" s="113"/>
      <c r="D651" s="113"/>
      <c r="E651" s="59"/>
      <c r="F651" s="59"/>
      <c r="G651" s="59"/>
      <c r="H651" s="59"/>
      <c r="I651" s="113"/>
      <c r="J651" s="113"/>
      <c r="K651" s="113"/>
      <c r="L651" s="113"/>
      <c r="M651" s="114"/>
      <c r="N651" s="115"/>
      <c r="O651" s="115"/>
      <c r="P651" s="115"/>
      <c r="Q651" s="115"/>
      <c r="R651" s="115"/>
      <c r="S651" s="115"/>
      <c r="T651" s="115"/>
    </row>
    <row r="652" spans="2:20" ht="33.75" customHeight="1" x14ac:dyDescent="0.3">
      <c r="B652" s="113"/>
      <c r="C652" s="113"/>
      <c r="D652" s="113"/>
      <c r="E652" s="59"/>
      <c r="F652" s="59"/>
      <c r="G652" s="59"/>
      <c r="H652" s="59"/>
      <c r="I652" s="113"/>
      <c r="J652" s="113"/>
      <c r="K652" s="113"/>
      <c r="L652" s="113"/>
      <c r="M652" s="114"/>
      <c r="N652" s="115"/>
      <c r="O652" s="115"/>
      <c r="P652" s="115"/>
      <c r="Q652" s="115"/>
      <c r="R652" s="115"/>
      <c r="S652" s="115"/>
      <c r="T652" s="115"/>
    </row>
    <row r="653" spans="2:20" ht="33.75" customHeight="1" x14ac:dyDescent="0.3">
      <c r="B653" s="113"/>
      <c r="C653" s="113"/>
      <c r="D653" s="113"/>
      <c r="E653" s="59"/>
      <c r="F653" s="59"/>
      <c r="G653" s="59"/>
      <c r="H653" s="59"/>
      <c r="I653" s="113"/>
      <c r="J653" s="113"/>
      <c r="K653" s="113"/>
      <c r="L653" s="113"/>
      <c r="M653" s="114"/>
      <c r="N653" s="115"/>
      <c r="O653" s="115"/>
      <c r="P653" s="115"/>
      <c r="Q653" s="115"/>
      <c r="R653" s="115"/>
      <c r="S653" s="115"/>
      <c r="T653" s="115"/>
    </row>
    <row r="654" spans="2:20" ht="33.75" customHeight="1" x14ac:dyDescent="0.3">
      <c r="B654" s="113"/>
      <c r="C654" s="113"/>
      <c r="D654" s="113"/>
      <c r="E654" s="59"/>
      <c r="F654" s="59"/>
      <c r="G654" s="59"/>
      <c r="H654" s="59"/>
      <c r="I654" s="113"/>
      <c r="J654" s="113"/>
      <c r="K654" s="113"/>
      <c r="L654" s="113"/>
      <c r="M654" s="114"/>
      <c r="N654" s="115"/>
      <c r="O654" s="115"/>
      <c r="P654" s="115"/>
      <c r="Q654" s="115"/>
      <c r="R654" s="115"/>
      <c r="S654" s="115"/>
      <c r="T654" s="115"/>
    </row>
    <row r="655" spans="2:20" ht="33.75" customHeight="1" x14ac:dyDescent="0.3">
      <c r="B655" s="113"/>
      <c r="C655" s="113"/>
      <c r="D655" s="113"/>
      <c r="E655" s="59"/>
      <c r="F655" s="59"/>
      <c r="G655" s="59"/>
      <c r="H655" s="59"/>
      <c r="I655" s="113"/>
      <c r="J655" s="113"/>
      <c r="K655" s="113"/>
      <c r="L655" s="113"/>
      <c r="M655" s="114"/>
      <c r="N655" s="115"/>
      <c r="O655" s="115"/>
      <c r="P655" s="115"/>
      <c r="Q655" s="115"/>
      <c r="R655" s="115"/>
      <c r="S655" s="115"/>
      <c r="T655" s="115"/>
    </row>
    <row r="656" spans="2:20" ht="33.75" customHeight="1" x14ac:dyDescent="0.3">
      <c r="B656" s="113"/>
      <c r="C656" s="113"/>
      <c r="D656" s="113"/>
      <c r="E656" s="59"/>
      <c r="F656" s="59"/>
      <c r="G656" s="59"/>
      <c r="H656" s="59"/>
      <c r="I656" s="113"/>
      <c r="J656" s="113"/>
      <c r="K656" s="113"/>
      <c r="L656" s="113"/>
      <c r="M656" s="114"/>
      <c r="N656" s="115"/>
      <c r="O656" s="115"/>
      <c r="P656" s="115"/>
      <c r="Q656" s="115"/>
      <c r="R656" s="115"/>
      <c r="S656" s="115"/>
      <c r="T656" s="115"/>
    </row>
    <row r="657" spans="2:20" ht="33.75" customHeight="1" x14ac:dyDescent="0.3">
      <c r="B657" s="113"/>
      <c r="C657" s="113"/>
      <c r="D657" s="113"/>
      <c r="E657" s="59"/>
      <c r="F657" s="59"/>
      <c r="G657" s="59"/>
      <c r="H657" s="59"/>
      <c r="I657" s="113"/>
      <c r="J657" s="113"/>
      <c r="K657" s="113"/>
      <c r="L657" s="113"/>
      <c r="M657" s="114"/>
      <c r="N657" s="115"/>
      <c r="O657" s="115"/>
      <c r="P657" s="115"/>
      <c r="Q657" s="115"/>
      <c r="R657" s="115"/>
      <c r="S657" s="115"/>
      <c r="T657" s="115"/>
    </row>
    <row r="658" spans="2:20" ht="33.75" customHeight="1" x14ac:dyDescent="0.3">
      <c r="B658" s="113"/>
      <c r="C658" s="113"/>
      <c r="D658" s="113"/>
      <c r="E658" s="59"/>
      <c r="F658" s="59"/>
      <c r="G658" s="59"/>
      <c r="H658" s="59"/>
      <c r="I658" s="113"/>
      <c r="J658" s="113"/>
      <c r="K658" s="113"/>
      <c r="L658" s="113"/>
      <c r="M658" s="114"/>
      <c r="N658" s="115"/>
      <c r="O658" s="115"/>
      <c r="P658" s="115"/>
      <c r="Q658" s="115"/>
      <c r="R658" s="115"/>
      <c r="S658" s="115"/>
      <c r="T658" s="115"/>
    </row>
    <row r="659" spans="2:20" ht="33.75" customHeight="1" x14ac:dyDescent="0.3">
      <c r="B659" s="113"/>
      <c r="C659" s="113"/>
      <c r="D659" s="113"/>
      <c r="E659" s="59"/>
      <c r="F659" s="59"/>
      <c r="G659" s="59"/>
      <c r="H659" s="59"/>
      <c r="I659" s="113"/>
      <c r="J659" s="113"/>
      <c r="K659" s="113"/>
      <c r="L659" s="113"/>
      <c r="M659" s="114"/>
      <c r="N659" s="115"/>
      <c r="O659" s="115"/>
      <c r="P659" s="115"/>
      <c r="Q659" s="115"/>
      <c r="R659" s="115"/>
      <c r="S659" s="115"/>
      <c r="T659" s="115"/>
    </row>
    <row r="660" spans="2:20" ht="33.75" customHeight="1" x14ac:dyDescent="0.3">
      <c r="B660" s="113"/>
      <c r="C660" s="113"/>
      <c r="D660" s="113"/>
      <c r="E660" s="59"/>
      <c r="F660" s="59"/>
      <c r="G660" s="59"/>
      <c r="H660" s="59"/>
      <c r="I660" s="113"/>
      <c r="J660" s="113"/>
      <c r="K660" s="113"/>
      <c r="L660" s="113"/>
      <c r="M660" s="114"/>
      <c r="N660" s="115"/>
      <c r="O660" s="115"/>
      <c r="P660" s="115"/>
      <c r="Q660" s="115"/>
      <c r="R660" s="115"/>
      <c r="S660" s="115"/>
      <c r="T660" s="115"/>
    </row>
    <row r="661" spans="2:20" ht="33.75" customHeight="1" x14ac:dyDescent="0.3">
      <c r="B661" s="113"/>
      <c r="C661" s="113"/>
      <c r="D661" s="113"/>
      <c r="E661" s="59"/>
      <c r="F661" s="59"/>
      <c r="G661" s="59"/>
      <c r="H661" s="59"/>
      <c r="I661" s="113"/>
      <c r="J661" s="113"/>
      <c r="K661" s="113"/>
      <c r="L661" s="113"/>
      <c r="M661" s="114"/>
      <c r="N661" s="115"/>
      <c r="O661" s="115"/>
      <c r="P661" s="115"/>
      <c r="Q661" s="115"/>
      <c r="R661" s="115"/>
      <c r="S661" s="115"/>
      <c r="T661" s="115"/>
    </row>
    <row r="662" spans="2:20" ht="33.75" customHeight="1" x14ac:dyDescent="0.3">
      <c r="B662" s="113"/>
      <c r="C662" s="113"/>
      <c r="D662" s="113"/>
      <c r="E662" s="59"/>
      <c r="F662" s="59"/>
      <c r="G662" s="59"/>
      <c r="H662" s="59"/>
      <c r="I662" s="113"/>
      <c r="J662" s="113"/>
      <c r="K662" s="113"/>
      <c r="L662" s="113"/>
      <c r="M662" s="114"/>
      <c r="N662" s="115"/>
      <c r="O662" s="115"/>
      <c r="P662" s="115"/>
      <c r="Q662" s="115"/>
      <c r="R662" s="115"/>
      <c r="S662" s="115"/>
      <c r="T662" s="115"/>
    </row>
    <row r="663" spans="2:20" ht="33.75" customHeight="1" x14ac:dyDescent="0.3">
      <c r="B663" s="113"/>
      <c r="C663" s="113"/>
      <c r="D663" s="113"/>
      <c r="E663" s="59"/>
      <c r="F663" s="59"/>
      <c r="G663" s="59"/>
      <c r="H663" s="59"/>
      <c r="I663" s="113"/>
      <c r="J663" s="113"/>
      <c r="K663" s="113"/>
      <c r="L663" s="113"/>
      <c r="M663" s="114"/>
      <c r="N663" s="115"/>
      <c r="O663" s="115"/>
      <c r="P663" s="115"/>
      <c r="Q663" s="115"/>
      <c r="R663" s="115"/>
      <c r="S663" s="115"/>
      <c r="T663" s="115"/>
    </row>
    <row r="664" spans="2:20" ht="33.75" customHeight="1" x14ac:dyDescent="0.3">
      <c r="B664" s="113"/>
      <c r="C664" s="113"/>
      <c r="D664" s="113"/>
      <c r="E664" s="59"/>
      <c r="F664" s="59"/>
      <c r="G664" s="59"/>
      <c r="H664" s="59"/>
      <c r="I664" s="113"/>
      <c r="J664" s="113"/>
      <c r="K664" s="113"/>
      <c r="L664" s="113"/>
      <c r="M664" s="114"/>
      <c r="N664" s="115"/>
      <c r="O664" s="115"/>
      <c r="P664" s="115"/>
      <c r="Q664" s="115"/>
      <c r="R664" s="115"/>
      <c r="S664" s="115"/>
      <c r="T664" s="115"/>
    </row>
    <row r="665" spans="2:20" ht="33.75" customHeight="1" x14ac:dyDescent="0.3">
      <c r="B665" s="113"/>
      <c r="C665" s="113"/>
      <c r="D665" s="113"/>
      <c r="E665" s="59"/>
      <c r="F665" s="59"/>
      <c r="G665" s="59"/>
      <c r="H665" s="59"/>
      <c r="I665" s="113"/>
      <c r="J665" s="113"/>
      <c r="K665" s="113"/>
      <c r="L665" s="113"/>
      <c r="M665" s="114"/>
      <c r="N665" s="115"/>
      <c r="O665" s="115"/>
      <c r="P665" s="115"/>
      <c r="Q665" s="115"/>
      <c r="R665" s="115"/>
      <c r="S665" s="115"/>
      <c r="T665" s="115"/>
    </row>
    <row r="666" spans="2:20" ht="33.75" customHeight="1" x14ac:dyDescent="0.3">
      <c r="B666" s="113"/>
      <c r="C666" s="113"/>
      <c r="D666" s="113"/>
      <c r="E666" s="59"/>
      <c r="F666" s="59"/>
      <c r="G666" s="59"/>
      <c r="H666" s="59"/>
      <c r="I666" s="113"/>
      <c r="J666" s="113"/>
      <c r="K666" s="113"/>
      <c r="L666" s="113"/>
      <c r="M666" s="114"/>
      <c r="N666" s="115"/>
      <c r="O666" s="115"/>
      <c r="P666" s="115"/>
      <c r="Q666" s="115"/>
      <c r="R666" s="115"/>
      <c r="S666" s="115"/>
      <c r="T666" s="115"/>
    </row>
    <row r="667" spans="2:20" ht="33.75" customHeight="1" x14ac:dyDescent="0.3">
      <c r="B667" s="113"/>
      <c r="C667" s="113"/>
      <c r="D667" s="113"/>
      <c r="E667" s="59"/>
      <c r="F667" s="59"/>
      <c r="G667" s="59"/>
      <c r="H667" s="59"/>
      <c r="I667" s="113"/>
      <c r="J667" s="113"/>
      <c r="K667" s="113"/>
      <c r="L667" s="113"/>
      <c r="M667" s="114"/>
      <c r="N667" s="115"/>
      <c r="O667" s="115"/>
      <c r="P667" s="115"/>
      <c r="Q667" s="115"/>
      <c r="R667" s="115"/>
      <c r="S667" s="115"/>
      <c r="T667" s="115"/>
    </row>
    <row r="668" spans="2:20" ht="33.75" customHeight="1" x14ac:dyDescent="0.3">
      <c r="B668" s="113"/>
      <c r="C668" s="113"/>
      <c r="D668" s="113"/>
      <c r="E668" s="59"/>
      <c r="F668" s="59"/>
      <c r="G668" s="59"/>
      <c r="H668" s="59"/>
      <c r="I668" s="113"/>
      <c r="J668" s="113"/>
      <c r="K668" s="113"/>
      <c r="L668" s="113"/>
      <c r="M668" s="114"/>
      <c r="N668" s="115"/>
      <c r="O668" s="115"/>
      <c r="P668" s="115"/>
      <c r="Q668" s="115"/>
      <c r="R668" s="115"/>
      <c r="S668" s="115"/>
      <c r="T668" s="115"/>
    </row>
    <row r="669" spans="2:20" ht="33.75" customHeight="1" x14ac:dyDescent="0.3">
      <c r="B669" s="113"/>
      <c r="C669" s="113"/>
      <c r="D669" s="113"/>
      <c r="E669" s="59"/>
      <c r="F669" s="59"/>
      <c r="G669" s="59"/>
      <c r="H669" s="59"/>
      <c r="I669" s="113"/>
      <c r="J669" s="113"/>
      <c r="K669" s="113"/>
      <c r="L669" s="113"/>
      <c r="M669" s="114"/>
      <c r="N669" s="115"/>
      <c r="O669" s="115"/>
      <c r="P669" s="115"/>
      <c r="Q669" s="115"/>
      <c r="R669" s="115"/>
      <c r="S669" s="115"/>
      <c r="T669" s="115"/>
    </row>
    <row r="670" spans="2:20" ht="33.75" customHeight="1" x14ac:dyDescent="0.3">
      <c r="B670" s="113"/>
      <c r="C670" s="113"/>
      <c r="D670" s="113"/>
      <c r="E670" s="59"/>
      <c r="F670" s="59"/>
      <c r="G670" s="59"/>
      <c r="H670" s="59"/>
      <c r="I670" s="113"/>
      <c r="J670" s="113"/>
      <c r="K670" s="113"/>
      <c r="L670" s="113"/>
      <c r="M670" s="114"/>
      <c r="N670" s="115"/>
      <c r="O670" s="115"/>
      <c r="P670" s="115"/>
      <c r="Q670" s="115"/>
      <c r="R670" s="115"/>
      <c r="S670" s="115"/>
      <c r="T670" s="115"/>
    </row>
    <row r="671" spans="2:20" ht="33.75" customHeight="1" x14ac:dyDescent="0.3">
      <c r="B671" s="113"/>
      <c r="C671" s="113"/>
      <c r="D671" s="113"/>
      <c r="E671" s="59"/>
      <c r="F671" s="59"/>
      <c r="G671" s="59"/>
      <c r="H671" s="59"/>
      <c r="I671" s="113"/>
      <c r="J671" s="113"/>
      <c r="K671" s="113"/>
      <c r="L671" s="113"/>
      <c r="M671" s="114"/>
      <c r="N671" s="115"/>
      <c r="O671" s="115"/>
      <c r="P671" s="115"/>
      <c r="Q671" s="115"/>
      <c r="R671" s="115"/>
      <c r="S671" s="115"/>
      <c r="T671" s="115"/>
    </row>
    <row r="672" spans="2:20" ht="33.75" customHeight="1" x14ac:dyDescent="0.3">
      <c r="B672" s="113"/>
      <c r="C672" s="113"/>
      <c r="D672" s="113"/>
      <c r="E672" s="59"/>
      <c r="F672" s="59"/>
      <c r="G672" s="59"/>
      <c r="H672" s="59"/>
      <c r="I672" s="113"/>
      <c r="J672" s="113"/>
      <c r="K672" s="113"/>
      <c r="L672" s="113"/>
      <c r="M672" s="114"/>
      <c r="N672" s="115"/>
      <c r="O672" s="115"/>
      <c r="P672" s="115"/>
      <c r="Q672" s="115"/>
      <c r="R672" s="115"/>
      <c r="S672" s="115"/>
      <c r="T672" s="115"/>
    </row>
    <row r="673" spans="2:20" ht="33.75" customHeight="1" x14ac:dyDescent="0.3">
      <c r="B673" s="113"/>
      <c r="C673" s="113"/>
      <c r="D673" s="113"/>
      <c r="E673" s="59"/>
      <c r="F673" s="59"/>
      <c r="G673" s="59"/>
      <c r="H673" s="59"/>
      <c r="I673" s="113"/>
      <c r="J673" s="113"/>
      <c r="K673" s="113"/>
      <c r="L673" s="113"/>
      <c r="M673" s="114"/>
      <c r="N673" s="115"/>
      <c r="O673" s="115"/>
      <c r="P673" s="115"/>
      <c r="Q673" s="115"/>
      <c r="R673" s="115"/>
      <c r="S673" s="115"/>
      <c r="T673" s="115"/>
    </row>
    <row r="674" spans="2:20" ht="33.75" customHeight="1" x14ac:dyDescent="0.3">
      <c r="B674" s="113"/>
      <c r="C674" s="113"/>
      <c r="D674" s="113"/>
      <c r="E674" s="59"/>
      <c r="F674" s="59"/>
      <c r="G674" s="59"/>
      <c r="H674" s="59"/>
      <c r="I674" s="113"/>
      <c r="J674" s="113"/>
      <c r="K674" s="113"/>
      <c r="L674" s="113"/>
      <c r="M674" s="114"/>
      <c r="N674" s="115"/>
      <c r="O674" s="115"/>
      <c r="P674" s="115"/>
      <c r="Q674" s="115"/>
      <c r="R674" s="115"/>
      <c r="S674" s="115"/>
      <c r="T674" s="115"/>
    </row>
    <row r="675" spans="2:20" ht="33.75" customHeight="1" x14ac:dyDescent="0.3">
      <c r="B675" s="113"/>
      <c r="C675" s="113"/>
      <c r="D675" s="113"/>
      <c r="E675" s="59"/>
      <c r="F675" s="59"/>
      <c r="G675" s="59"/>
      <c r="H675" s="59"/>
      <c r="I675" s="113"/>
      <c r="J675" s="113"/>
      <c r="K675" s="113"/>
      <c r="L675" s="113"/>
      <c r="M675" s="114"/>
      <c r="N675" s="115"/>
      <c r="O675" s="115"/>
      <c r="P675" s="115"/>
      <c r="Q675" s="115"/>
      <c r="R675" s="115"/>
      <c r="S675" s="115"/>
      <c r="T675" s="115"/>
    </row>
    <row r="676" spans="2:20" ht="33.75" customHeight="1" x14ac:dyDescent="0.3">
      <c r="B676" s="113"/>
      <c r="C676" s="113"/>
      <c r="D676" s="113"/>
      <c r="E676" s="59"/>
      <c r="F676" s="59"/>
      <c r="G676" s="59"/>
      <c r="H676" s="59"/>
      <c r="I676" s="113"/>
      <c r="J676" s="113"/>
      <c r="K676" s="113"/>
      <c r="L676" s="113"/>
      <c r="M676" s="114"/>
      <c r="N676" s="115"/>
      <c r="O676" s="115"/>
      <c r="P676" s="115"/>
      <c r="Q676" s="115"/>
      <c r="R676" s="115"/>
      <c r="S676" s="115"/>
      <c r="T676" s="115"/>
    </row>
    <row r="677" spans="2:20" ht="33.75" customHeight="1" x14ac:dyDescent="0.3">
      <c r="B677" s="113"/>
      <c r="C677" s="113"/>
      <c r="D677" s="113"/>
      <c r="E677" s="59"/>
      <c r="F677" s="59"/>
      <c r="G677" s="59"/>
      <c r="H677" s="59"/>
      <c r="I677" s="113"/>
      <c r="J677" s="113"/>
      <c r="K677" s="113"/>
      <c r="L677" s="113"/>
      <c r="M677" s="114"/>
      <c r="N677" s="115"/>
      <c r="O677" s="115"/>
      <c r="P677" s="115"/>
      <c r="Q677" s="115"/>
      <c r="R677" s="115"/>
      <c r="S677" s="115"/>
      <c r="T677" s="115"/>
    </row>
    <row r="678" spans="2:20" ht="33.75" customHeight="1" x14ac:dyDescent="0.3">
      <c r="B678" s="113"/>
      <c r="C678" s="113"/>
      <c r="D678" s="113"/>
      <c r="E678" s="59"/>
      <c r="F678" s="59"/>
      <c r="G678" s="59"/>
      <c r="H678" s="59"/>
      <c r="I678" s="113"/>
      <c r="J678" s="113"/>
      <c r="K678" s="113"/>
      <c r="L678" s="113"/>
      <c r="M678" s="114"/>
      <c r="N678" s="115"/>
      <c r="O678" s="115"/>
      <c r="P678" s="115"/>
      <c r="Q678" s="115"/>
      <c r="R678" s="115"/>
      <c r="S678" s="115"/>
      <c r="T678" s="115"/>
    </row>
    <row r="679" spans="2:20" ht="33.75" customHeight="1" x14ac:dyDescent="0.3">
      <c r="B679" s="113"/>
      <c r="C679" s="113"/>
      <c r="D679" s="113"/>
      <c r="E679" s="59"/>
      <c r="F679" s="59"/>
      <c r="G679" s="59"/>
      <c r="H679" s="59"/>
      <c r="I679" s="113"/>
      <c r="J679" s="113"/>
      <c r="K679" s="113"/>
      <c r="L679" s="113"/>
      <c r="M679" s="114"/>
      <c r="N679" s="115"/>
      <c r="O679" s="115"/>
      <c r="P679" s="115"/>
      <c r="Q679" s="115"/>
      <c r="R679" s="115"/>
      <c r="S679" s="115"/>
      <c r="T679" s="115"/>
    </row>
    <row r="680" spans="2:20" ht="33.75" customHeight="1" x14ac:dyDescent="0.3">
      <c r="B680" s="113"/>
      <c r="C680" s="113"/>
      <c r="D680" s="113"/>
      <c r="E680" s="59"/>
      <c r="F680" s="59"/>
      <c r="G680" s="59"/>
      <c r="H680" s="59"/>
      <c r="I680" s="113"/>
      <c r="J680" s="113"/>
      <c r="K680" s="113"/>
      <c r="L680" s="113"/>
      <c r="M680" s="114"/>
      <c r="N680" s="115"/>
      <c r="O680" s="115"/>
      <c r="P680" s="115"/>
      <c r="Q680" s="115"/>
      <c r="R680" s="115"/>
      <c r="S680" s="115"/>
      <c r="T680" s="115"/>
    </row>
    <row r="681" spans="2:20" ht="33.75" customHeight="1" x14ac:dyDescent="0.3">
      <c r="B681" s="113"/>
      <c r="C681" s="113"/>
      <c r="D681" s="113"/>
      <c r="E681" s="59"/>
      <c r="F681" s="59"/>
      <c r="G681" s="59"/>
      <c r="H681" s="59"/>
      <c r="I681" s="113"/>
      <c r="J681" s="113"/>
      <c r="K681" s="113"/>
      <c r="L681" s="113"/>
      <c r="M681" s="114"/>
      <c r="N681" s="115"/>
      <c r="O681" s="115"/>
      <c r="P681" s="115"/>
      <c r="Q681" s="115"/>
      <c r="R681" s="115"/>
      <c r="S681" s="115"/>
      <c r="T681" s="115"/>
    </row>
    <row r="682" spans="2:20" ht="33.75" customHeight="1" x14ac:dyDescent="0.3">
      <c r="B682" s="113"/>
      <c r="C682" s="113"/>
      <c r="D682" s="113"/>
      <c r="E682" s="59"/>
      <c r="F682" s="59"/>
      <c r="G682" s="59"/>
      <c r="H682" s="59"/>
      <c r="I682" s="113"/>
      <c r="J682" s="113"/>
      <c r="K682" s="113"/>
      <c r="L682" s="113"/>
      <c r="M682" s="114"/>
      <c r="N682" s="115"/>
      <c r="O682" s="115"/>
      <c r="P682" s="115"/>
      <c r="Q682" s="115"/>
      <c r="R682" s="115"/>
      <c r="S682" s="115"/>
      <c r="T682" s="115"/>
    </row>
    <row r="683" spans="2:20" ht="33.75" customHeight="1" x14ac:dyDescent="0.3">
      <c r="B683" s="113"/>
      <c r="C683" s="113"/>
      <c r="D683" s="113"/>
      <c r="E683" s="59"/>
      <c r="F683" s="59"/>
      <c r="G683" s="59"/>
      <c r="H683" s="59"/>
      <c r="I683" s="113"/>
      <c r="J683" s="113"/>
      <c r="K683" s="113"/>
      <c r="L683" s="113"/>
      <c r="M683" s="114"/>
      <c r="N683" s="115"/>
      <c r="O683" s="115"/>
      <c r="P683" s="115"/>
      <c r="Q683" s="115"/>
      <c r="R683" s="115"/>
      <c r="S683" s="115"/>
      <c r="T683" s="115"/>
    </row>
    <row r="684" spans="2:20" ht="33.75" customHeight="1" x14ac:dyDescent="0.3">
      <c r="B684" s="113"/>
      <c r="C684" s="113"/>
      <c r="D684" s="113"/>
      <c r="E684" s="59"/>
      <c r="F684" s="59"/>
      <c r="G684" s="59"/>
      <c r="H684" s="59"/>
      <c r="I684" s="113"/>
      <c r="J684" s="113"/>
      <c r="K684" s="113"/>
      <c r="L684" s="113"/>
      <c r="M684" s="114"/>
      <c r="N684" s="115"/>
      <c r="O684" s="115"/>
      <c r="P684" s="115"/>
      <c r="Q684" s="115"/>
      <c r="R684" s="115"/>
      <c r="S684" s="115"/>
      <c r="T684" s="115"/>
    </row>
    <row r="685" spans="2:20" ht="33.75" customHeight="1" x14ac:dyDescent="0.3">
      <c r="B685" s="113"/>
      <c r="C685" s="113"/>
      <c r="D685" s="113"/>
      <c r="E685" s="59"/>
      <c r="F685" s="59"/>
      <c r="G685" s="59"/>
      <c r="H685" s="59"/>
      <c r="I685" s="113"/>
      <c r="J685" s="113"/>
      <c r="K685" s="113"/>
      <c r="L685" s="113"/>
      <c r="M685" s="114"/>
      <c r="N685" s="115"/>
      <c r="O685" s="115"/>
      <c r="P685" s="115"/>
      <c r="Q685" s="115"/>
      <c r="R685" s="115"/>
      <c r="S685" s="115"/>
      <c r="T685" s="115"/>
    </row>
    <row r="686" spans="2:20" ht="33.75" customHeight="1" x14ac:dyDescent="0.3">
      <c r="B686" s="113"/>
      <c r="C686" s="113"/>
      <c r="D686" s="113"/>
      <c r="E686" s="59"/>
      <c r="F686" s="59"/>
      <c r="G686" s="59"/>
      <c r="H686" s="59"/>
      <c r="I686" s="113"/>
      <c r="J686" s="113"/>
      <c r="K686" s="113"/>
      <c r="L686" s="113"/>
      <c r="M686" s="114"/>
      <c r="N686" s="115"/>
      <c r="O686" s="115"/>
      <c r="P686" s="115"/>
      <c r="Q686" s="115"/>
      <c r="R686" s="115"/>
      <c r="S686" s="115"/>
      <c r="T686" s="115"/>
    </row>
    <row r="687" spans="2:20" ht="33.75" customHeight="1" x14ac:dyDescent="0.3">
      <c r="B687" s="113"/>
      <c r="C687" s="113"/>
      <c r="D687" s="113"/>
      <c r="E687" s="59"/>
      <c r="F687" s="59"/>
      <c r="G687" s="59"/>
      <c r="H687" s="59"/>
      <c r="I687" s="113"/>
      <c r="J687" s="113"/>
      <c r="K687" s="113"/>
      <c r="L687" s="113"/>
      <c r="M687" s="114"/>
      <c r="N687" s="115"/>
      <c r="O687" s="115"/>
      <c r="P687" s="115"/>
      <c r="Q687" s="115"/>
      <c r="R687" s="115"/>
      <c r="S687" s="115"/>
      <c r="T687" s="115"/>
    </row>
    <row r="688" spans="2:20" ht="33.75" customHeight="1" x14ac:dyDescent="0.3">
      <c r="B688" s="113"/>
      <c r="C688" s="113"/>
      <c r="D688" s="113"/>
      <c r="E688" s="59"/>
      <c r="F688" s="59"/>
      <c r="G688" s="59"/>
      <c r="H688" s="59"/>
      <c r="I688" s="113"/>
      <c r="J688" s="113"/>
      <c r="K688" s="113"/>
      <c r="L688" s="113"/>
      <c r="M688" s="114"/>
      <c r="N688" s="115"/>
      <c r="O688" s="115"/>
      <c r="P688" s="115"/>
      <c r="Q688" s="115"/>
      <c r="R688" s="115"/>
      <c r="S688" s="115"/>
      <c r="T688" s="115"/>
    </row>
    <row r="689" spans="2:20" ht="33.75" customHeight="1" x14ac:dyDescent="0.3">
      <c r="B689" s="113"/>
      <c r="C689" s="113"/>
      <c r="D689" s="113"/>
      <c r="E689" s="59"/>
      <c r="F689" s="59"/>
      <c r="G689" s="59"/>
      <c r="H689" s="59"/>
      <c r="I689" s="113"/>
      <c r="J689" s="113"/>
      <c r="K689" s="113"/>
      <c r="L689" s="113"/>
      <c r="M689" s="114"/>
      <c r="N689" s="115"/>
      <c r="O689" s="115"/>
      <c r="P689" s="115"/>
      <c r="Q689" s="115"/>
      <c r="R689" s="115"/>
      <c r="S689" s="115"/>
      <c r="T689" s="115"/>
    </row>
    <row r="690" spans="2:20" ht="33.75" customHeight="1" x14ac:dyDescent="0.3">
      <c r="B690" s="113"/>
      <c r="C690" s="113"/>
      <c r="D690" s="113"/>
      <c r="E690" s="59"/>
      <c r="F690" s="59"/>
      <c r="G690" s="59"/>
      <c r="H690" s="59"/>
      <c r="I690" s="113"/>
      <c r="J690" s="113"/>
      <c r="K690" s="113"/>
      <c r="L690" s="113"/>
      <c r="M690" s="114"/>
      <c r="N690" s="115"/>
      <c r="O690" s="115"/>
      <c r="P690" s="115"/>
      <c r="Q690" s="115"/>
      <c r="R690" s="115"/>
      <c r="S690" s="115"/>
      <c r="T690" s="115"/>
    </row>
    <row r="691" spans="2:20" ht="33.75" customHeight="1" x14ac:dyDescent="0.3">
      <c r="B691" s="113"/>
      <c r="C691" s="113"/>
      <c r="D691" s="113"/>
      <c r="E691" s="59"/>
      <c r="F691" s="59"/>
      <c r="G691" s="59"/>
      <c r="H691" s="59"/>
      <c r="I691" s="113"/>
      <c r="J691" s="113"/>
      <c r="K691" s="113"/>
      <c r="L691" s="113"/>
      <c r="M691" s="114"/>
      <c r="N691" s="115"/>
      <c r="O691" s="115"/>
      <c r="P691" s="115"/>
      <c r="Q691" s="115"/>
      <c r="R691" s="115"/>
      <c r="S691" s="115"/>
      <c r="T691" s="115"/>
    </row>
    <row r="692" spans="2:20" ht="33.75" customHeight="1" x14ac:dyDescent="0.3">
      <c r="B692" s="113"/>
      <c r="C692" s="113"/>
      <c r="D692" s="113"/>
      <c r="E692" s="59"/>
      <c r="F692" s="59"/>
      <c r="G692" s="59"/>
      <c r="H692" s="59"/>
      <c r="I692" s="113"/>
      <c r="J692" s="113"/>
      <c r="K692" s="113"/>
      <c r="L692" s="113"/>
      <c r="M692" s="114"/>
      <c r="N692" s="115"/>
      <c r="O692" s="115"/>
      <c r="P692" s="115"/>
      <c r="Q692" s="115"/>
      <c r="R692" s="115"/>
      <c r="S692" s="115"/>
      <c r="T692" s="115"/>
    </row>
    <row r="693" spans="2:20" ht="33.75" customHeight="1" x14ac:dyDescent="0.3">
      <c r="B693" s="113"/>
      <c r="C693" s="113"/>
      <c r="D693" s="113"/>
      <c r="E693" s="59"/>
      <c r="F693" s="59"/>
      <c r="G693" s="59"/>
      <c r="H693" s="59"/>
      <c r="I693" s="113"/>
      <c r="J693" s="113"/>
      <c r="K693" s="113"/>
      <c r="L693" s="113"/>
      <c r="M693" s="114"/>
      <c r="N693" s="115"/>
      <c r="O693" s="115"/>
      <c r="P693" s="115"/>
      <c r="Q693" s="115"/>
      <c r="R693" s="115"/>
      <c r="S693" s="115"/>
      <c r="T693" s="115"/>
    </row>
    <row r="694" spans="2:20" ht="33.75" customHeight="1" x14ac:dyDescent="0.3">
      <c r="B694" s="113"/>
      <c r="C694" s="113"/>
      <c r="D694" s="113"/>
      <c r="E694" s="59"/>
      <c r="F694" s="59"/>
      <c r="G694" s="59"/>
      <c r="H694" s="59"/>
      <c r="I694" s="113"/>
      <c r="J694" s="113"/>
      <c r="K694" s="113"/>
      <c r="L694" s="113"/>
      <c r="M694" s="114"/>
      <c r="N694" s="115"/>
      <c r="O694" s="115"/>
      <c r="P694" s="115"/>
      <c r="Q694" s="115"/>
      <c r="R694" s="115"/>
      <c r="S694" s="115"/>
      <c r="T694" s="115"/>
    </row>
    <row r="695" spans="2:20" ht="33.75" customHeight="1" x14ac:dyDescent="0.3">
      <c r="B695" s="113"/>
      <c r="C695" s="113"/>
      <c r="D695" s="113"/>
      <c r="E695" s="59"/>
      <c r="F695" s="59"/>
      <c r="G695" s="59"/>
      <c r="H695" s="59"/>
      <c r="I695" s="113"/>
      <c r="J695" s="113"/>
      <c r="K695" s="113"/>
      <c r="L695" s="113"/>
      <c r="M695" s="114"/>
      <c r="N695" s="115"/>
      <c r="O695" s="115"/>
      <c r="P695" s="115"/>
      <c r="Q695" s="115"/>
      <c r="R695" s="115"/>
      <c r="S695" s="115"/>
      <c r="T695" s="115"/>
    </row>
    <row r="696" spans="2:20" ht="33.75" customHeight="1" x14ac:dyDescent="0.3">
      <c r="B696" s="113"/>
      <c r="C696" s="113"/>
      <c r="D696" s="113"/>
      <c r="E696" s="59"/>
      <c r="F696" s="59"/>
      <c r="G696" s="59"/>
      <c r="H696" s="59"/>
      <c r="I696" s="113"/>
      <c r="J696" s="113"/>
      <c r="K696" s="113"/>
      <c r="L696" s="113"/>
      <c r="M696" s="114"/>
      <c r="N696" s="115"/>
      <c r="O696" s="115"/>
      <c r="P696" s="115"/>
      <c r="Q696" s="115"/>
      <c r="R696" s="115"/>
      <c r="S696" s="115"/>
      <c r="T696" s="115"/>
    </row>
    <row r="697" spans="2:20" ht="33.75" customHeight="1" x14ac:dyDescent="0.3">
      <c r="B697" s="113"/>
      <c r="C697" s="113"/>
      <c r="D697" s="113"/>
      <c r="E697" s="59"/>
      <c r="F697" s="59"/>
      <c r="G697" s="59"/>
      <c r="H697" s="59"/>
      <c r="I697" s="113"/>
      <c r="J697" s="113"/>
      <c r="K697" s="113"/>
      <c r="L697" s="113"/>
      <c r="M697" s="114"/>
      <c r="N697" s="115"/>
      <c r="O697" s="115"/>
      <c r="P697" s="115"/>
      <c r="Q697" s="115"/>
      <c r="R697" s="115"/>
      <c r="S697" s="115"/>
      <c r="T697" s="115"/>
    </row>
    <row r="698" spans="2:20" ht="33.75" customHeight="1" x14ac:dyDescent="0.3">
      <c r="B698" s="113"/>
      <c r="C698" s="113"/>
      <c r="D698" s="113"/>
      <c r="E698" s="59"/>
      <c r="F698" s="59"/>
      <c r="G698" s="59"/>
      <c r="H698" s="59"/>
      <c r="I698" s="113"/>
      <c r="J698" s="113"/>
      <c r="K698" s="113"/>
      <c r="L698" s="113"/>
      <c r="M698" s="114"/>
      <c r="N698" s="115"/>
      <c r="O698" s="115"/>
      <c r="P698" s="115"/>
      <c r="Q698" s="115"/>
      <c r="R698" s="115"/>
      <c r="S698" s="115"/>
      <c r="T698" s="115"/>
    </row>
    <row r="699" spans="2:20" ht="33.75" customHeight="1" x14ac:dyDescent="0.3">
      <c r="B699" s="113"/>
      <c r="C699" s="113"/>
      <c r="D699" s="113"/>
      <c r="E699" s="59"/>
      <c r="F699" s="59"/>
      <c r="G699" s="59"/>
      <c r="H699" s="59"/>
      <c r="I699" s="113"/>
      <c r="J699" s="113"/>
      <c r="K699" s="113"/>
      <c r="L699" s="113"/>
      <c r="M699" s="114"/>
      <c r="N699" s="115"/>
      <c r="O699" s="115"/>
      <c r="P699" s="115"/>
      <c r="Q699" s="115"/>
      <c r="R699" s="115"/>
      <c r="S699" s="115"/>
      <c r="T699" s="115"/>
    </row>
    <row r="700" spans="2:20" ht="33.75" customHeight="1" x14ac:dyDescent="0.3">
      <c r="B700" s="113"/>
      <c r="C700" s="113"/>
      <c r="D700" s="113"/>
      <c r="E700" s="59"/>
      <c r="F700" s="59"/>
      <c r="G700" s="59"/>
      <c r="H700" s="59"/>
      <c r="I700" s="113"/>
      <c r="J700" s="113"/>
      <c r="K700" s="113"/>
      <c r="L700" s="113"/>
      <c r="M700" s="114"/>
      <c r="N700" s="115"/>
      <c r="O700" s="115"/>
      <c r="P700" s="115"/>
      <c r="Q700" s="115"/>
      <c r="R700" s="115"/>
      <c r="S700" s="115"/>
      <c r="T700" s="115"/>
    </row>
    <row r="701" spans="2:20" ht="33.75" customHeight="1" x14ac:dyDescent="0.3">
      <c r="B701" s="113"/>
      <c r="C701" s="113"/>
      <c r="D701" s="113"/>
      <c r="E701" s="59"/>
      <c r="F701" s="59"/>
      <c r="G701" s="59"/>
      <c r="H701" s="59"/>
      <c r="I701" s="113"/>
      <c r="J701" s="113"/>
      <c r="K701" s="113"/>
      <c r="L701" s="113"/>
      <c r="M701" s="114"/>
      <c r="N701" s="115"/>
      <c r="O701" s="115"/>
      <c r="P701" s="115"/>
      <c r="Q701" s="115"/>
      <c r="R701" s="115"/>
      <c r="S701" s="115"/>
      <c r="T701" s="115"/>
    </row>
    <row r="702" spans="2:20" ht="33.75" customHeight="1" x14ac:dyDescent="0.3">
      <c r="B702" s="113"/>
      <c r="C702" s="113"/>
      <c r="D702" s="113"/>
      <c r="E702" s="59"/>
      <c r="F702" s="59"/>
      <c r="G702" s="59"/>
      <c r="H702" s="59"/>
      <c r="I702" s="113"/>
      <c r="J702" s="113"/>
      <c r="K702" s="113"/>
      <c r="L702" s="113"/>
      <c r="M702" s="114"/>
      <c r="N702" s="115"/>
      <c r="O702" s="115"/>
      <c r="P702" s="115"/>
      <c r="Q702" s="115"/>
      <c r="R702" s="115"/>
      <c r="S702" s="115"/>
      <c r="T702" s="115"/>
    </row>
    <row r="703" spans="2:20" ht="33.75" customHeight="1" x14ac:dyDescent="0.3">
      <c r="B703" s="113"/>
      <c r="C703" s="113"/>
      <c r="D703" s="113"/>
      <c r="E703" s="59"/>
      <c r="F703" s="59"/>
      <c r="G703" s="59"/>
      <c r="H703" s="59"/>
      <c r="I703" s="113"/>
      <c r="J703" s="113"/>
      <c r="K703" s="113"/>
      <c r="L703" s="113"/>
      <c r="M703" s="114"/>
      <c r="N703" s="115"/>
      <c r="O703" s="115"/>
      <c r="P703" s="115"/>
      <c r="Q703" s="115"/>
      <c r="R703" s="115"/>
      <c r="S703" s="115"/>
      <c r="T703" s="115"/>
    </row>
    <row r="704" spans="2:20" ht="33.75" customHeight="1" x14ac:dyDescent="0.3">
      <c r="B704" s="113"/>
      <c r="C704" s="113"/>
      <c r="D704" s="113"/>
      <c r="E704" s="59"/>
      <c r="F704" s="59"/>
      <c r="G704" s="59"/>
      <c r="H704" s="59"/>
      <c r="I704" s="113"/>
      <c r="J704" s="113"/>
      <c r="K704" s="113"/>
      <c r="L704" s="113"/>
      <c r="M704" s="114"/>
      <c r="N704" s="115"/>
      <c r="O704" s="115"/>
      <c r="P704" s="115"/>
      <c r="Q704" s="115"/>
      <c r="R704" s="115"/>
      <c r="S704" s="115"/>
      <c r="T704" s="115"/>
    </row>
    <row r="705" spans="2:20" ht="33.75" customHeight="1" x14ac:dyDescent="0.3">
      <c r="B705" s="113"/>
      <c r="C705" s="113"/>
      <c r="D705" s="113"/>
      <c r="E705" s="59"/>
      <c r="F705" s="59"/>
      <c r="G705" s="59"/>
      <c r="H705" s="59"/>
      <c r="I705" s="113"/>
      <c r="J705" s="113"/>
      <c r="K705" s="113"/>
      <c r="L705" s="113"/>
      <c r="M705" s="114"/>
      <c r="N705" s="115"/>
      <c r="O705" s="115"/>
      <c r="P705" s="115"/>
      <c r="Q705" s="115"/>
      <c r="R705" s="115"/>
      <c r="S705" s="115"/>
      <c r="T705" s="115"/>
    </row>
    <row r="706" spans="2:20" ht="33.75" customHeight="1" x14ac:dyDescent="0.3">
      <c r="B706" s="113"/>
      <c r="C706" s="113"/>
      <c r="D706" s="113"/>
      <c r="E706" s="59"/>
      <c r="F706" s="59"/>
      <c r="G706" s="59"/>
      <c r="H706" s="59"/>
      <c r="I706" s="113"/>
      <c r="J706" s="113"/>
      <c r="K706" s="113"/>
      <c r="L706" s="113"/>
      <c r="M706" s="114"/>
      <c r="N706" s="115"/>
      <c r="O706" s="115"/>
      <c r="P706" s="115"/>
      <c r="Q706" s="115"/>
      <c r="R706" s="115"/>
      <c r="S706" s="115"/>
      <c r="T706" s="115"/>
    </row>
    <row r="707" spans="2:20" ht="33.75" customHeight="1" x14ac:dyDescent="0.3">
      <c r="B707" s="113"/>
      <c r="C707" s="113"/>
      <c r="D707" s="113"/>
      <c r="E707" s="59"/>
      <c r="F707" s="59"/>
      <c r="G707" s="59"/>
      <c r="H707" s="59"/>
      <c r="I707" s="113"/>
      <c r="J707" s="113"/>
      <c r="K707" s="113"/>
      <c r="L707" s="113"/>
      <c r="M707" s="114"/>
      <c r="N707" s="115"/>
      <c r="O707" s="115"/>
      <c r="P707" s="115"/>
      <c r="Q707" s="115"/>
      <c r="R707" s="115"/>
      <c r="S707" s="115"/>
      <c r="T707" s="115"/>
    </row>
    <row r="708" spans="2:20" ht="33.75" customHeight="1" x14ac:dyDescent="0.3">
      <c r="B708" s="113"/>
      <c r="C708" s="113"/>
      <c r="D708" s="113"/>
      <c r="E708" s="59"/>
      <c r="F708" s="59"/>
      <c r="G708" s="59"/>
      <c r="H708" s="59"/>
      <c r="I708" s="113"/>
      <c r="J708" s="113"/>
      <c r="K708" s="113"/>
      <c r="L708" s="113"/>
      <c r="M708" s="114"/>
      <c r="N708" s="115"/>
      <c r="O708" s="115"/>
      <c r="P708" s="115"/>
      <c r="Q708" s="115"/>
      <c r="R708" s="115"/>
      <c r="S708" s="115"/>
      <c r="T708" s="115"/>
    </row>
    <row r="709" spans="2:20" ht="33.75" customHeight="1" x14ac:dyDescent="0.3">
      <c r="B709" s="113"/>
      <c r="C709" s="113"/>
      <c r="D709" s="113"/>
      <c r="E709" s="59"/>
      <c r="F709" s="59"/>
      <c r="G709" s="59"/>
      <c r="H709" s="59"/>
      <c r="I709" s="113"/>
      <c r="J709" s="113"/>
      <c r="K709" s="113"/>
      <c r="L709" s="113"/>
      <c r="M709" s="114"/>
      <c r="N709" s="115"/>
      <c r="O709" s="115"/>
      <c r="P709" s="115"/>
      <c r="Q709" s="115"/>
      <c r="R709" s="115"/>
      <c r="S709" s="115"/>
      <c r="T709" s="115"/>
    </row>
    <row r="710" spans="2:20" ht="33.75" customHeight="1" x14ac:dyDescent="0.3">
      <c r="B710" s="113"/>
      <c r="C710" s="113"/>
      <c r="D710" s="113"/>
      <c r="E710" s="59"/>
      <c r="F710" s="59"/>
      <c r="G710" s="59"/>
      <c r="H710" s="59"/>
      <c r="I710" s="113"/>
      <c r="J710" s="113"/>
      <c r="K710" s="113"/>
      <c r="L710" s="113"/>
      <c r="M710" s="114"/>
      <c r="N710" s="115"/>
      <c r="O710" s="115"/>
      <c r="P710" s="115"/>
      <c r="Q710" s="115"/>
      <c r="R710" s="115"/>
      <c r="S710" s="115"/>
      <c r="T710" s="115"/>
    </row>
    <row r="711" spans="2:20" ht="33.75" customHeight="1" x14ac:dyDescent="0.3">
      <c r="B711" s="113"/>
      <c r="C711" s="113"/>
      <c r="D711" s="113"/>
      <c r="E711" s="59"/>
      <c r="F711" s="59"/>
      <c r="G711" s="59"/>
      <c r="H711" s="59"/>
      <c r="I711" s="113"/>
      <c r="J711" s="113"/>
      <c r="K711" s="113"/>
      <c r="L711" s="113"/>
      <c r="M711" s="114"/>
      <c r="N711" s="115"/>
      <c r="O711" s="115"/>
      <c r="P711" s="115"/>
      <c r="Q711" s="115"/>
      <c r="R711" s="115"/>
      <c r="S711" s="115"/>
      <c r="T711" s="115"/>
    </row>
    <row r="712" spans="2:20" ht="33.75" customHeight="1" x14ac:dyDescent="0.3">
      <c r="B712" s="113"/>
      <c r="C712" s="113"/>
      <c r="D712" s="113"/>
      <c r="E712" s="59"/>
      <c r="F712" s="59"/>
      <c r="G712" s="59"/>
      <c r="H712" s="59"/>
      <c r="I712" s="113"/>
      <c r="J712" s="113"/>
      <c r="K712" s="113"/>
      <c r="L712" s="113"/>
      <c r="M712" s="114"/>
      <c r="N712" s="115"/>
      <c r="O712" s="115"/>
      <c r="P712" s="115"/>
      <c r="Q712" s="115"/>
      <c r="R712" s="115"/>
      <c r="S712" s="115"/>
      <c r="T712" s="115"/>
    </row>
    <row r="713" spans="2:20" ht="33.75" customHeight="1" x14ac:dyDescent="0.3">
      <c r="B713" s="113"/>
      <c r="C713" s="113"/>
      <c r="D713" s="113"/>
      <c r="E713" s="59"/>
      <c r="F713" s="59"/>
      <c r="G713" s="59"/>
      <c r="H713" s="59"/>
      <c r="I713" s="113"/>
      <c r="J713" s="113"/>
      <c r="K713" s="113"/>
      <c r="L713" s="113"/>
      <c r="M713" s="114"/>
      <c r="N713" s="115"/>
      <c r="O713" s="115"/>
      <c r="P713" s="115"/>
      <c r="Q713" s="115"/>
      <c r="R713" s="115"/>
      <c r="S713" s="115"/>
      <c r="T713" s="115"/>
    </row>
    <row r="714" spans="2:20" ht="33.75" customHeight="1" x14ac:dyDescent="0.3">
      <c r="B714" s="113"/>
      <c r="C714" s="113"/>
      <c r="D714" s="113"/>
      <c r="E714" s="59"/>
      <c r="F714" s="59"/>
      <c r="G714" s="59"/>
      <c r="H714" s="59"/>
      <c r="I714" s="113"/>
      <c r="J714" s="113"/>
      <c r="K714" s="113"/>
      <c r="L714" s="113"/>
      <c r="M714" s="114"/>
      <c r="N714" s="115"/>
      <c r="O714" s="115"/>
      <c r="P714" s="115"/>
      <c r="Q714" s="115"/>
      <c r="R714" s="115"/>
      <c r="S714" s="115"/>
      <c r="T714" s="115"/>
    </row>
    <row r="715" spans="2:20" ht="33.75" customHeight="1" x14ac:dyDescent="0.3">
      <c r="B715" s="113"/>
      <c r="C715" s="113"/>
      <c r="D715" s="113"/>
      <c r="E715" s="59"/>
      <c r="F715" s="59"/>
      <c r="G715" s="59"/>
      <c r="H715" s="59"/>
      <c r="I715" s="113"/>
      <c r="J715" s="113"/>
      <c r="K715" s="113"/>
      <c r="L715" s="113"/>
      <c r="M715" s="114"/>
      <c r="N715" s="115"/>
      <c r="O715" s="115"/>
      <c r="P715" s="115"/>
      <c r="Q715" s="115"/>
      <c r="R715" s="115"/>
      <c r="S715" s="115"/>
      <c r="T715" s="115"/>
    </row>
    <row r="716" spans="2:20" ht="33.75" customHeight="1" x14ac:dyDescent="0.3">
      <c r="B716" s="113"/>
      <c r="C716" s="113"/>
      <c r="D716" s="113"/>
      <c r="E716" s="59"/>
      <c r="F716" s="59"/>
      <c r="G716" s="59"/>
      <c r="H716" s="59"/>
      <c r="I716" s="113"/>
      <c r="J716" s="113"/>
      <c r="K716" s="113"/>
      <c r="L716" s="113"/>
      <c r="M716" s="114"/>
      <c r="N716" s="115"/>
      <c r="O716" s="115"/>
      <c r="P716" s="115"/>
      <c r="Q716" s="115"/>
      <c r="R716" s="115"/>
      <c r="S716" s="115"/>
      <c r="T716" s="115"/>
    </row>
    <row r="717" spans="2:20" ht="33.75" customHeight="1" x14ac:dyDescent="0.3">
      <c r="B717" s="113"/>
      <c r="C717" s="113"/>
      <c r="D717" s="113"/>
      <c r="E717" s="59"/>
      <c r="F717" s="59"/>
      <c r="G717" s="59"/>
      <c r="H717" s="59"/>
      <c r="I717" s="113"/>
      <c r="J717" s="113"/>
      <c r="K717" s="113"/>
      <c r="L717" s="113"/>
      <c r="M717" s="114"/>
      <c r="N717" s="115"/>
      <c r="O717" s="115"/>
      <c r="P717" s="115"/>
      <c r="Q717" s="115"/>
      <c r="R717" s="115"/>
      <c r="S717" s="115"/>
      <c r="T717" s="115"/>
    </row>
    <row r="718" spans="2:20" ht="33.75" customHeight="1" x14ac:dyDescent="0.3">
      <c r="B718" s="113"/>
      <c r="C718" s="113"/>
      <c r="D718" s="113"/>
      <c r="E718" s="59"/>
      <c r="F718" s="59"/>
      <c r="G718" s="59"/>
      <c r="H718" s="59"/>
      <c r="I718" s="113"/>
      <c r="J718" s="113"/>
      <c r="K718" s="113"/>
      <c r="L718" s="113"/>
      <c r="M718" s="114"/>
      <c r="N718" s="115"/>
      <c r="O718" s="115"/>
      <c r="P718" s="115"/>
      <c r="Q718" s="115"/>
      <c r="R718" s="115"/>
      <c r="S718" s="115"/>
      <c r="T718" s="115"/>
    </row>
    <row r="719" spans="2:20" ht="33.75" customHeight="1" x14ac:dyDescent="0.3">
      <c r="B719" s="113"/>
      <c r="C719" s="113"/>
      <c r="D719" s="113"/>
      <c r="E719" s="59"/>
      <c r="F719" s="59"/>
      <c r="G719" s="59"/>
      <c r="H719" s="59"/>
      <c r="I719" s="113"/>
      <c r="J719" s="113"/>
      <c r="K719" s="113"/>
      <c r="L719" s="113"/>
      <c r="M719" s="114"/>
      <c r="N719" s="115"/>
      <c r="O719" s="115"/>
      <c r="P719" s="115"/>
      <c r="Q719" s="115"/>
      <c r="R719" s="115"/>
      <c r="S719" s="115"/>
      <c r="T719" s="115"/>
    </row>
    <row r="720" spans="2:20" ht="33.75" customHeight="1" x14ac:dyDescent="0.3">
      <c r="B720" s="113"/>
      <c r="C720" s="113"/>
      <c r="D720" s="113"/>
      <c r="E720" s="59"/>
      <c r="F720" s="59"/>
      <c r="G720" s="59"/>
      <c r="H720" s="59"/>
      <c r="I720" s="113"/>
      <c r="J720" s="113"/>
      <c r="K720" s="113"/>
      <c r="L720" s="113"/>
      <c r="M720" s="114"/>
      <c r="N720" s="115"/>
      <c r="O720" s="115"/>
      <c r="P720" s="115"/>
      <c r="Q720" s="115"/>
      <c r="R720" s="115"/>
      <c r="S720" s="115"/>
      <c r="T720" s="115"/>
    </row>
    <row r="721" spans="2:20" ht="33.75" customHeight="1" x14ac:dyDescent="0.3">
      <c r="B721" s="113"/>
      <c r="C721" s="113"/>
      <c r="D721" s="113"/>
      <c r="E721" s="59"/>
      <c r="F721" s="59"/>
      <c r="G721" s="59"/>
      <c r="H721" s="59"/>
      <c r="I721" s="113"/>
      <c r="J721" s="113"/>
      <c r="K721" s="113"/>
      <c r="L721" s="113"/>
      <c r="M721" s="114"/>
      <c r="N721" s="115"/>
      <c r="O721" s="115"/>
      <c r="P721" s="115"/>
      <c r="Q721" s="115"/>
      <c r="R721" s="115"/>
      <c r="S721" s="115"/>
      <c r="T721" s="115"/>
    </row>
    <row r="722" spans="2:20" ht="33.75" customHeight="1" x14ac:dyDescent="0.3">
      <c r="B722" s="113"/>
      <c r="C722" s="113"/>
      <c r="D722" s="113"/>
      <c r="E722" s="59"/>
      <c r="F722" s="59"/>
      <c r="G722" s="59"/>
      <c r="H722" s="59"/>
      <c r="I722" s="113"/>
      <c r="J722" s="113"/>
      <c r="K722" s="113"/>
      <c r="L722" s="113"/>
      <c r="M722" s="114"/>
      <c r="N722" s="115"/>
      <c r="O722" s="115"/>
      <c r="P722" s="115"/>
      <c r="Q722" s="115"/>
      <c r="R722" s="115"/>
      <c r="S722" s="115"/>
      <c r="T722" s="115"/>
    </row>
    <row r="723" spans="2:20" ht="33.75" customHeight="1" x14ac:dyDescent="0.3">
      <c r="B723" s="113"/>
      <c r="C723" s="113"/>
      <c r="D723" s="113"/>
      <c r="E723" s="59"/>
      <c r="F723" s="59"/>
      <c r="G723" s="59"/>
      <c r="H723" s="59"/>
      <c r="I723" s="113"/>
      <c r="J723" s="113"/>
      <c r="K723" s="113"/>
      <c r="L723" s="113"/>
      <c r="M723" s="114"/>
      <c r="N723" s="115"/>
      <c r="O723" s="115"/>
      <c r="P723" s="115"/>
      <c r="Q723" s="115"/>
      <c r="R723" s="115"/>
      <c r="S723" s="115"/>
      <c r="T723" s="115"/>
    </row>
    <row r="724" spans="2:20" ht="33.75" customHeight="1" x14ac:dyDescent="0.3">
      <c r="B724" s="113"/>
      <c r="C724" s="113"/>
      <c r="D724" s="113"/>
      <c r="E724" s="59"/>
      <c r="F724" s="59"/>
      <c r="G724" s="59"/>
      <c r="H724" s="59"/>
      <c r="I724" s="113"/>
      <c r="J724" s="113"/>
      <c r="K724" s="113"/>
      <c r="L724" s="113"/>
      <c r="M724" s="114"/>
      <c r="N724" s="115"/>
      <c r="O724" s="115"/>
      <c r="P724" s="115"/>
      <c r="Q724" s="115"/>
      <c r="R724" s="115"/>
      <c r="S724" s="115"/>
      <c r="T724" s="115"/>
    </row>
    <row r="725" spans="2:20" ht="33.75" customHeight="1" x14ac:dyDescent="0.3">
      <c r="B725" s="113"/>
      <c r="C725" s="113"/>
      <c r="D725" s="113"/>
      <c r="E725" s="59"/>
      <c r="F725" s="59"/>
      <c r="G725" s="59"/>
      <c r="H725" s="59"/>
      <c r="I725" s="113"/>
      <c r="J725" s="113"/>
      <c r="K725" s="113"/>
      <c r="L725" s="113"/>
      <c r="M725" s="114"/>
      <c r="N725" s="115"/>
      <c r="O725" s="115"/>
      <c r="P725" s="115"/>
      <c r="Q725" s="115"/>
      <c r="R725" s="115"/>
      <c r="S725" s="115"/>
      <c r="T725" s="115"/>
    </row>
    <row r="726" spans="2:20" ht="33.75" customHeight="1" x14ac:dyDescent="0.3">
      <c r="B726" s="113"/>
      <c r="C726" s="113"/>
      <c r="D726" s="113"/>
      <c r="E726" s="59"/>
      <c r="F726" s="59"/>
      <c r="G726" s="59"/>
      <c r="H726" s="59"/>
      <c r="I726" s="113"/>
      <c r="J726" s="113"/>
      <c r="K726" s="113"/>
      <c r="L726" s="113"/>
      <c r="M726" s="114"/>
      <c r="N726" s="115"/>
      <c r="O726" s="115"/>
      <c r="P726" s="115"/>
      <c r="Q726" s="115"/>
      <c r="R726" s="115"/>
      <c r="S726" s="115"/>
      <c r="T726" s="115"/>
    </row>
    <row r="727" spans="2:20" ht="33.75" customHeight="1" x14ac:dyDescent="0.3">
      <c r="B727" s="113"/>
      <c r="C727" s="113"/>
      <c r="D727" s="113"/>
      <c r="E727" s="59"/>
      <c r="F727" s="59"/>
      <c r="G727" s="59"/>
      <c r="H727" s="59"/>
      <c r="I727" s="113"/>
      <c r="J727" s="113"/>
      <c r="K727" s="113"/>
      <c r="L727" s="113"/>
      <c r="M727" s="114"/>
      <c r="N727" s="115"/>
      <c r="O727" s="115"/>
      <c r="P727" s="115"/>
      <c r="Q727" s="115"/>
      <c r="R727" s="115"/>
      <c r="S727" s="115"/>
      <c r="T727" s="115"/>
    </row>
    <row r="728" spans="2:20" ht="33.75" customHeight="1" x14ac:dyDescent="0.3">
      <c r="B728" s="113"/>
      <c r="C728" s="113"/>
      <c r="D728" s="113"/>
      <c r="E728" s="59"/>
      <c r="F728" s="59"/>
      <c r="G728" s="59"/>
      <c r="H728" s="59"/>
      <c r="I728" s="113"/>
      <c r="J728" s="113"/>
      <c r="K728" s="113"/>
      <c r="L728" s="113"/>
      <c r="M728" s="114"/>
      <c r="N728" s="115"/>
      <c r="O728" s="115"/>
      <c r="P728" s="115"/>
      <c r="Q728" s="115"/>
      <c r="R728" s="115"/>
      <c r="S728" s="115"/>
      <c r="T728" s="115"/>
    </row>
    <row r="729" spans="2:20" ht="33.75" customHeight="1" x14ac:dyDescent="0.3">
      <c r="B729" s="113"/>
      <c r="C729" s="113"/>
      <c r="D729" s="113"/>
      <c r="E729" s="59"/>
      <c r="F729" s="59"/>
      <c r="G729" s="59"/>
      <c r="H729" s="59"/>
      <c r="I729" s="113"/>
      <c r="J729" s="113"/>
      <c r="K729" s="113"/>
      <c r="L729" s="113"/>
      <c r="M729" s="114"/>
      <c r="N729" s="115"/>
      <c r="O729" s="115"/>
      <c r="P729" s="115"/>
      <c r="Q729" s="115"/>
      <c r="R729" s="115"/>
      <c r="S729" s="115"/>
      <c r="T729" s="115"/>
    </row>
    <row r="730" spans="2:20" ht="33.75" customHeight="1" x14ac:dyDescent="0.3">
      <c r="B730" s="113"/>
      <c r="C730" s="113"/>
      <c r="D730" s="113"/>
      <c r="E730" s="59"/>
      <c r="F730" s="59"/>
      <c r="G730" s="59"/>
      <c r="H730" s="59"/>
      <c r="I730" s="113"/>
      <c r="J730" s="113"/>
      <c r="K730" s="113"/>
      <c r="L730" s="113"/>
      <c r="M730" s="114"/>
      <c r="N730" s="115"/>
      <c r="O730" s="115"/>
      <c r="P730" s="115"/>
      <c r="Q730" s="115"/>
      <c r="R730" s="115"/>
      <c r="S730" s="115"/>
      <c r="T730" s="115"/>
    </row>
    <row r="731" spans="2:20" ht="33.75" customHeight="1" x14ac:dyDescent="0.3">
      <c r="B731" s="113"/>
      <c r="C731" s="113"/>
      <c r="D731" s="113"/>
      <c r="E731" s="59"/>
      <c r="F731" s="59"/>
      <c r="G731" s="59"/>
      <c r="H731" s="59"/>
      <c r="I731" s="113"/>
      <c r="J731" s="113"/>
      <c r="K731" s="113"/>
      <c r="L731" s="113"/>
      <c r="M731" s="114"/>
      <c r="N731" s="115"/>
      <c r="O731" s="115"/>
      <c r="P731" s="115"/>
      <c r="Q731" s="115"/>
      <c r="R731" s="115"/>
      <c r="S731" s="115"/>
      <c r="T731" s="115"/>
    </row>
    <row r="732" spans="2:20" ht="33.75" customHeight="1" x14ac:dyDescent="0.3">
      <c r="B732" s="113"/>
      <c r="C732" s="113"/>
      <c r="D732" s="113"/>
      <c r="E732" s="59"/>
      <c r="F732" s="59"/>
      <c r="G732" s="59"/>
      <c r="H732" s="59"/>
      <c r="I732" s="113"/>
      <c r="J732" s="113"/>
      <c r="K732" s="113"/>
      <c r="L732" s="113"/>
      <c r="M732" s="114"/>
      <c r="N732" s="115"/>
      <c r="O732" s="115"/>
      <c r="P732" s="115"/>
      <c r="Q732" s="115"/>
      <c r="R732" s="115"/>
      <c r="S732" s="115"/>
      <c r="T732" s="115"/>
    </row>
    <row r="733" spans="2:20" ht="33.75" customHeight="1" x14ac:dyDescent="0.3">
      <c r="B733" s="113"/>
      <c r="C733" s="113"/>
      <c r="D733" s="113"/>
      <c r="E733" s="59"/>
      <c r="F733" s="59"/>
      <c r="G733" s="59"/>
      <c r="H733" s="59"/>
      <c r="I733" s="113"/>
      <c r="J733" s="113"/>
      <c r="K733" s="113"/>
      <c r="L733" s="113"/>
      <c r="M733" s="114"/>
      <c r="N733" s="115"/>
      <c r="O733" s="115"/>
      <c r="P733" s="115"/>
      <c r="Q733" s="115"/>
      <c r="R733" s="115"/>
      <c r="S733" s="115"/>
      <c r="T733" s="115"/>
    </row>
    <row r="734" spans="2:20" ht="33.75" customHeight="1" x14ac:dyDescent="0.3">
      <c r="B734" s="113"/>
      <c r="C734" s="113"/>
      <c r="D734" s="113"/>
      <c r="E734" s="59"/>
      <c r="F734" s="59"/>
      <c r="G734" s="59"/>
      <c r="H734" s="59"/>
      <c r="I734" s="113"/>
      <c r="J734" s="113"/>
      <c r="K734" s="113"/>
      <c r="L734" s="113"/>
      <c r="M734" s="114"/>
      <c r="N734" s="115"/>
      <c r="O734" s="115"/>
      <c r="P734" s="115"/>
      <c r="Q734" s="115"/>
      <c r="R734" s="115"/>
      <c r="S734" s="115"/>
      <c r="T734" s="115"/>
    </row>
    <row r="735" spans="2:20" ht="33.75" customHeight="1" x14ac:dyDescent="0.3">
      <c r="B735" s="113"/>
      <c r="C735" s="113"/>
      <c r="D735" s="113"/>
      <c r="E735" s="59"/>
      <c r="F735" s="59"/>
      <c r="G735" s="59"/>
      <c r="H735" s="59"/>
      <c r="I735" s="113"/>
      <c r="J735" s="113"/>
      <c r="K735" s="113"/>
      <c r="L735" s="113"/>
      <c r="M735" s="114"/>
      <c r="N735" s="115"/>
      <c r="O735" s="115"/>
      <c r="P735" s="115"/>
      <c r="Q735" s="115"/>
      <c r="R735" s="115"/>
      <c r="S735" s="115"/>
      <c r="T735" s="115"/>
    </row>
    <row r="736" spans="2:20" ht="33.75" customHeight="1" x14ac:dyDescent="0.3">
      <c r="B736" s="113"/>
      <c r="C736" s="113"/>
      <c r="D736" s="113"/>
      <c r="E736" s="59"/>
      <c r="F736" s="59"/>
      <c r="G736" s="59"/>
      <c r="H736" s="59"/>
      <c r="I736" s="113"/>
      <c r="J736" s="113"/>
      <c r="K736" s="113"/>
      <c r="L736" s="113"/>
      <c r="M736" s="114"/>
      <c r="N736" s="115"/>
      <c r="O736" s="115"/>
      <c r="P736" s="115"/>
      <c r="Q736" s="115"/>
      <c r="R736" s="115"/>
      <c r="S736" s="115"/>
      <c r="T736" s="115"/>
    </row>
    <row r="737" spans="2:20" ht="33.75" customHeight="1" x14ac:dyDescent="0.3">
      <c r="B737" s="113"/>
      <c r="C737" s="113"/>
      <c r="D737" s="113"/>
      <c r="E737" s="59"/>
      <c r="F737" s="59"/>
      <c r="G737" s="59"/>
      <c r="H737" s="59"/>
      <c r="I737" s="113"/>
      <c r="J737" s="113"/>
      <c r="K737" s="113"/>
      <c r="L737" s="113"/>
      <c r="M737" s="114"/>
      <c r="N737" s="115"/>
      <c r="O737" s="115"/>
      <c r="P737" s="115"/>
      <c r="Q737" s="115"/>
      <c r="R737" s="115"/>
      <c r="S737" s="115"/>
      <c r="T737" s="115"/>
    </row>
    <row r="738" spans="2:20" ht="33.75" customHeight="1" x14ac:dyDescent="0.3">
      <c r="B738" s="113"/>
      <c r="C738" s="113"/>
      <c r="D738" s="113"/>
      <c r="E738" s="59"/>
      <c r="F738" s="59"/>
      <c r="G738" s="59"/>
      <c r="H738" s="59"/>
      <c r="I738" s="113"/>
      <c r="J738" s="113"/>
      <c r="K738" s="113"/>
      <c r="L738" s="113"/>
      <c r="M738" s="114"/>
      <c r="N738" s="115"/>
      <c r="O738" s="115"/>
      <c r="P738" s="115"/>
      <c r="Q738" s="115"/>
      <c r="R738" s="115"/>
      <c r="S738" s="115"/>
      <c r="T738" s="115"/>
    </row>
    <row r="739" spans="2:20" ht="33.75" customHeight="1" x14ac:dyDescent="0.3">
      <c r="B739" s="113"/>
      <c r="C739" s="113"/>
      <c r="D739" s="113"/>
      <c r="E739" s="59"/>
      <c r="F739" s="59"/>
      <c r="G739" s="59"/>
      <c r="H739" s="59"/>
      <c r="I739" s="113"/>
      <c r="J739" s="113"/>
      <c r="K739" s="113"/>
      <c r="L739" s="113"/>
      <c r="M739" s="114"/>
      <c r="N739" s="115"/>
      <c r="O739" s="115"/>
      <c r="P739" s="115"/>
      <c r="Q739" s="115"/>
      <c r="R739" s="115"/>
      <c r="S739" s="115"/>
      <c r="T739" s="115"/>
    </row>
    <row r="740" spans="2:20" ht="33.75" customHeight="1" x14ac:dyDescent="0.3">
      <c r="B740" s="113"/>
      <c r="C740" s="113"/>
      <c r="D740" s="113"/>
      <c r="E740" s="59"/>
      <c r="F740" s="59"/>
      <c r="G740" s="59"/>
      <c r="H740" s="59"/>
      <c r="I740" s="113"/>
      <c r="J740" s="113"/>
      <c r="K740" s="113"/>
      <c r="L740" s="113"/>
      <c r="M740" s="114"/>
      <c r="N740" s="115"/>
      <c r="O740" s="115"/>
      <c r="P740" s="115"/>
      <c r="Q740" s="115"/>
      <c r="R740" s="115"/>
      <c r="S740" s="115"/>
      <c r="T740" s="115"/>
    </row>
    <row r="741" spans="2:20" ht="33.75" customHeight="1" x14ac:dyDescent="0.3">
      <c r="B741" s="113"/>
      <c r="C741" s="113"/>
      <c r="D741" s="113"/>
      <c r="E741" s="59"/>
      <c r="F741" s="59"/>
      <c r="G741" s="59"/>
      <c r="H741" s="59"/>
      <c r="I741" s="113"/>
      <c r="J741" s="113"/>
      <c r="K741" s="113"/>
      <c r="L741" s="113"/>
      <c r="M741" s="114"/>
      <c r="N741" s="115"/>
      <c r="O741" s="115"/>
      <c r="P741" s="115"/>
      <c r="Q741" s="115"/>
      <c r="R741" s="115"/>
      <c r="S741" s="115"/>
      <c r="T741" s="115"/>
    </row>
    <row r="742" spans="2:20" ht="33.75" customHeight="1" x14ac:dyDescent="0.3">
      <c r="B742" s="113"/>
      <c r="C742" s="113"/>
      <c r="D742" s="113"/>
      <c r="E742" s="59"/>
      <c r="F742" s="59"/>
      <c r="G742" s="59"/>
      <c r="H742" s="59"/>
      <c r="I742" s="59"/>
      <c r="J742" s="59"/>
      <c r="K742" s="59"/>
      <c r="L742" s="59"/>
      <c r="M742" s="114"/>
      <c r="N742" s="115"/>
      <c r="O742" s="115"/>
      <c r="P742" s="115"/>
      <c r="Q742" s="115"/>
      <c r="R742" s="115"/>
      <c r="S742" s="115"/>
      <c r="T742" s="115"/>
    </row>
    <row r="743" spans="2:20" ht="33.75" customHeight="1" x14ac:dyDescent="0.3">
      <c r="B743" s="113"/>
      <c r="C743" s="113"/>
      <c r="D743" s="113"/>
      <c r="E743" s="59"/>
      <c r="F743" s="59"/>
      <c r="G743" s="59"/>
      <c r="H743" s="59"/>
      <c r="I743" s="59"/>
      <c r="J743" s="59"/>
      <c r="K743" s="59"/>
      <c r="L743" s="59"/>
      <c r="M743" s="114"/>
      <c r="N743" s="115"/>
      <c r="O743" s="115"/>
      <c r="P743" s="115"/>
      <c r="Q743" s="115"/>
      <c r="R743" s="115"/>
      <c r="S743" s="115"/>
      <c r="T743" s="115"/>
    </row>
    <row r="744" spans="2:20" ht="33.75" customHeight="1" x14ac:dyDescent="0.3">
      <c r="B744" s="113"/>
      <c r="C744" s="113"/>
      <c r="D744" s="113"/>
      <c r="E744" s="59"/>
      <c r="F744" s="59"/>
      <c r="G744" s="59"/>
      <c r="H744" s="59"/>
      <c r="I744" s="59"/>
      <c r="J744" s="59"/>
      <c r="K744" s="59"/>
      <c r="L744" s="59"/>
      <c r="M744" s="114"/>
      <c r="N744" s="115"/>
      <c r="O744" s="115"/>
      <c r="P744" s="115"/>
      <c r="Q744" s="115"/>
      <c r="R744" s="115"/>
      <c r="S744" s="115"/>
      <c r="T744" s="115"/>
    </row>
    <row r="745" spans="2:20" ht="33.75" customHeight="1" x14ac:dyDescent="0.3">
      <c r="B745" s="113"/>
      <c r="C745" s="113"/>
      <c r="D745" s="113"/>
      <c r="E745" s="59"/>
      <c r="F745" s="59"/>
      <c r="G745" s="59"/>
      <c r="H745" s="59"/>
      <c r="I745" s="59"/>
      <c r="J745" s="59"/>
      <c r="K745" s="59"/>
      <c r="L745" s="59"/>
      <c r="M745" s="114"/>
      <c r="N745" s="115"/>
      <c r="O745" s="115"/>
      <c r="P745" s="115"/>
      <c r="Q745" s="115"/>
      <c r="R745" s="115"/>
      <c r="S745" s="115"/>
      <c r="T745" s="115"/>
    </row>
    <row r="746" spans="2:20" ht="33.75" customHeight="1" x14ac:dyDescent="0.3">
      <c r="B746" s="113"/>
      <c r="C746" s="113"/>
      <c r="D746" s="113"/>
      <c r="E746" s="59"/>
      <c r="F746" s="59"/>
      <c r="G746" s="59"/>
      <c r="H746" s="59"/>
      <c r="I746" s="59"/>
      <c r="J746" s="59"/>
      <c r="K746" s="59"/>
      <c r="L746" s="59"/>
      <c r="M746" s="114"/>
      <c r="N746" s="115"/>
      <c r="O746" s="115"/>
      <c r="P746" s="115"/>
      <c r="Q746" s="115"/>
      <c r="R746" s="115"/>
      <c r="S746" s="115"/>
      <c r="T746" s="115"/>
    </row>
    <row r="747" spans="2:20" ht="33.75" customHeight="1" x14ac:dyDescent="0.3">
      <c r="B747" s="113"/>
      <c r="C747" s="113"/>
      <c r="D747" s="113"/>
      <c r="E747" s="59"/>
      <c r="F747" s="59"/>
      <c r="G747" s="59"/>
      <c r="H747" s="59"/>
      <c r="I747" s="59"/>
      <c r="J747" s="59"/>
      <c r="K747" s="59"/>
      <c r="L747" s="59"/>
      <c r="M747" s="114"/>
      <c r="N747" s="115"/>
      <c r="O747" s="115"/>
      <c r="P747" s="115"/>
      <c r="Q747" s="115"/>
      <c r="R747" s="115"/>
      <c r="S747" s="115"/>
      <c r="T747" s="115"/>
    </row>
    <row r="748" spans="2:20" ht="33.75" customHeight="1" x14ac:dyDescent="0.3">
      <c r="B748" s="113"/>
      <c r="C748" s="113"/>
      <c r="D748" s="113"/>
      <c r="E748" s="59"/>
      <c r="F748" s="59"/>
      <c r="G748" s="59"/>
      <c r="H748" s="59"/>
      <c r="I748" s="59"/>
      <c r="J748" s="59"/>
      <c r="K748" s="59"/>
      <c r="L748" s="59"/>
      <c r="M748" s="114"/>
      <c r="N748" s="115"/>
      <c r="O748" s="115"/>
      <c r="P748" s="115"/>
      <c r="Q748" s="115"/>
      <c r="R748" s="115"/>
      <c r="S748" s="115"/>
      <c r="T748" s="115"/>
    </row>
    <row r="749" spans="2:20" ht="33.75" customHeight="1" x14ac:dyDescent="0.3">
      <c r="B749" s="113"/>
      <c r="C749" s="113"/>
      <c r="D749" s="113"/>
      <c r="E749" s="59"/>
      <c r="F749" s="59"/>
      <c r="G749" s="59"/>
      <c r="H749" s="59"/>
      <c r="I749" s="59"/>
      <c r="J749" s="59"/>
      <c r="K749" s="59"/>
      <c r="L749" s="59"/>
      <c r="M749" s="114"/>
      <c r="N749" s="115"/>
      <c r="O749" s="115"/>
      <c r="P749" s="115"/>
      <c r="Q749" s="115"/>
      <c r="R749" s="115"/>
      <c r="S749" s="115"/>
      <c r="T749" s="115"/>
    </row>
    <row r="750" spans="2:20" ht="33.75" customHeight="1" x14ac:dyDescent="0.3">
      <c r="B750" s="113"/>
      <c r="C750" s="113"/>
      <c r="D750" s="113"/>
      <c r="E750" s="59"/>
      <c r="F750" s="59"/>
      <c r="G750" s="59"/>
      <c r="H750" s="59"/>
      <c r="I750" s="59"/>
      <c r="J750" s="59"/>
      <c r="K750" s="59"/>
      <c r="L750" s="59"/>
      <c r="M750" s="114"/>
      <c r="N750" s="115"/>
      <c r="O750" s="115"/>
      <c r="P750" s="115"/>
      <c r="Q750" s="115"/>
      <c r="R750" s="115"/>
      <c r="S750" s="115"/>
      <c r="T750" s="115"/>
    </row>
    <row r="751" spans="2:20" ht="33.75" customHeight="1" x14ac:dyDescent="0.3">
      <c r="B751" s="113"/>
      <c r="C751" s="113"/>
      <c r="D751" s="113"/>
      <c r="E751" s="59"/>
      <c r="F751" s="59"/>
      <c r="G751" s="59"/>
      <c r="H751" s="59"/>
      <c r="I751" s="59"/>
      <c r="J751" s="59"/>
      <c r="K751" s="59"/>
      <c r="L751" s="59"/>
      <c r="M751" s="114"/>
      <c r="N751" s="115"/>
      <c r="O751" s="115"/>
      <c r="P751" s="115"/>
      <c r="Q751" s="115"/>
      <c r="R751" s="115"/>
      <c r="S751" s="115"/>
      <c r="T751" s="115"/>
    </row>
    <row r="752" spans="2:20" ht="33.75" customHeight="1" x14ac:dyDescent="0.3">
      <c r="B752" s="113"/>
      <c r="C752" s="113"/>
      <c r="D752" s="113"/>
      <c r="E752" s="59"/>
      <c r="F752" s="59"/>
      <c r="G752" s="59"/>
      <c r="H752" s="59"/>
      <c r="I752" s="59"/>
      <c r="J752" s="59"/>
      <c r="K752" s="59"/>
      <c r="L752" s="59"/>
      <c r="M752" s="114"/>
      <c r="N752" s="115"/>
      <c r="O752" s="115"/>
      <c r="P752" s="115"/>
      <c r="Q752" s="115"/>
      <c r="R752" s="115"/>
      <c r="S752" s="115"/>
      <c r="T752" s="115"/>
    </row>
    <row r="753" spans="2:20" ht="33.75" customHeight="1" x14ac:dyDescent="0.3">
      <c r="B753" s="113"/>
      <c r="C753" s="113"/>
      <c r="D753" s="113"/>
      <c r="E753" s="59"/>
      <c r="F753" s="59"/>
      <c r="G753" s="59"/>
      <c r="H753" s="59"/>
      <c r="I753" s="59"/>
      <c r="J753" s="59"/>
      <c r="K753" s="59"/>
      <c r="L753" s="59"/>
      <c r="M753" s="114"/>
      <c r="N753" s="115"/>
      <c r="O753" s="115"/>
      <c r="P753" s="115"/>
      <c r="Q753" s="115"/>
      <c r="R753" s="115"/>
      <c r="S753" s="115"/>
      <c r="T753" s="115"/>
    </row>
    <row r="754" spans="2:20" ht="33.75" customHeight="1" x14ac:dyDescent="0.3">
      <c r="B754" s="113"/>
      <c r="C754" s="113"/>
      <c r="D754" s="113"/>
      <c r="E754" s="59"/>
      <c r="F754" s="59"/>
      <c r="G754" s="59"/>
      <c r="H754" s="59"/>
      <c r="I754" s="59"/>
      <c r="J754" s="59"/>
      <c r="K754" s="59"/>
      <c r="L754" s="59"/>
      <c r="M754" s="114"/>
      <c r="N754" s="115"/>
      <c r="O754" s="115"/>
      <c r="P754" s="115"/>
      <c r="Q754" s="115"/>
      <c r="R754" s="115"/>
      <c r="S754" s="115"/>
      <c r="T754" s="115"/>
    </row>
    <row r="755" spans="2:20" ht="33.75" customHeight="1" x14ac:dyDescent="0.3">
      <c r="B755" s="113"/>
      <c r="C755" s="113"/>
      <c r="D755" s="113"/>
      <c r="E755" s="59"/>
      <c r="F755" s="59"/>
      <c r="G755" s="59"/>
      <c r="H755" s="59"/>
      <c r="I755" s="59"/>
      <c r="J755" s="59"/>
      <c r="K755" s="59"/>
      <c r="L755" s="59"/>
      <c r="M755" s="114"/>
      <c r="N755" s="115"/>
      <c r="O755" s="115"/>
      <c r="P755" s="115"/>
      <c r="Q755" s="115"/>
      <c r="R755" s="115"/>
      <c r="S755" s="115"/>
      <c r="T755" s="115"/>
    </row>
    <row r="756" spans="2:20" ht="33.75" customHeight="1" x14ac:dyDescent="0.3">
      <c r="B756" s="113"/>
      <c r="C756" s="113"/>
      <c r="D756" s="113"/>
      <c r="E756" s="59"/>
      <c r="F756" s="59"/>
      <c r="G756" s="59"/>
      <c r="H756" s="59"/>
      <c r="I756" s="59"/>
      <c r="J756" s="59"/>
      <c r="K756" s="59"/>
      <c r="L756" s="59"/>
      <c r="M756" s="114"/>
      <c r="N756" s="115"/>
      <c r="O756" s="115"/>
      <c r="P756" s="115"/>
      <c r="Q756" s="115"/>
      <c r="R756" s="115"/>
      <c r="S756" s="115"/>
      <c r="T756" s="115"/>
    </row>
    <row r="757" spans="2:20" ht="33.75" customHeight="1" x14ac:dyDescent="0.3">
      <c r="B757" s="113"/>
      <c r="C757" s="113"/>
      <c r="D757" s="113"/>
      <c r="E757" s="59"/>
      <c r="F757" s="59"/>
      <c r="G757" s="59"/>
      <c r="H757" s="59"/>
      <c r="I757" s="59"/>
      <c r="J757" s="59"/>
      <c r="K757" s="59"/>
      <c r="L757" s="59"/>
      <c r="M757" s="114"/>
      <c r="N757" s="115"/>
      <c r="O757" s="115"/>
      <c r="P757" s="115"/>
      <c r="Q757" s="115"/>
      <c r="R757" s="115"/>
      <c r="S757" s="115"/>
      <c r="T757" s="115"/>
    </row>
    <row r="758" spans="2:20" ht="33.75" customHeight="1" x14ac:dyDescent="0.3">
      <c r="B758" s="113"/>
      <c r="C758" s="113"/>
      <c r="D758" s="113"/>
      <c r="E758" s="59"/>
      <c r="F758" s="59"/>
      <c r="G758" s="59"/>
      <c r="H758" s="59"/>
      <c r="I758" s="59"/>
      <c r="J758" s="59"/>
      <c r="K758" s="59"/>
      <c r="L758" s="59"/>
      <c r="M758" s="114"/>
      <c r="N758" s="115"/>
      <c r="O758" s="115"/>
      <c r="P758" s="115"/>
      <c r="Q758" s="115"/>
      <c r="R758" s="115"/>
      <c r="S758" s="115"/>
      <c r="T758" s="115"/>
    </row>
    <row r="759" spans="2:20" ht="33.75" customHeight="1" x14ac:dyDescent="0.3">
      <c r="B759" s="113"/>
      <c r="C759" s="113"/>
      <c r="D759" s="113"/>
      <c r="E759" s="59"/>
      <c r="F759" s="59"/>
      <c r="G759" s="59"/>
      <c r="H759" s="59"/>
      <c r="I759" s="59"/>
      <c r="J759" s="59"/>
      <c r="K759" s="59"/>
      <c r="L759" s="59"/>
      <c r="M759" s="114"/>
      <c r="N759" s="115"/>
      <c r="O759" s="115"/>
      <c r="P759" s="115"/>
      <c r="Q759" s="115"/>
      <c r="R759" s="115"/>
      <c r="S759" s="115"/>
      <c r="T759" s="115"/>
    </row>
    <row r="760" spans="2:20" ht="33.75" customHeight="1" x14ac:dyDescent="0.3">
      <c r="B760" s="113"/>
      <c r="C760" s="113"/>
      <c r="D760" s="113"/>
      <c r="E760" s="59"/>
      <c r="F760" s="59"/>
      <c r="G760" s="59"/>
      <c r="H760" s="59"/>
      <c r="I760" s="59"/>
      <c r="J760" s="59"/>
      <c r="K760" s="59"/>
      <c r="L760" s="59"/>
      <c r="M760" s="114"/>
      <c r="N760" s="115"/>
      <c r="O760" s="115"/>
      <c r="P760" s="115"/>
      <c r="Q760" s="115"/>
      <c r="R760" s="115"/>
      <c r="S760" s="115"/>
      <c r="T760" s="115"/>
    </row>
    <row r="761" spans="2:20" ht="33.75" customHeight="1" x14ac:dyDescent="0.3">
      <c r="B761" s="113"/>
      <c r="C761" s="113"/>
      <c r="D761" s="113"/>
      <c r="E761" s="59"/>
      <c r="F761" s="59"/>
      <c r="G761" s="59"/>
      <c r="H761" s="59"/>
      <c r="I761" s="59"/>
      <c r="J761" s="59"/>
      <c r="K761" s="59"/>
      <c r="L761" s="59"/>
      <c r="M761" s="114"/>
      <c r="N761" s="115"/>
      <c r="O761" s="115"/>
      <c r="P761" s="115"/>
      <c r="Q761" s="115"/>
      <c r="R761" s="115"/>
      <c r="S761" s="115"/>
      <c r="T761" s="115"/>
    </row>
    <row r="762" spans="2:20" ht="33.75" customHeight="1" x14ac:dyDescent="0.3">
      <c r="B762" s="113"/>
      <c r="C762" s="113"/>
      <c r="D762" s="113"/>
      <c r="E762" s="59"/>
      <c r="F762" s="59"/>
      <c r="G762" s="59"/>
      <c r="H762" s="59"/>
      <c r="I762" s="59"/>
      <c r="J762" s="59"/>
      <c r="K762" s="59"/>
      <c r="L762" s="59"/>
      <c r="M762" s="114"/>
      <c r="N762" s="115"/>
      <c r="O762" s="115"/>
      <c r="P762" s="115"/>
      <c r="Q762" s="115"/>
      <c r="R762" s="115"/>
      <c r="S762" s="115"/>
      <c r="T762" s="115"/>
    </row>
    <row r="763" spans="2:20" ht="33.75" customHeight="1" x14ac:dyDescent="0.3">
      <c r="B763" s="113"/>
      <c r="C763" s="113"/>
      <c r="D763" s="113"/>
      <c r="E763" s="59"/>
      <c r="F763" s="59"/>
      <c r="G763" s="59"/>
      <c r="H763" s="59"/>
      <c r="I763" s="59"/>
      <c r="J763" s="59"/>
      <c r="K763" s="59"/>
      <c r="L763" s="59"/>
      <c r="M763" s="114"/>
      <c r="N763" s="115"/>
      <c r="O763" s="115"/>
      <c r="P763" s="115"/>
      <c r="Q763" s="115"/>
      <c r="R763" s="115"/>
      <c r="S763" s="115"/>
      <c r="T763" s="115"/>
    </row>
    <row r="764" spans="2:20" ht="33.75" customHeight="1" x14ac:dyDescent="0.3">
      <c r="B764" s="113"/>
      <c r="C764" s="113"/>
      <c r="D764" s="113"/>
      <c r="E764" s="59"/>
      <c r="F764" s="59"/>
      <c r="G764" s="59"/>
      <c r="H764" s="59"/>
      <c r="I764" s="59"/>
      <c r="J764" s="59"/>
      <c r="K764" s="59"/>
      <c r="L764" s="59"/>
      <c r="M764" s="114"/>
      <c r="N764" s="115"/>
      <c r="O764" s="115"/>
      <c r="P764" s="115"/>
      <c r="Q764" s="115"/>
      <c r="R764" s="115"/>
      <c r="S764" s="115"/>
      <c r="T764" s="115"/>
    </row>
    <row r="765" spans="2:20" ht="33.75" customHeight="1" x14ac:dyDescent="0.3">
      <c r="B765" s="113"/>
      <c r="C765" s="113"/>
      <c r="D765" s="113"/>
      <c r="E765" s="59"/>
      <c r="F765" s="59"/>
      <c r="G765" s="59"/>
      <c r="H765" s="59"/>
      <c r="I765" s="59"/>
      <c r="J765" s="59"/>
      <c r="K765" s="59"/>
      <c r="L765" s="59"/>
      <c r="M765" s="114"/>
      <c r="N765" s="115"/>
      <c r="O765" s="115"/>
      <c r="P765" s="115"/>
      <c r="Q765" s="115"/>
      <c r="R765" s="115"/>
      <c r="S765" s="115"/>
      <c r="T765" s="115"/>
    </row>
    <row r="766" spans="2:20" ht="33.75" customHeight="1" x14ac:dyDescent="0.3">
      <c r="B766" s="113"/>
      <c r="C766" s="113"/>
      <c r="D766" s="113"/>
      <c r="E766" s="59"/>
      <c r="F766" s="59"/>
      <c r="G766" s="59"/>
      <c r="H766" s="59"/>
      <c r="I766" s="59"/>
      <c r="J766" s="59"/>
      <c r="K766" s="59"/>
      <c r="L766" s="59"/>
      <c r="M766" s="114"/>
      <c r="N766" s="115"/>
      <c r="O766" s="115"/>
      <c r="P766" s="115"/>
      <c r="Q766" s="115"/>
      <c r="R766" s="115"/>
      <c r="S766" s="115"/>
      <c r="T766" s="115"/>
    </row>
    <row r="767" spans="2:20" ht="33.75" customHeight="1" x14ac:dyDescent="0.3">
      <c r="B767" s="113"/>
      <c r="C767" s="113"/>
      <c r="D767" s="113"/>
      <c r="E767" s="59"/>
      <c r="F767" s="59"/>
      <c r="G767" s="59"/>
      <c r="H767" s="59"/>
      <c r="I767" s="59"/>
      <c r="J767" s="59"/>
      <c r="K767" s="59"/>
      <c r="L767" s="59"/>
      <c r="M767" s="114"/>
      <c r="N767" s="115"/>
      <c r="O767" s="115"/>
      <c r="P767" s="115"/>
      <c r="Q767" s="115"/>
      <c r="R767" s="115"/>
      <c r="S767" s="115"/>
      <c r="T767" s="115"/>
    </row>
    <row r="768" spans="2:20" ht="33.75" customHeight="1" x14ac:dyDescent="0.3">
      <c r="B768" s="113"/>
      <c r="C768" s="113"/>
      <c r="D768" s="113"/>
      <c r="E768" s="59"/>
      <c r="F768" s="59"/>
      <c r="G768" s="59"/>
      <c r="H768" s="59"/>
      <c r="I768" s="59"/>
      <c r="J768" s="59"/>
      <c r="K768" s="59"/>
      <c r="L768" s="59"/>
      <c r="M768" s="114"/>
      <c r="N768" s="115"/>
      <c r="O768" s="115"/>
      <c r="P768" s="115"/>
      <c r="Q768" s="115"/>
      <c r="R768" s="115"/>
      <c r="S768" s="115"/>
      <c r="T768" s="115"/>
    </row>
    <row r="769" spans="2:20" ht="33.75" customHeight="1" x14ac:dyDescent="0.3">
      <c r="B769" s="113"/>
      <c r="C769" s="113"/>
      <c r="D769" s="113"/>
      <c r="E769" s="59"/>
      <c r="F769" s="59"/>
      <c r="G769" s="59"/>
      <c r="H769" s="59"/>
      <c r="I769" s="59"/>
      <c r="J769" s="59"/>
      <c r="K769" s="59"/>
      <c r="L769" s="59"/>
      <c r="M769" s="114"/>
      <c r="N769" s="115"/>
      <c r="O769" s="115"/>
      <c r="P769" s="115"/>
      <c r="Q769" s="115"/>
      <c r="R769" s="115"/>
      <c r="S769" s="115"/>
      <c r="T769" s="115"/>
    </row>
    <row r="770" spans="2:20" ht="33.75" customHeight="1" x14ac:dyDescent="0.3">
      <c r="B770" s="113"/>
      <c r="C770" s="113"/>
      <c r="D770" s="113"/>
      <c r="E770" s="59"/>
      <c r="F770" s="59"/>
      <c r="G770" s="59"/>
      <c r="H770" s="59"/>
      <c r="I770" s="59"/>
      <c r="J770" s="59"/>
      <c r="K770" s="59"/>
      <c r="L770" s="59"/>
      <c r="M770" s="114"/>
      <c r="N770" s="115"/>
      <c r="O770" s="115"/>
      <c r="P770" s="115"/>
      <c r="Q770" s="115"/>
      <c r="R770" s="115"/>
      <c r="S770" s="115"/>
      <c r="T770" s="115"/>
    </row>
    <row r="771" spans="2:20" ht="33.75" customHeight="1" x14ac:dyDescent="0.3">
      <c r="B771" s="113"/>
      <c r="C771" s="113"/>
      <c r="D771" s="113"/>
      <c r="E771" s="59"/>
      <c r="F771" s="59"/>
      <c r="G771" s="59"/>
      <c r="H771" s="59"/>
      <c r="I771" s="59"/>
      <c r="J771" s="59"/>
      <c r="K771" s="59"/>
      <c r="L771" s="59"/>
      <c r="M771" s="114"/>
      <c r="N771" s="115"/>
      <c r="O771" s="115"/>
      <c r="P771" s="115"/>
      <c r="Q771" s="115"/>
      <c r="R771" s="115"/>
      <c r="S771" s="115"/>
      <c r="T771" s="115"/>
    </row>
    <row r="772" spans="2:20" ht="33.75" customHeight="1" x14ac:dyDescent="0.3">
      <c r="B772" s="113"/>
      <c r="C772" s="113"/>
      <c r="D772" s="113"/>
      <c r="E772" s="59"/>
      <c r="F772" s="59"/>
      <c r="G772" s="59"/>
      <c r="H772" s="59"/>
      <c r="I772" s="59"/>
      <c r="J772" s="59"/>
      <c r="K772" s="59"/>
      <c r="L772" s="59"/>
      <c r="M772" s="114"/>
      <c r="N772" s="115"/>
      <c r="O772" s="115"/>
      <c r="P772" s="115"/>
      <c r="Q772" s="115"/>
      <c r="R772" s="115"/>
      <c r="S772" s="115"/>
      <c r="T772" s="115"/>
    </row>
    <row r="773" spans="2:20" ht="33.75" customHeight="1" x14ac:dyDescent="0.3">
      <c r="B773" s="59"/>
      <c r="C773" s="59"/>
      <c r="D773" s="59"/>
      <c r="E773" s="59"/>
      <c r="F773" s="59"/>
      <c r="G773" s="59"/>
      <c r="H773" s="59"/>
      <c r="I773" s="59"/>
      <c r="J773" s="59"/>
      <c r="K773" s="59"/>
      <c r="L773" s="59"/>
      <c r="M773" s="116"/>
      <c r="N773" s="112"/>
      <c r="O773" s="112"/>
      <c r="P773" s="112"/>
      <c r="Q773" s="112"/>
      <c r="R773" s="112"/>
      <c r="S773" s="112"/>
      <c r="T773" s="112"/>
    </row>
    <row r="774" spans="2:20" ht="33.75" customHeight="1" x14ac:dyDescent="0.3">
      <c r="B774" s="59"/>
      <c r="C774" s="59"/>
      <c r="D774" s="59"/>
      <c r="E774" s="59"/>
      <c r="F774" s="59"/>
      <c r="G774" s="59"/>
      <c r="H774" s="59"/>
      <c r="I774" s="59"/>
      <c r="J774" s="59"/>
      <c r="K774" s="59"/>
      <c r="L774" s="59"/>
      <c r="M774" s="116"/>
      <c r="N774" s="112"/>
      <c r="O774" s="112"/>
      <c r="P774" s="112"/>
      <c r="Q774" s="112"/>
      <c r="R774" s="112"/>
      <c r="S774" s="112"/>
      <c r="T774" s="112"/>
    </row>
    <row r="775" spans="2:20" ht="33.75" customHeight="1" x14ac:dyDescent="0.3">
      <c r="B775" s="59"/>
      <c r="C775" s="59"/>
      <c r="D775" s="59"/>
      <c r="E775" s="59"/>
      <c r="F775" s="59"/>
      <c r="G775" s="59"/>
      <c r="H775" s="59"/>
      <c r="I775" s="59"/>
      <c r="J775" s="59"/>
      <c r="K775" s="59"/>
      <c r="L775" s="59"/>
      <c r="M775" s="116"/>
      <c r="N775" s="112"/>
      <c r="O775" s="112"/>
      <c r="P775" s="112"/>
      <c r="Q775" s="112"/>
      <c r="R775" s="112"/>
      <c r="S775" s="112"/>
      <c r="T775" s="112"/>
    </row>
    <row r="776" spans="2:20" ht="33.75" customHeight="1" x14ac:dyDescent="0.3">
      <c r="B776" s="59"/>
      <c r="C776" s="59"/>
      <c r="D776" s="59"/>
      <c r="E776" s="59"/>
      <c r="F776" s="59"/>
      <c r="G776" s="59"/>
      <c r="H776" s="59"/>
      <c r="I776" s="59"/>
      <c r="J776" s="59"/>
      <c r="K776" s="59"/>
      <c r="L776" s="59"/>
      <c r="M776" s="116"/>
      <c r="N776" s="112"/>
      <c r="O776" s="112"/>
      <c r="P776" s="112"/>
      <c r="Q776" s="112"/>
      <c r="R776" s="112"/>
      <c r="S776" s="112"/>
      <c r="T776" s="112"/>
    </row>
    <row r="777" spans="2:20" ht="33.75" customHeight="1" x14ac:dyDescent="0.3">
      <c r="B777" s="59"/>
      <c r="C777" s="59"/>
      <c r="D777" s="59"/>
      <c r="E777" s="59"/>
      <c r="F777" s="59"/>
      <c r="G777" s="59"/>
      <c r="H777" s="59"/>
      <c r="I777" s="59"/>
      <c r="J777" s="59"/>
      <c r="K777" s="59"/>
      <c r="L777" s="59"/>
      <c r="M777" s="116"/>
      <c r="N777" s="112"/>
      <c r="O777" s="112"/>
      <c r="P777" s="112"/>
      <c r="Q777" s="112"/>
      <c r="R777" s="112"/>
      <c r="S777" s="112"/>
      <c r="T777" s="112"/>
    </row>
    <row r="778" spans="2:20" ht="33.75" customHeight="1" x14ac:dyDescent="0.3">
      <c r="B778" s="59"/>
      <c r="C778" s="59"/>
      <c r="D778" s="59"/>
      <c r="E778" s="59"/>
      <c r="F778" s="59"/>
      <c r="G778" s="59"/>
      <c r="H778" s="59"/>
      <c r="I778" s="59"/>
      <c r="J778" s="59"/>
      <c r="K778" s="59"/>
      <c r="L778" s="59"/>
      <c r="M778" s="116"/>
      <c r="N778" s="112"/>
      <c r="O778" s="112"/>
      <c r="P778" s="112"/>
      <c r="Q778" s="112"/>
      <c r="R778" s="112"/>
      <c r="S778" s="112"/>
      <c r="T778" s="112"/>
    </row>
  </sheetData>
  <mergeCells count="1">
    <mergeCell ref="A1:T2"/>
  </mergeCells>
  <phoneticPr fontId="22" type="noConversion"/>
  <conditionalFormatting sqref="H4:H631">
    <cfRule type="duplicateValues" dxfId="6" priority="621"/>
  </conditionalFormatting>
  <conditionalFormatting sqref="K4:K631">
    <cfRule type="containsText" dxfId="5" priority="1" operator="containsText" text="Eliminado">
      <formula>NOT(ISERROR(SEARCH("Eliminado",K4)))</formula>
    </cfRule>
    <cfRule type="containsText" dxfId="4" priority="2" operator="containsText" text="En revision">
      <formula>NOT(ISERROR(SEARCH("En revision",K4)))</formula>
    </cfRule>
    <cfRule type="containsText" dxfId="3" priority="3" operator="containsText" text="En aprobacion">
      <formula>NOT(ISERROR(SEARCH("En aprobacion",K4)))</formula>
    </cfRule>
    <cfRule type="containsText" dxfId="2" priority="4" operator="containsText" text="No creado">
      <formula>NOT(ISERROR(SEARCH("No creado",K4)))</formula>
    </cfRule>
    <cfRule type="containsText" dxfId="1" priority="5" operator="containsText" text="Rechazado">
      <formula>NOT(ISERROR(SEARCH("Rechazado",K4)))</formula>
    </cfRule>
    <cfRule type="containsText" dxfId="0" priority="15" operator="containsText" text="Aprobado">
      <formula>NOT(ISERROR(SEARCH("Aprobado",K4)))</formula>
    </cfRule>
  </conditionalFormatting>
  <dataValidations count="2">
    <dataValidation type="list" allowBlank="1" showInputMessage="1" showErrorMessage="1" sqref="D4:D631" xr:uid="{D3EEEB5E-4B4C-4A81-B850-B706B8A108BD}">
      <formula1>TIPO_DOCUMENTO</formula1>
    </dataValidation>
    <dataValidation type="list" allowBlank="1" showInputMessage="1" showErrorMessage="1" sqref="F4:F631" xr:uid="{AB6C7CDE-A4A0-41CE-B421-4755DFBFCAE9}">
      <formula1>SIGLAS_DOC</formula1>
    </dataValidation>
  </dataValidations>
  <hyperlinks>
    <hyperlink ref="Q9" r:id="rId1" xr:uid="{2B46CDA6-4FA2-41FF-9141-D6DA736899C6}"/>
    <hyperlink ref="Q32" r:id="rId2" xr:uid="{7CCEB72B-3242-49D8-B54E-8F76CE1D90DA}"/>
    <hyperlink ref="Q118" r:id="rId3" xr:uid="{925AA21D-F9F5-425A-9ECF-90E3FDA894C1}"/>
    <hyperlink ref="Q203" r:id="rId4" xr:uid="{B311FCA2-476E-4268-898B-ADDAC3267115}"/>
    <hyperlink ref="Q241" r:id="rId5" xr:uid="{7CA892EC-864E-4C2F-AEC3-2B9A44535889}"/>
    <hyperlink ref="Q296" r:id="rId6" xr:uid="{FD8EFA79-02B4-4CF8-A8E4-3ED45CB765EB}"/>
    <hyperlink ref="Q314" r:id="rId7" xr:uid="{A69F509C-1344-495C-8E52-07D95F168CA6}"/>
    <hyperlink ref="Q323" r:id="rId8" xr:uid="{FAF34F9F-357F-4177-9B4B-ED7498CF530B}"/>
  </hyperlinks>
  <printOptions horizontalCentered="1"/>
  <pageMargins left="0.19685039370078741" right="0.19685039370078741" top="0.19685039370078741" bottom="0.19685039370078741" header="0" footer="0"/>
  <pageSetup scale="25" orientation="landscape" r:id="rId9"/>
  <drawing r:id="rId10"/>
  <legacyDrawing r:id="rId11"/>
  <tableParts count="1">
    <tablePart r:id="rId12"/>
  </tableParts>
  <extLst>
    <ext xmlns:x14="http://schemas.microsoft.com/office/spreadsheetml/2009/9/main" uri="{CCE6A557-97BC-4b89-ADB6-D9C93CAAB3DF}">
      <x14:dataValidations xmlns:xm="http://schemas.microsoft.com/office/excel/2006/main" count="3">
        <x14:dataValidation type="list" allowBlank="1" showInputMessage="1" showErrorMessage="1" xr:uid="{BB1F1879-1504-4131-B374-8B164796087D}">
          <x14:formula1>
            <xm:f>DATOS!$I$2:$I$5</xm:f>
          </x14:formula1>
          <xm:sqref>S4:S631</xm:sqref>
        </x14:dataValidation>
        <x14:dataValidation type="list" allowBlank="1" showInputMessage="1" showErrorMessage="1" xr:uid="{D2F3314E-BE5F-407F-81DA-5A64F93C83DE}">
          <x14:formula1>
            <xm:f>DATOS!$A$2:$A$12</xm:f>
          </x14:formula1>
          <xm:sqref>B4:B631</xm:sqref>
        </x14:dataValidation>
        <x14:dataValidation type="list" allowBlank="1" showInputMessage="1" showErrorMessage="1" xr:uid="{CE1F094C-3941-4516-9A15-0627B5B8C1DA}">
          <x14:formula1>
            <xm:f>DATOS!$E$2:$E$29</xm:f>
          </x14:formula1>
          <xm:sqref>C4:C631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53B5A-7E8F-48D2-B2BF-240143651C71}">
  <sheetPr filterMode="1"/>
  <dimension ref="A3:A88"/>
  <sheetViews>
    <sheetView topLeftCell="A2" workbookViewId="0">
      <selection activeCell="C93" sqref="C93"/>
    </sheetView>
  </sheetViews>
  <sheetFormatPr baseColWidth="10" defaultRowHeight="14.25" x14ac:dyDescent="0.2"/>
  <sheetData>
    <row r="3" spans="1:1" x14ac:dyDescent="0.2">
      <c r="A3" t="s">
        <v>2262</v>
      </c>
    </row>
    <row r="4" spans="1:1" s="170" customFormat="1" hidden="1" x14ac:dyDescent="0.2">
      <c r="A4" s="170" t="s">
        <v>2263</v>
      </c>
    </row>
    <row r="5" spans="1:1" hidden="1" x14ac:dyDescent="0.2">
      <c r="A5" s="170" t="s">
        <v>2264</v>
      </c>
    </row>
    <row r="6" spans="1:1" x14ac:dyDescent="0.2">
      <c r="A6" s="170" t="s">
        <v>2257</v>
      </c>
    </row>
    <row r="7" spans="1:1" hidden="1" x14ac:dyDescent="0.2">
      <c r="A7" s="170" t="s">
        <v>2265</v>
      </c>
    </row>
    <row r="8" spans="1:1" hidden="1" x14ac:dyDescent="0.2">
      <c r="A8" s="170" t="s">
        <v>2266</v>
      </c>
    </row>
    <row r="9" spans="1:1" hidden="1" x14ac:dyDescent="0.2">
      <c r="A9" s="170" t="s">
        <v>2267</v>
      </c>
    </row>
    <row r="10" spans="1:1" hidden="1" x14ac:dyDescent="0.2">
      <c r="A10" s="170" t="s">
        <v>2268</v>
      </c>
    </row>
    <row r="11" spans="1:1" hidden="1" x14ac:dyDescent="0.2">
      <c r="A11" s="170" t="s">
        <v>2269</v>
      </c>
    </row>
    <row r="12" spans="1:1" hidden="1" x14ac:dyDescent="0.2">
      <c r="A12" t="s">
        <v>2270</v>
      </c>
    </row>
    <row r="13" spans="1:1" hidden="1" x14ac:dyDescent="0.2">
      <c r="A13" t="s">
        <v>2271</v>
      </c>
    </row>
    <row r="14" spans="1:1" hidden="1" x14ac:dyDescent="0.2">
      <c r="A14" t="s">
        <v>2272</v>
      </c>
    </row>
    <row r="15" spans="1:1" hidden="1" x14ac:dyDescent="0.2">
      <c r="A15" t="s">
        <v>2273</v>
      </c>
    </row>
    <row r="16" spans="1:1" hidden="1" x14ac:dyDescent="0.2">
      <c r="A16" t="s">
        <v>2274</v>
      </c>
    </row>
    <row r="17" spans="1:1" hidden="1" x14ac:dyDescent="0.2">
      <c r="A17" t="s">
        <v>2275</v>
      </c>
    </row>
    <row r="18" spans="1:1" hidden="1" x14ac:dyDescent="0.2">
      <c r="A18" t="s">
        <v>2276</v>
      </c>
    </row>
    <row r="19" spans="1:1" hidden="1" x14ac:dyDescent="0.2">
      <c r="A19" t="s">
        <v>2277</v>
      </c>
    </row>
    <row r="20" spans="1:1" hidden="1" x14ac:dyDescent="0.2">
      <c r="A20" t="s">
        <v>2278</v>
      </c>
    </row>
    <row r="21" spans="1:1" hidden="1" x14ac:dyDescent="0.2">
      <c r="A21" t="s">
        <v>2279</v>
      </c>
    </row>
    <row r="22" spans="1:1" hidden="1" x14ac:dyDescent="0.2">
      <c r="A22" t="s">
        <v>2343</v>
      </c>
    </row>
    <row r="23" spans="1:1" hidden="1" x14ac:dyDescent="0.2">
      <c r="A23" t="s">
        <v>2260</v>
      </c>
    </row>
    <row r="24" spans="1:1" hidden="1" x14ac:dyDescent="0.2">
      <c r="A24" t="s">
        <v>2280</v>
      </c>
    </row>
    <row r="25" spans="1:1" x14ac:dyDescent="0.2">
      <c r="A25" t="s">
        <v>2258</v>
      </c>
    </row>
    <row r="26" spans="1:1" hidden="1" x14ac:dyDescent="0.2">
      <c r="A26" t="s">
        <v>2281</v>
      </c>
    </row>
    <row r="27" spans="1:1" hidden="1" x14ac:dyDescent="0.2">
      <c r="A27" t="s">
        <v>2282</v>
      </c>
    </row>
    <row r="28" spans="1:1" hidden="1" x14ac:dyDescent="0.2">
      <c r="A28" t="s">
        <v>2283</v>
      </c>
    </row>
    <row r="29" spans="1:1" hidden="1" x14ac:dyDescent="0.2">
      <c r="A29" t="s">
        <v>2284</v>
      </c>
    </row>
    <row r="30" spans="1:1" hidden="1" x14ac:dyDescent="0.2">
      <c r="A30" t="s">
        <v>2285</v>
      </c>
    </row>
    <row r="31" spans="1:1" hidden="1" x14ac:dyDescent="0.2">
      <c r="A31" t="s">
        <v>2286</v>
      </c>
    </row>
    <row r="32" spans="1:1" hidden="1" x14ac:dyDescent="0.2">
      <c r="A32" t="s">
        <v>2287</v>
      </c>
    </row>
    <row r="33" spans="1:1" hidden="1" x14ac:dyDescent="0.2">
      <c r="A33" t="s">
        <v>2288</v>
      </c>
    </row>
    <row r="34" spans="1:1" hidden="1" x14ac:dyDescent="0.2">
      <c r="A34" t="s">
        <v>2289</v>
      </c>
    </row>
    <row r="35" spans="1:1" hidden="1" x14ac:dyDescent="0.2">
      <c r="A35" t="s">
        <v>2290</v>
      </c>
    </row>
    <row r="36" spans="1:1" hidden="1" x14ac:dyDescent="0.2">
      <c r="A36" t="s">
        <v>2291</v>
      </c>
    </row>
    <row r="37" spans="1:1" hidden="1" x14ac:dyDescent="0.2">
      <c r="A37" t="s">
        <v>276</v>
      </c>
    </row>
    <row r="38" spans="1:1" hidden="1" x14ac:dyDescent="0.2">
      <c r="A38" t="s">
        <v>2292</v>
      </c>
    </row>
    <row r="39" spans="1:1" hidden="1" x14ac:dyDescent="0.2">
      <c r="A39" t="s">
        <v>2293</v>
      </c>
    </row>
    <row r="40" spans="1:1" hidden="1" x14ac:dyDescent="0.2">
      <c r="A40" t="s">
        <v>2294</v>
      </c>
    </row>
    <row r="41" spans="1:1" hidden="1" x14ac:dyDescent="0.2">
      <c r="A41" t="s">
        <v>2295</v>
      </c>
    </row>
    <row r="42" spans="1:1" hidden="1" x14ac:dyDescent="0.2">
      <c r="A42" t="s">
        <v>2296</v>
      </c>
    </row>
    <row r="43" spans="1:1" hidden="1" x14ac:dyDescent="0.2">
      <c r="A43" t="s">
        <v>2297</v>
      </c>
    </row>
    <row r="44" spans="1:1" hidden="1" x14ac:dyDescent="0.2">
      <c r="A44" t="s">
        <v>2298</v>
      </c>
    </row>
    <row r="45" spans="1:1" hidden="1" x14ac:dyDescent="0.2">
      <c r="A45" t="s">
        <v>2299</v>
      </c>
    </row>
    <row r="46" spans="1:1" hidden="1" x14ac:dyDescent="0.2">
      <c r="A46" t="s">
        <v>2300</v>
      </c>
    </row>
    <row r="47" spans="1:1" hidden="1" x14ac:dyDescent="0.2">
      <c r="A47" t="s">
        <v>2301</v>
      </c>
    </row>
    <row r="48" spans="1:1" hidden="1" x14ac:dyDescent="0.2">
      <c r="A48" t="s">
        <v>2302</v>
      </c>
    </row>
    <row r="49" spans="1:1" hidden="1" x14ac:dyDescent="0.2">
      <c r="A49" t="s">
        <v>2303</v>
      </c>
    </row>
    <row r="50" spans="1:1" hidden="1" x14ac:dyDescent="0.2">
      <c r="A50" t="s">
        <v>2304</v>
      </c>
    </row>
    <row r="51" spans="1:1" hidden="1" x14ac:dyDescent="0.2">
      <c r="A51" t="s">
        <v>2305</v>
      </c>
    </row>
    <row r="52" spans="1:1" hidden="1" x14ac:dyDescent="0.2">
      <c r="A52" t="s">
        <v>2306</v>
      </c>
    </row>
    <row r="53" spans="1:1" hidden="1" x14ac:dyDescent="0.2">
      <c r="A53" t="s">
        <v>2307</v>
      </c>
    </row>
    <row r="54" spans="1:1" hidden="1" x14ac:dyDescent="0.2">
      <c r="A54" t="s">
        <v>2308</v>
      </c>
    </row>
    <row r="55" spans="1:1" hidden="1" x14ac:dyDescent="0.2">
      <c r="A55" t="s">
        <v>2309</v>
      </c>
    </row>
    <row r="56" spans="1:1" hidden="1" x14ac:dyDescent="0.2">
      <c r="A56" t="s">
        <v>2310</v>
      </c>
    </row>
    <row r="57" spans="1:1" hidden="1" x14ac:dyDescent="0.2">
      <c r="A57" t="s">
        <v>2311</v>
      </c>
    </row>
    <row r="58" spans="1:1" hidden="1" x14ac:dyDescent="0.2">
      <c r="A58" t="s">
        <v>2312</v>
      </c>
    </row>
    <row r="59" spans="1:1" hidden="1" x14ac:dyDescent="0.2">
      <c r="A59" t="s">
        <v>2313</v>
      </c>
    </row>
    <row r="60" spans="1:1" hidden="1" x14ac:dyDescent="0.2">
      <c r="A60" t="s">
        <v>2314</v>
      </c>
    </row>
    <row r="61" spans="1:1" hidden="1" x14ac:dyDescent="0.2">
      <c r="A61" t="s">
        <v>2315</v>
      </c>
    </row>
    <row r="62" spans="1:1" hidden="1" x14ac:dyDescent="0.2">
      <c r="A62" t="s">
        <v>2316</v>
      </c>
    </row>
    <row r="63" spans="1:1" hidden="1" x14ac:dyDescent="0.2">
      <c r="A63" t="s">
        <v>2317</v>
      </c>
    </row>
    <row r="64" spans="1:1" hidden="1" x14ac:dyDescent="0.2">
      <c r="A64" t="s">
        <v>2318</v>
      </c>
    </row>
    <row r="65" spans="1:1" hidden="1" x14ac:dyDescent="0.2">
      <c r="A65" t="s">
        <v>2319</v>
      </c>
    </row>
    <row r="66" spans="1:1" hidden="1" x14ac:dyDescent="0.2">
      <c r="A66" t="s">
        <v>2320</v>
      </c>
    </row>
    <row r="67" spans="1:1" hidden="1" x14ac:dyDescent="0.2">
      <c r="A67" t="s">
        <v>2321</v>
      </c>
    </row>
    <row r="68" spans="1:1" hidden="1" x14ac:dyDescent="0.2">
      <c r="A68" t="s">
        <v>2322</v>
      </c>
    </row>
    <row r="69" spans="1:1" hidden="1" x14ac:dyDescent="0.2">
      <c r="A69" t="s">
        <v>2323</v>
      </c>
    </row>
    <row r="70" spans="1:1" hidden="1" x14ac:dyDescent="0.2">
      <c r="A70" t="s">
        <v>2324</v>
      </c>
    </row>
    <row r="71" spans="1:1" hidden="1" x14ac:dyDescent="0.2">
      <c r="A71" t="s">
        <v>2325</v>
      </c>
    </row>
    <row r="72" spans="1:1" hidden="1" x14ac:dyDescent="0.2">
      <c r="A72" t="s">
        <v>2326</v>
      </c>
    </row>
    <row r="73" spans="1:1" hidden="1" x14ac:dyDescent="0.2">
      <c r="A73" t="s">
        <v>2327</v>
      </c>
    </row>
    <row r="74" spans="1:1" hidden="1" x14ac:dyDescent="0.2">
      <c r="A74" t="s">
        <v>2328</v>
      </c>
    </row>
    <row r="75" spans="1:1" hidden="1" x14ac:dyDescent="0.2">
      <c r="A75" t="s">
        <v>2329</v>
      </c>
    </row>
    <row r="76" spans="1:1" hidden="1" x14ac:dyDescent="0.2">
      <c r="A76" t="s">
        <v>2330</v>
      </c>
    </row>
    <row r="77" spans="1:1" hidden="1" x14ac:dyDescent="0.2">
      <c r="A77" t="s">
        <v>2331</v>
      </c>
    </row>
    <row r="78" spans="1:1" hidden="1" x14ac:dyDescent="0.2">
      <c r="A78" t="s">
        <v>2332</v>
      </c>
    </row>
    <row r="79" spans="1:1" hidden="1" x14ac:dyDescent="0.2">
      <c r="A79" t="s">
        <v>2333</v>
      </c>
    </row>
    <row r="80" spans="1:1" hidden="1" x14ac:dyDescent="0.2">
      <c r="A80" t="s">
        <v>2334</v>
      </c>
    </row>
    <row r="81" spans="1:1" hidden="1" x14ac:dyDescent="0.2">
      <c r="A81" t="s">
        <v>2335</v>
      </c>
    </row>
    <row r="82" spans="1:1" hidden="1" x14ac:dyDescent="0.2">
      <c r="A82" t="s">
        <v>2336</v>
      </c>
    </row>
    <row r="83" spans="1:1" hidden="1" x14ac:dyDescent="0.2">
      <c r="A83" t="s">
        <v>2337</v>
      </c>
    </row>
    <row r="84" spans="1:1" hidden="1" x14ac:dyDescent="0.2">
      <c r="A84" t="s">
        <v>2338</v>
      </c>
    </row>
    <row r="85" spans="1:1" hidden="1" x14ac:dyDescent="0.2">
      <c r="A85" t="s">
        <v>2339</v>
      </c>
    </row>
    <row r="86" spans="1:1" hidden="1" x14ac:dyDescent="0.2">
      <c r="A86" t="s">
        <v>2340</v>
      </c>
    </row>
    <row r="87" spans="1:1" hidden="1" x14ac:dyDescent="0.2">
      <c r="A87" t="s">
        <v>2341</v>
      </c>
    </row>
    <row r="88" spans="1:1" hidden="1" x14ac:dyDescent="0.2">
      <c r="A88" t="s">
        <v>2342</v>
      </c>
    </row>
  </sheetData>
  <autoFilter ref="A3:A88" xr:uid="{82953B5A-7E8F-48D2-B2BF-240143651C71}">
    <filterColumn colId="0">
      <filters>
        <filter val="Formato publicación de vacante interna"/>
        <filter val="Matriz control de vacantes"/>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ABC7E-2A56-43E4-B5CF-F03854F3318D}">
  <sheetPr codeName="Hoja9"/>
  <dimension ref="A1:T391"/>
  <sheetViews>
    <sheetView topLeftCell="P1" zoomScale="85" zoomScaleNormal="85" workbookViewId="0">
      <selection activeCell="T2" sqref="T2:T391"/>
    </sheetView>
  </sheetViews>
  <sheetFormatPr baseColWidth="10" defaultColWidth="11" defaultRowHeight="14.25" x14ac:dyDescent="0.2"/>
  <cols>
    <col min="1" max="1" width="35" bestFit="1" customWidth="1"/>
    <col min="2" max="2" width="26.75" customWidth="1"/>
    <col min="3" max="3" width="81" bestFit="1" customWidth="1"/>
    <col min="4" max="4" width="20" customWidth="1"/>
    <col min="5" max="5" width="11.25" customWidth="1"/>
    <col min="6" max="6" width="17.5" hidden="1" customWidth="1"/>
    <col min="7" max="7" width="17.25" hidden="1" customWidth="1"/>
    <col min="8" max="8" width="27.375" hidden="1" customWidth="1"/>
    <col min="9" max="9" width="16.625" hidden="1" customWidth="1"/>
    <col min="10" max="10" width="29.625" hidden="1" customWidth="1"/>
    <col min="11" max="11" width="19.375" hidden="1" customWidth="1"/>
    <col min="12" max="12" width="16.75" hidden="1" customWidth="1"/>
    <col min="13" max="13" width="13.375" bestFit="1" customWidth="1"/>
    <col min="14" max="14" width="70.125" bestFit="1" customWidth="1"/>
    <col min="15" max="15" width="42.375" bestFit="1" customWidth="1"/>
    <col min="16" max="16" width="39.625" bestFit="1" customWidth="1"/>
    <col min="17" max="17" width="60.375" bestFit="1" customWidth="1"/>
    <col min="18" max="18" width="81" bestFit="1" customWidth="1"/>
    <col min="19" max="19" width="28.625" bestFit="1" customWidth="1"/>
    <col min="20" max="20" width="11.75" bestFit="1" customWidth="1"/>
    <col min="21" max="21" width="81" bestFit="1" customWidth="1"/>
    <col min="22" max="22" width="26.75" bestFit="1" customWidth="1"/>
    <col min="23" max="24" width="11.625" bestFit="1" customWidth="1"/>
    <col min="25" max="25" width="81" bestFit="1" customWidth="1"/>
    <col min="26" max="26" width="26.75" bestFit="1" customWidth="1"/>
    <col min="27" max="27" width="11.625" bestFit="1" customWidth="1"/>
  </cols>
  <sheetData>
    <row r="1" spans="1:20" x14ac:dyDescent="0.2">
      <c r="A1" t="s">
        <v>615</v>
      </c>
      <c r="B1" t="s">
        <v>616</v>
      </c>
      <c r="C1" t="s">
        <v>618</v>
      </c>
      <c r="D1" t="s">
        <v>617</v>
      </c>
      <c r="E1" t="s">
        <v>619</v>
      </c>
      <c r="F1" t="s">
        <v>620</v>
      </c>
      <c r="G1" t="s">
        <v>621</v>
      </c>
      <c r="H1" t="s">
        <v>622</v>
      </c>
      <c r="I1" t="s">
        <v>623</v>
      </c>
      <c r="J1" t="s">
        <v>624</v>
      </c>
      <c r="K1" t="s">
        <v>625</v>
      </c>
      <c r="L1" t="s">
        <v>626</v>
      </c>
      <c r="M1" t="s">
        <v>627</v>
      </c>
      <c r="N1" t="s">
        <v>628</v>
      </c>
      <c r="O1" t="s">
        <v>629</v>
      </c>
      <c r="P1" t="s">
        <v>630</v>
      </c>
      <c r="Q1" t="s">
        <v>631</v>
      </c>
      <c r="R1" t="s">
        <v>632</v>
      </c>
      <c r="S1" t="s">
        <v>633</v>
      </c>
      <c r="T1" t="s">
        <v>2743</v>
      </c>
    </row>
    <row r="2" spans="1:20" x14ac:dyDescent="0.2">
      <c r="A2" t="s">
        <v>634</v>
      </c>
      <c r="B2" t="s">
        <v>15</v>
      </c>
      <c r="C2" t="s">
        <v>182</v>
      </c>
      <c r="D2" t="s">
        <v>635</v>
      </c>
      <c r="E2" t="s">
        <v>636</v>
      </c>
      <c r="F2" t="s">
        <v>16</v>
      </c>
      <c r="G2" s="32">
        <v>44776</v>
      </c>
      <c r="H2" t="s">
        <v>637</v>
      </c>
      <c r="I2" s="32">
        <v>44776</v>
      </c>
      <c r="J2" t="s">
        <v>638</v>
      </c>
      <c r="K2" s="32">
        <v>44776</v>
      </c>
      <c r="L2" s="32">
        <v>45872</v>
      </c>
      <c r="M2" t="s">
        <v>639</v>
      </c>
      <c r="N2" t="s">
        <v>640</v>
      </c>
      <c r="O2" t="s">
        <v>641</v>
      </c>
      <c r="P2" t="s">
        <v>642</v>
      </c>
      <c r="Q2" t="s">
        <v>643</v>
      </c>
      <c r="R2" t="s">
        <v>643</v>
      </c>
      <c r="S2" t="s">
        <v>643</v>
      </c>
      <c r="T2" s="32" t="s">
        <v>1296</v>
      </c>
    </row>
    <row r="3" spans="1:20" x14ac:dyDescent="0.2">
      <c r="A3" t="s">
        <v>634</v>
      </c>
      <c r="B3" t="s">
        <v>61</v>
      </c>
      <c r="C3" t="s">
        <v>305</v>
      </c>
      <c r="D3" t="s">
        <v>1246</v>
      </c>
      <c r="E3" t="s">
        <v>636</v>
      </c>
      <c r="F3" t="s">
        <v>16</v>
      </c>
      <c r="G3" s="32">
        <v>44802</v>
      </c>
      <c r="H3" t="s">
        <v>637</v>
      </c>
      <c r="I3" s="32">
        <v>44802</v>
      </c>
      <c r="J3" t="s">
        <v>656</v>
      </c>
      <c r="K3" s="32">
        <v>44802</v>
      </c>
      <c r="L3" s="32">
        <v>45898</v>
      </c>
      <c r="M3" t="s">
        <v>639</v>
      </c>
      <c r="N3" t="s">
        <v>637</v>
      </c>
      <c r="O3" t="s">
        <v>656</v>
      </c>
      <c r="P3" t="s">
        <v>642</v>
      </c>
      <c r="Q3" t="s">
        <v>643</v>
      </c>
      <c r="R3" t="s">
        <v>643</v>
      </c>
      <c r="S3" t="s">
        <v>643</v>
      </c>
      <c r="T3" s="32" t="s">
        <v>2124</v>
      </c>
    </row>
    <row r="4" spans="1:20" x14ac:dyDescent="0.2">
      <c r="A4" t="s">
        <v>634</v>
      </c>
      <c r="B4" t="s">
        <v>61</v>
      </c>
      <c r="C4" t="s">
        <v>323</v>
      </c>
      <c r="D4" t="s">
        <v>1247</v>
      </c>
      <c r="E4" t="s">
        <v>636</v>
      </c>
      <c r="F4" t="s">
        <v>16</v>
      </c>
      <c r="G4" s="32">
        <v>44802</v>
      </c>
      <c r="H4" t="s">
        <v>637</v>
      </c>
      <c r="I4" s="32">
        <v>44802</v>
      </c>
      <c r="J4" t="s">
        <v>656</v>
      </c>
      <c r="K4" s="32">
        <v>44802</v>
      </c>
      <c r="L4" s="32">
        <v>45898</v>
      </c>
      <c r="M4" t="s">
        <v>639</v>
      </c>
      <c r="N4" t="s">
        <v>637</v>
      </c>
      <c r="O4" t="s">
        <v>656</v>
      </c>
      <c r="P4" t="s">
        <v>642</v>
      </c>
      <c r="Q4" t="s">
        <v>643</v>
      </c>
      <c r="R4" t="s">
        <v>643</v>
      </c>
      <c r="S4" t="s">
        <v>643</v>
      </c>
      <c r="T4" s="32" t="s">
        <v>2124</v>
      </c>
    </row>
    <row r="5" spans="1:20" x14ac:dyDescent="0.2">
      <c r="A5" t="s">
        <v>634</v>
      </c>
      <c r="B5" t="s">
        <v>15</v>
      </c>
      <c r="C5" t="s">
        <v>396</v>
      </c>
      <c r="D5" t="s">
        <v>655</v>
      </c>
      <c r="E5" t="s">
        <v>636</v>
      </c>
      <c r="F5" t="s">
        <v>16</v>
      </c>
      <c r="G5" s="32">
        <v>44358</v>
      </c>
      <c r="H5" t="s">
        <v>637</v>
      </c>
      <c r="I5" s="32">
        <v>44358</v>
      </c>
      <c r="J5" t="s">
        <v>656</v>
      </c>
      <c r="K5" s="32">
        <v>44358</v>
      </c>
      <c r="L5" s="32">
        <v>46776</v>
      </c>
      <c r="M5" t="s">
        <v>639</v>
      </c>
      <c r="N5" t="s">
        <v>637</v>
      </c>
      <c r="O5" t="s">
        <v>656</v>
      </c>
      <c r="P5" t="s">
        <v>642</v>
      </c>
      <c r="Q5" t="s">
        <v>657</v>
      </c>
      <c r="R5" t="s">
        <v>657</v>
      </c>
      <c r="S5" t="s">
        <v>658</v>
      </c>
      <c r="T5" s="32" t="s">
        <v>1308</v>
      </c>
    </row>
    <row r="6" spans="1:20" x14ac:dyDescent="0.2">
      <c r="A6" t="s">
        <v>634</v>
      </c>
      <c r="B6" t="s">
        <v>9</v>
      </c>
      <c r="C6" t="s">
        <v>660</v>
      </c>
      <c r="D6" t="s">
        <v>659</v>
      </c>
      <c r="E6" t="s">
        <v>636</v>
      </c>
      <c r="F6" t="s">
        <v>16</v>
      </c>
      <c r="G6" s="32">
        <v>45075</v>
      </c>
      <c r="H6" t="s">
        <v>637</v>
      </c>
      <c r="I6" s="32">
        <v>45075</v>
      </c>
      <c r="J6" t="s">
        <v>656</v>
      </c>
      <c r="K6" s="32">
        <v>45075</v>
      </c>
      <c r="L6" s="32">
        <v>46171</v>
      </c>
      <c r="M6" t="s">
        <v>639</v>
      </c>
      <c r="N6" t="s">
        <v>637</v>
      </c>
      <c r="O6" t="s">
        <v>656</v>
      </c>
      <c r="P6" t="s">
        <v>642</v>
      </c>
      <c r="Q6" t="s">
        <v>661</v>
      </c>
      <c r="R6" t="s">
        <v>661</v>
      </c>
      <c r="S6" t="s">
        <v>654</v>
      </c>
      <c r="T6" s="32" t="s">
        <v>1312</v>
      </c>
    </row>
    <row r="7" spans="1:20" x14ac:dyDescent="0.2">
      <c r="A7" t="s">
        <v>634</v>
      </c>
      <c r="B7" t="s">
        <v>9</v>
      </c>
      <c r="C7" t="s">
        <v>492</v>
      </c>
      <c r="D7" t="s">
        <v>662</v>
      </c>
      <c r="E7" t="s">
        <v>636</v>
      </c>
      <c r="F7" t="s">
        <v>16</v>
      </c>
      <c r="G7" s="32">
        <v>45075</v>
      </c>
      <c r="H7" t="s">
        <v>637</v>
      </c>
      <c r="I7" s="32">
        <v>45075</v>
      </c>
      <c r="J7" t="s">
        <v>656</v>
      </c>
      <c r="K7" s="32">
        <v>45075</v>
      </c>
      <c r="L7" s="32">
        <v>46171</v>
      </c>
      <c r="M7" t="s">
        <v>639</v>
      </c>
      <c r="N7" t="s">
        <v>637</v>
      </c>
      <c r="O7" t="s">
        <v>656</v>
      </c>
      <c r="P7" t="s">
        <v>642</v>
      </c>
      <c r="Q7" t="s">
        <v>661</v>
      </c>
      <c r="R7" t="s">
        <v>661</v>
      </c>
      <c r="S7" t="s">
        <v>654</v>
      </c>
      <c r="T7" s="32" t="s">
        <v>1312</v>
      </c>
    </row>
    <row r="8" spans="1:20" x14ac:dyDescent="0.2">
      <c r="A8" t="s">
        <v>634</v>
      </c>
      <c r="B8" t="s">
        <v>9</v>
      </c>
      <c r="C8" t="s">
        <v>264</v>
      </c>
      <c r="D8" t="s">
        <v>663</v>
      </c>
      <c r="E8" t="s">
        <v>636</v>
      </c>
      <c r="F8" t="s">
        <v>664</v>
      </c>
      <c r="G8" s="32">
        <v>45072</v>
      </c>
      <c r="H8" t="s">
        <v>637</v>
      </c>
      <c r="I8" s="32">
        <v>45072</v>
      </c>
      <c r="J8" t="s">
        <v>638</v>
      </c>
      <c r="K8" s="32">
        <v>45072</v>
      </c>
      <c r="L8" s="32">
        <v>46168</v>
      </c>
      <c r="M8" t="s">
        <v>639</v>
      </c>
      <c r="N8" t="s">
        <v>637</v>
      </c>
      <c r="O8" t="s">
        <v>656</v>
      </c>
      <c r="P8" t="s">
        <v>642</v>
      </c>
      <c r="Q8" t="s">
        <v>643</v>
      </c>
      <c r="R8" t="s">
        <v>643</v>
      </c>
      <c r="S8" t="s">
        <v>643</v>
      </c>
      <c r="T8" s="32" t="s">
        <v>1315</v>
      </c>
    </row>
    <row r="9" spans="1:20" x14ac:dyDescent="0.2">
      <c r="A9" t="s">
        <v>634</v>
      </c>
      <c r="B9" t="s">
        <v>61</v>
      </c>
      <c r="C9" t="s">
        <v>93</v>
      </c>
      <c r="D9" t="s">
        <v>1266</v>
      </c>
      <c r="E9" t="s">
        <v>636</v>
      </c>
      <c r="F9" t="s">
        <v>925</v>
      </c>
      <c r="G9" s="32">
        <v>44956</v>
      </c>
      <c r="H9" t="s">
        <v>637</v>
      </c>
      <c r="I9" s="32">
        <v>44956</v>
      </c>
      <c r="J9" t="s">
        <v>638</v>
      </c>
      <c r="K9" s="32">
        <v>44956</v>
      </c>
      <c r="L9" s="32">
        <v>46052</v>
      </c>
      <c r="M9" t="s">
        <v>639</v>
      </c>
      <c r="N9" t="s">
        <v>637</v>
      </c>
      <c r="O9" t="s">
        <v>656</v>
      </c>
      <c r="P9" t="s">
        <v>642</v>
      </c>
      <c r="Q9" t="s">
        <v>643</v>
      </c>
      <c r="R9" t="s">
        <v>643</v>
      </c>
      <c r="S9" t="s">
        <v>643</v>
      </c>
      <c r="T9" s="32" t="s">
        <v>2144</v>
      </c>
    </row>
    <row r="10" spans="1:20" x14ac:dyDescent="0.2">
      <c r="A10" t="s">
        <v>667</v>
      </c>
      <c r="B10" t="s">
        <v>55</v>
      </c>
      <c r="C10" t="s">
        <v>83</v>
      </c>
      <c r="D10" t="s">
        <v>668</v>
      </c>
      <c r="E10" t="s">
        <v>636</v>
      </c>
      <c r="F10" t="s">
        <v>16</v>
      </c>
      <c r="G10" s="32">
        <v>43791</v>
      </c>
      <c r="H10" t="s">
        <v>669</v>
      </c>
      <c r="I10" s="32">
        <v>43791</v>
      </c>
      <c r="J10" t="s">
        <v>656</v>
      </c>
      <c r="K10" s="32">
        <v>43791</v>
      </c>
      <c r="L10" s="32">
        <v>44887</v>
      </c>
      <c r="M10" t="s">
        <v>639</v>
      </c>
      <c r="N10" t="s">
        <v>669</v>
      </c>
      <c r="O10" t="s">
        <v>656</v>
      </c>
      <c r="P10" t="s">
        <v>670</v>
      </c>
      <c r="Q10" t="s">
        <v>643</v>
      </c>
      <c r="R10" t="s">
        <v>643</v>
      </c>
      <c r="S10" t="s">
        <v>643</v>
      </c>
      <c r="T10" s="32" t="s">
        <v>1322</v>
      </c>
    </row>
    <row r="11" spans="1:20" x14ac:dyDescent="0.2">
      <c r="A11" t="s">
        <v>667</v>
      </c>
      <c r="B11" t="s">
        <v>55</v>
      </c>
      <c r="C11" t="s">
        <v>680</v>
      </c>
      <c r="D11" t="s">
        <v>679</v>
      </c>
      <c r="E11" t="s">
        <v>649</v>
      </c>
      <c r="F11" t="s">
        <v>16</v>
      </c>
      <c r="G11" s="32">
        <v>43794</v>
      </c>
      <c r="H11" t="s">
        <v>669</v>
      </c>
      <c r="I11" s="32">
        <v>43794</v>
      </c>
      <c r="J11" t="s">
        <v>656</v>
      </c>
      <c r="K11" s="32">
        <v>43794</v>
      </c>
      <c r="L11" s="32">
        <v>45899</v>
      </c>
      <c r="M11" t="s">
        <v>639</v>
      </c>
      <c r="N11" t="s">
        <v>669</v>
      </c>
      <c r="O11" t="s">
        <v>656</v>
      </c>
      <c r="P11" t="s">
        <v>670</v>
      </c>
      <c r="Q11" t="s">
        <v>643</v>
      </c>
      <c r="R11" t="s">
        <v>643</v>
      </c>
      <c r="S11" t="s">
        <v>643</v>
      </c>
      <c r="T11" s="32" t="s">
        <v>1334</v>
      </c>
    </row>
    <row r="12" spans="1:20" x14ac:dyDescent="0.2">
      <c r="A12" t="s">
        <v>667</v>
      </c>
      <c r="B12" t="s">
        <v>55</v>
      </c>
      <c r="C12" t="s">
        <v>820</v>
      </c>
      <c r="D12" t="s">
        <v>819</v>
      </c>
      <c r="E12" t="s">
        <v>649</v>
      </c>
      <c r="F12" t="s">
        <v>16</v>
      </c>
      <c r="G12" s="32">
        <v>43794</v>
      </c>
      <c r="H12" t="s">
        <v>669</v>
      </c>
      <c r="I12" s="32">
        <v>43794</v>
      </c>
      <c r="J12" t="s">
        <v>656</v>
      </c>
      <c r="K12" s="32">
        <v>43794</v>
      </c>
      <c r="L12" s="32">
        <v>45713</v>
      </c>
      <c r="M12" t="s">
        <v>639</v>
      </c>
      <c r="N12" t="s">
        <v>669</v>
      </c>
      <c r="O12" t="s">
        <v>656</v>
      </c>
      <c r="P12" t="s">
        <v>670</v>
      </c>
      <c r="Q12" t="s">
        <v>696</v>
      </c>
      <c r="R12" t="s">
        <v>697</v>
      </c>
      <c r="S12" t="s">
        <v>698</v>
      </c>
      <c r="T12" s="32" t="s">
        <v>1334</v>
      </c>
    </row>
    <row r="13" spans="1:20" x14ac:dyDescent="0.2">
      <c r="A13" t="s">
        <v>667</v>
      </c>
      <c r="B13" t="s">
        <v>62</v>
      </c>
      <c r="C13" t="s">
        <v>261</v>
      </c>
      <c r="D13" t="s">
        <v>677</v>
      </c>
      <c r="E13" t="s">
        <v>636</v>
      </c>
      <c r="F13" t="s">
        <v>16</v>
      </c>
      <c r="G13" s="32">
        <v>44189</v>
      </c>
      <c r="H13" t="s">
        <v>669</v>
      </c>
      <c r="I13" s="32">
        <v>44189</v>
      </c>
      <c r="J13" t="s">
        <v>656</v>
      </c>
      <c r="K13" s="32">
        <v>44189</v>
      </c>
      <c r="L13" s="32">
        <v>45284</v>
      </c>
      <c r="M13" t="s">
        <v>639</v>
      </c>
      <c r="N13" t="s">
        <v>669</v>
      </c>
      <c r="O13" t="s">
        <v>656</v>
      </c>
      <c r="P13" t="s">
        <v>670</v>
      </c>
      <c r="Q13" t="s">
        <v>643</v>
      </c>
      <c r="R13" t="s">
        <v>643</v>
      </c>
      <c r="S13" t="s">
        <v>643</v>
      </c>
      <c r="T13" s="32" t="s">
        <v>1328</v>
      </c>
    </row>
    <row r="14" spans="1:20" x14ac:dyDescent="0.2">
      <c r="A14" t="s">
        <v>667</v>
      </c>
      <c r="B14" t="s">
        <v>55</v>
      </c>
      <c r="C14" t="s">
        <v>952</v>
      </c>
      <c r="D14" t="s">
        <v>951</v>
      </c>
      <c r="E14" t="s">
        <v>709</v>
      </c>
      <c r="F14" t="s">
        <v>16</v>
      </c>
      <c r="G14" s="32">
        <v>44436</v>
      </c>
      <c r="H14" t="s">
        <v>643</v>
      </c>
      <c r="I14" s="32"/>
      <c r="J14" t="s">
        <v>654</v>
      </c>
      <c r="K14" s="32">
        <v>45259</v>
      </c>
      <c r="L14" s="32">
        <v>46347</v>
      </c>
      <c r="M14" t="s">
        <v>639</v>
      </c>
      <c r="N14" t="s">
        <v>669</v>
      </c>
      <c r="O14" t="s">
        <v>673</v>
      </c>
      <c r="P14" t="s">
        <v>643</v>
      </c>
      <c r="Q14" t="s">
        <v>953</v>
      </c>
      <c r="R14" t="s">
        <v>954</v>
      </c>
      <c r="S14" t="s">
        <v>654</v>
      </c>
      <c r="T14" s="32" t="s">
        <v>1650</v>
      </c>
    </row>
    <row r="15" spans="1:20" x14ac:dyDescent="0.2">
      <c r="A15" t="s">
        <v>667</v>
      </c>
      <c r="B15" t="s">
        <v>60</v>
      </c>
      <c r="C15" t="s">
        <v>353</v>
      </c>
      <c r="D15" t="s">
        <v>684</v>
      </c>
      <c r="E15" t="s">
        <v>636</v>
      </c>
      <c r="F15" t="s">
        <v>16</v>
      </c>
      <c r="G15" s="32">
        <v>44690</v>
      </c>
      <c r="H15" t="s">
        <v>669</v>
      </c>
      <c r="I15" s="32">
        <v>44690</v>
      </c>
      <c r="J15" t="s">
        <v>656</v>
      </c>
      <c r="K15" s="32">
        <v>44690</v>
      </c>
      <c r="L15" s="32">
        <v>45786</v>
      </c>
      <c r="M15" t="s">
        <v>639</v>
      </c>
      <c r="N15" t="s">
        <v>669</v>
      </c>
      <c r="O15" t="s">
        <v>656</v>
      </c>
      <c r="P15" t="s">
        <v>670</v>
      </c>
      <c r="Q15" t="s">
        <v>643</v>
      </c>
      <c r="R15" t="s">
        <v>643</v>
      </c>
      <c r="S15" t="s">
        <v>643</v>
      </c>
      <c r="T15" s="32" t="s">
        <v>1340</v>
      </c>
    </row>
    <row r="16" spans="1:20" x14ac:dyDescent="0.2">
      <c r="A16" t="s">
        <v>667</v>
      </c>
      <c r="B16" t="s">
        <v>60</v>
      </c>
      <c r="C16" t="s">
        <v>365</v>
      </c>
      <c r="D16" t="s">
        <v>685</v>
      </c>
      <c r="E16" t="s">
        <v>636</v>
      </c>
      <c r="F16" t="s">
        <v>16</v>
      </c>
      <c r="G16" s="32">
        <v>44325</v>
      </c>
      <c r="H16" t="s">
        <v>669</v>
      </c>
      <c r="I16" s="32">
        <v>44325</v>
      </c>
      <c r="J16" t="s">
        <v>656</v>
      </c>
      <c r="K16" s="32">
        <v>44325</v>
      </c>
      <c r="L16" s="32">
        <v>45421</v>
      </c>
      <c r="M16" t="s">
        <v>639</v>
      </c>
      <c r="N16" t="s">
        <v>669</v>
      </c>
      <c r="O16" t="s">
        <v>656</v>
      </c>
      <c r="P16" t="s">
        <v>670</v>
      </c>
      <c r="Q16" t="s">
        <v>643</v>
      </c>
      <c r="R16" t="s">
        <v>643</v>
      </c>
      <c r="S16" t="s">
        <v>643</v>
      </c>
      <c r="T16" s="32" t="s">
        <v>1343</v>
      </c>
    </row>
    <row r="17" spans="1:20" x14ac:dyDescent="0.2">
      <c r="A17" t="s">
        <v>667</v>
      </c>
      <c r="B17" t="s">
        <v>55</v>
      </c>
      <c r="C17" t="s">
        <v>395</v>
      </c>
      <c r="D17" t="s">
        <v>678</v>
      </c>
      <c r="E17" t="s">
        <v>636</v>
      </c>
      <c r="F17" t="s">
        <v>16</v>
      </c>
      <c r="G17" s="32">
        <v>44963</v>
      </c>
      <c r="H17" t="s">
        <v>669</v>
      </c>
      <c r="I17" s="32">
        <v>44963</v>
      </c>
      <c r="J17" t="s">
        <v>656</v>
      </c>
      <c r="K17" s="32">
        <v>44963</v>
      </c>
      <c r="L17" s="32">
        <v>46059</v>
      </c>
      <c r="M17" t="s">
        <v>639</v>
      </c>
      <c r="N17" t="s">
        <v>669</v>
      </c>
      <c r="O17" t="s">
        <v>656</v>
      </c>
      <c r="P17" t="s">
        <v>670</v>
      </c>
      <c r="Q17" t="s">
        <v>643</v>
      </c>
      <c r="R17" t="s">
        <v>643</v>
      </c>
      <c r="S17" t="s">
        <v>643</v>
      </c>
      <c r="T17" s="32" t="s">
        <v>1331</v>
      </c>
    </row>
    <row r="18" spans="1:20" x14ac:dyDescent="0.2">
      <c r="A18" t="s">
        <v>667</v>
      </c>
      <c r="B18" t="s">
        <v>62</v>
      </c>
      <c r="C18" t="s">
        <v>85</v>
      </c>
      <c r="D18" t="s">
        <v>689</v>
      </c>
      <c r="E18" t="s">
        <v>636</v>
      </c>
      <c r="F18" t="s">
        <v>27</v>
      </c>
      <c r="G18" s="32">
        <v>44417</v>
      </c>
      <c r="H18" t="s">
        <v>669</v>
      </c>
      <c r="I18" s="32">
        <v>44417</v>
      </c>
      <c r="J18" t="s">
        <v>656</v>
      </c>
      <c r="K18" s="32">
        <v>44417</v>
      </c>
      <c r="L18" s="32">
        <v>45513</v>
      </c>
      <c r="M18" t="s">
        <v>639</v>
      </c>
      <c r="N18" t="s">
        <v>669</v>
      </c>
      <c r="O18" t="s">
        <v>656</v>
      </c>
      <c r="P18" t="s">
        <v>670</v>
      </c>
      <c r="Q18" t="s">
        <v>643</v>
      </c>
      <c r="R18" t="s">
        <v>643</v>
      </c>
      <c r="S18" t="s">
        <v>643</v>
      </c>
      <c r="T18" s="32" t="s">
        <v>1348</v>
      </c>
    </row>
    <row r="19" spans="1:20" x14ac:dyDescent="0.2">
      <c r="A19" t="s">
        <v>690</v>
      </c>
      <c r="B19" t="s">
        <v>51</v>
      </c>
      <c r="C19" t="s">
        <v>112</v>
      </c>
      <c r="D19" t="s">
        <v>694</v>
      </c>
      <c r="E19" t="s">
        <v>649</v>
      </c>
      <c r="F19" t="s">
        <v>16</v>
      </c>
      <c r="G19" s="32">
        <v>43703</v>
      </c>
      <c r="H19" t="s">
        <v>673</v>
      </c>
      <c r="I19" s="32">
        <v>43703</v>
      </c>
      <c r="J19" t="s">
        <v>656</v>
      </c>
      <c r="K19" s="32">
        <v>43703</v>
      </c>
      <c r="L19" s="32">
        <v>45783</v>
      </c>
      <c r="M19" t="s">
        <v>639</v>
      </c>
      <c r="N19" t="s">
        <v>673</v>
      </c>
      <c r="O19" t="s">
        <v>656</v>
      </c>
      <c r="P19" t="s">
        <v>695</v>
      </c>
      <c r="Q19" t="s">
        <v>696</v>
      </c>
      <c r="R19" t="s">
        <v>697</v>
      </c>
      <c r="S19" t="s">
        <v>698</v>
      </c>
      <c r="T19" s="32" t="s">
        <v>1354</v>
      </c>
    </row>
    <row r="20" spans="1:20" x14ac:dyDescent="0.2">
      <c r="A20" t="s">
        <v>690</v>
      </c>
      <c r="B20" t="s">
        <v>51</v>
      </c>
      <c r="C20" t="s">
        <v>195</v>
      </c>
      <c r="D20" t="s">
        <v>770</v>
      </c>
      <c r="E20" t="s">
        <v>649</v>
      </c>
      <c r="F20" t="s">
        <v>16</v>
      </c>
      <c r="G20" s="32">
        <v>43703</v>
      </c>
      <c r="H20" t="s">
        <v>673</v>
      </c>
      <c r="I20" s="32">
        <v>43703</v>
      </c>
      <c r="J20" t="s">
        <v>656</v>
      </c>
      <c r="K20" s="32">
        <v>43703</v>
      </c>
      <c r="L20" s="32">
        <v>45783</v>
      </c>
      <c r="M20" t="s">
        <v>639</v>
      </c>
      <c r="N20" t="s">
        <v>673</v>
      </c>
      <c r="O20" t="s">
        <v>656</v>
      </c>
      <c r="P20" t="s">
        <v>695</v>
      </c>
      <c r="Q20" t="s">
        <v>696</v>
      </c>
      <c r="R20" t="s">
        <v>697</v>
      </c>
      <c r="S20" t="s">
        <v>698</v>
      </c>
      <c r="T20" s="32" t="s">
        <v>1354</v>
      </c>
    </row>
    <row r="21" spans="1:20" x14ac:dyDescent="0.2">
      <c r="A21" t="s">
        <v>690</v>
      </c>
      <c r="B21" t="s">
        <v>51</v>
      </c>
      <c r="C21" t="s">
        <v>276</v>
      </c>
      <c r="D21" t="s">
        <v>853</v>
      </c>
      <c r="E21" t="s">
        <v>709</v>
      </c>
      <c r="F21" t="s">
        <v>16</v>
      </c>
      <c r="G21" s="32">
        <v>43749</v>
      </c>
      <c r="H21" t="s">
        <v>692</v>
      </c>
      <c r="I21" s="32">
        <v>43749</v>
      </c>
      <c r="J21" t="s">
        <v>673</v>
      </c>
      <c r="K21" s="32">
        <v>43749</v>
      </c>
      <c r="L21" s="32">
        <v>46287</v>
      </c>
      <c r="M21" t="s">
        <v>639</v>
      </c>
      <c r="N21" t="s">
        <v>692</v>
      </c>
      <c r="O21" t="s">
        <v>673</v>
      </c>
      <c r="P21" t="s">
        <v>700</v>
      </c>
      <c r="Q21" t="s">
        <v>696</v>
      </c>
      <c r="R21" t="s">
        <v>697</v>
      </c>
      <c r="S21" t="s">
        <v>698</v>
      </c>
      <c r="T21" s="32" t="s">
        <v>1539</v>
      </c>
    </row>
    <row r="22" spans="1:20" x14ac:dyDescent="0.2">
      <c r="A22" t="s">
        <v>690</v>
      </c>
      <c r="B22" t="s">
        <v>51</v>
      </c>
      <c r="C22" t="s">
        <v>296</v>
      </c>
      <c r="D22" t="s">
        <v>974</v>
      </c>
      <c r="E22" t="s">
        <v>636</v>
      </c>
      <c r="F22" t="s">
        <v>16</v>
      </c>
      <c r="G22" s="32">
        <v>44687</v>
      </c>
      <c r="H22" t="s">
        <v>673</v>
      </c>
      <c r="I22" s="32">
        <v>44687</v>
      </c>
      <c r="J22" t="s">
        <v>656</v>
      </c>
      <c r="K22" s="32">
        <v>44687</v>
      </c>
      <c r="L22" s="32">
        <v>45783</v>
      </c>
      <c r="M22" t="s">
        <v>639</v>
      </c>
      <c r="N22" t="s">
        <v>673</v>
      </c>
      <c r="O22" t="s">
        <v>656</v>
      </c>
      <c r="P22" t="s">
        <v>695</v>
      </c>
      <c r="Q22" t="s">
        <v>643</v>
      </c>
      <c r="R22" t="s">
        <v>643</v>
      </c>
      <c r="S22" t="s">
        <v>643</v>
      </c>
      <c r="T22" s="32" t="s">
        <v>1361</v>
      </c>
    </row>
    <row r="23" spans="1:20" x14ac:dyDescent="0.2">
      <c r="A23" t="s">
        <v>690</v>
      </c>
      <c r="B23" t="s">
        <v>51</v>
      </c>
      <c r="C23" t="s">
        <v>315</v>
      </c>
      <c r="D23" t="s">
        <v>978</v>
      </c>
      <c r="E23" t="s">
        <v>636</v>
      </c>
      <c r="F23" t="s">
        <v>16</v>
      </c>
      <c r="G23" s="32">
        <v>44687</v>
      </c>
      <c r="H23" t="s">
        <v>673</v>
      </c>
      <c r="I23" s="32">
        <v>44687</v>
      </c>
      <c r="J23" t="s">
        <v>656</v>
      </c>
      <c r="K23" s="32">
        <v>44687</v>
      </c>
      <c r="L23" s="32">
        <v>45783</v>
      </c>
      <c r="M23" t="s">
        <v>639</v>
      </c>
      <c r="N23" t="s">
        <v>673</v>
      </c>
      <c r="O23" t="s">
        <v>656</v>
      </c>
      <c r="P23" t="s">
        <v>695</v>
      </c>
      <c r="Q23" t="s">
        <v>643</v>
      </c>
      <c r="R23" t="s">
        <v>643</v>
      </c>
      <c r="S23" t="s">
        <v>643</v>
      </c>
      <c r="T23" s="32" t="s">
        <v>1361</v>
      </c>
    </row>
    <row r="24" spans="1:20" x14ac:dyDescent="0.2">
      <c r="A24" t="s">
        <v>690</v>
      </c>
      <c r="B24" t="s">
        <v>51</v>
      </c>
      <c r="C24" t="s">
        <v>331</v>
      </c>
      <c r="D24" t="s">
        <v>2230</v>
      </c>
      <c r="E24" t="s">
        <v>636</v>
      </c>
      <c r="F24" t="s">
        <v>16</v>
      </c>
      <c r="G24" s="32">
        <v>44687</v>
      </c>
      <c r="H24" t="s">
        <v>673</v>
      </c>
      <c r="I24" s="32">
        <v>44687</v>
      </c>
      <c r="J24" t="s">
        <v>656</v>
      </c>
      <c r="K24" s="32">
        <v>44687</v>
      </c>
      <c r="L24" s="32">
        <v>45783</v>
      </c>
      <c r="M24" t="s">
        <v>639</v>
      </c>
      <c r="N24" t="s">
        <v>673</v>
      </c>
      <c r="O24" t="s">
        <v>656</v>
      </c>
      <c r="P24" t="s">
        <v>695</v>
      </c>
      <c r="Q24" t="s">
        <v>643</v>
      </c>
      <c r="R24" t="s">
        <v>643</v>
      </c>
      <c r="S24" t="s">
        <v>643</v>
      </c>
      <c r="T24" s="32" t="s">
        <v>1361</v>
      </c>
    </row>
    <row r="25" spans="1:20" x14ac:dyDescent="0.2">
      <c r="A25" t="s">
        <v>690</v>
      </c>
      <c r="B25" t="s">
        <v>57</v>
      </c>
      <c r="C25" t="s">
        <v>370</v>
      </c>
      <c r="D25" t="s">
        <v>707</v>
      </c>
      <c r="E25" t="s">
        <v>649</v>
      </c>
      <c r="F25" t="s">
        <v>16</v>
      </c>
      <c r="G25" s="32">
        <v>43791</v>
      </c>
      <c r="H25" t="s">
        <v>673</v>
      </c>
      <c r="I25" s="32">
        <v>43791</v>
      </c>
      <c r="J25" t="s">
        <v>656</v>
      </c>
      <c r="K25" s="32">
        <v>43791</v>
      </c>
      <c r="L25" s="32">
        <v>46045</v>
      </c>
      <c r="M25" t="s">
        <v>639</v>
      </c>
      <c r="N25" t="s">
        <v>673</v>
      </c>
      <c r="O25" t="s">
        <v>656</v>
      </c>
      <c r="P25" t="s">
        <v>695</v>
      </c>
      <c r="Q25" t="s">
        <v>696</v>
      </c>
      <c r="R25" t="s">
        <v>697</v>
      </c>
      <c r="S25" t="s">
        <v>698</v>
      </c>
      <c r="T25" s="32" t="s">
        <v>1322</v>
      </c>
    </row>
    <row r="26" spans="1:20" x14ac:dyDescent="0.2">
      <c r="A26" t="s">
        <v>690</v>
      </c>
      <c r="B26" t="s">
        <v>51</v>
      </c>
      <c r="C26" t="s">
        <v>389</v>
      </c>
      <c r="D26" t="s">
        <v>702</v>
      </c>
      <c r="E26" t="s">
        <v>649</v>
      </c>
      <c r="F26" t="s">
        <v>16</v>
      </c>
      <c r="G26" s="32">
        <v>44686</v>
      </c>
      <c r="H26" t="s">
        <v>643</v>
      </c>
      <c r="I26" s="32"/>
      <c r="J26" t="s">
        <v>703</v>
      </c>
      <c r="K26" s="32">
        <v>45405</v>
      </c>
      <c r="L26" s="32">
        <v>46492</v>
      </c>
      <c r="M26" t="s">
        <v>639</v>
      </c>
      <c r="N26" t="s">
        <v>673</v>
      </c>
      <c r="O26" t="s">
        <v>656</v>
      </c>
      <c r="P26" t="s">
        <v>643</v>
      </c>
      <c r="Q26" t="s">
        <v>704</v>
      </c>
      <c r="R26" t="s">
        <v>705</v>
      </c>
      <c r="S26" t="s">
        <v>703</v>
      </c>
      <c r="T26" s="32" t="s">
        <v>1362</v>
      </c>
    </row>
    <row r="27" spans="1:20" x14ac:dyDescent="0.2">
      <c r="A27" t="s">
        <v>690</v>
      </c>
      <c r="B27" t="s">
        <v>51</v>
      </c>
      <c r="C27" t="s">
        <v>399</v>
      </c>
      <c r="D27" t="s">
        <v>706</v>
      </c>
      <c r="E27" t="s">
        <v>636</v>
      </c>
      <c r="F27" t="s">
        <v>16</v>
      </c>
      <c r="G27" s="32">
        <v>44687</v>
      </c>
      <c r="H27" t="s">
        <v>673</v>
      </c>
      <c r="I27" s="32">
        <v>44687</v>
      </c>
      <c r="J27" t="s">
        <v>656</v>
      </c>
      <c r="K27" s="32">
        <v>44687</v>
      </c>
      <c r="L27" s="32">
        <v>45783</v>
      </c>
      <c r="M27" t="s">
        <v>639</v>
      </c>
      <c r="N27" t="s">
        <v>673</v>
      </c>
      <c r="O27" t="s">
        <v>656</v>
      </c>
      <c r="P27" t="s">
        <v>695</v>
      </c>
      <c r="Q27" t="s">
        <v>643</v>
      </c>
      <c r="R27" t="s">
        <v>643</v>
      </c>
      <c r="S27" t="s">
        <v>643</v>
      </c>
      <c r="T27" s="32" t="s">
        <v>1361</v>
      </c>
    </row>
    <row r="28" spans="1:20" x14ac:dyDescent="0.2">
      <c r="A28" t="s">
        <v>690</v>
      </c>
      <c r="B28" t="s">
        <v>710</v>
      </c>
      <c r="C28" t="s">
        <v>410</v>
      </c>
      <c r="D28" t="s">
        <v>715</v>
      </c>
      <c r="E28" t="s">
        <v>649</v>
      </c>
      <c r="F28" t="s">
        <v>16</v>
      </c>
      <c r="G28" s="32">
        <v>43802</v>
      </c>
      <c r="H28" t="s">
        <v>692</v>
      </c>
      <c r="I28" s="32">
        <v>45463</v>
      </c>
      <c r="J28" t="s">
        <v>673</v>
      </c>
      <c r="K28" s="32">
        <v>45463</v>
      </c>
      <c r="L28" s="32">
        <v>46558</v>
      </c>
      <c r="M28" t="s">
        <v>639</v>
      </c>
      <c r="N28" t="s">
        <v>712</v>
      </c>
      <c r="O28" t="s">
        <v>673</v>
      </c>
      <c r="P28" t="s">
        <v>713</v>
      </c>
      <c r="Q28" t="s">
        <v>652</v>
      </c>
      <c r="R28" t="s">
        <v>716</v>
      </c>
      <c r="S28" t="s">
        <v>654</v>
      </c>
      <c r="T28" s="32" t="s">
        <v>1375</v>
      </c>
    </row>
    <row r="29" spans="1:20" x14ac:dyDescent="0.2">
      <c r="A29" t="s">
        <v>690</v>
      </c>
      <c r="B29" t="s">
        <v>710</v>
      </c>
      <c r="C29" t="s">
        <v>115</v>
      </c>
      <c r="D29" t="s">
        <v>719</v>
      </c>
      <c r="E29" t="s">
        <v>649</v>
      </c>
      <c r="F29" t="s">
        <v>16</v>
      </c>
      <c r="G29" s="32">
        <v>44156</v>
      </c>
      <c r="H29" t="s">
        <v>692</v>
      </c>
      <c r="I29" s="32">
        <v>45842</v>
      </c>
      <c r="J29" t="s">
        <v>643</v>
      </c>
      <c r="K29" s="32"/>
      <c r="L29" s="32">
        <v>46902</v>
      </c>
      <c r="M29" t="s">
        <v>693</v>
      </c>
      <c r="N29" t="s">
        <v>720</v>
      </c>
      <c r="O29" t="s">
        <v>673</v>
      </c>
      <c r="P29" t="s">
        <v>713</v>
      </c>
      <c r="Q29" t="s">
        <v>721</v>
      </c>
      <c r="R29" t="s">
        <v>722</v>
      </c>
      <c r="S29" t="s">
        <v>676</v>
      </c>
      <c r="T29" s="32" t="s">
        <v>1381</v>
      </c>
    </row>
    <row r="30" spans="1:20" x14ac:dyDescent="0.2">
      <c r="A30" t="s">
        <v>690</v>
      </c>
      <c r="B30" t="s">
        <v>710</v>
      </c>
      <c r="C30" t="s">
        <v>117</v>
      </c>
      <c r="D30" t="s">
        <v>723</v>
      </c>
      <c r="E30" t="s">
        <v>649</v>
      </c>
      <c r="F30" t="s">
        <v>16</v>
      </c>
      <c r="G30" s="32">
        <v>44156</v>
      </c>
      <c r="H30" t="s">
        <v>692</v>
      </c>
      <c r="I30" s="32">
        <v>45842</v>
      </c>
      <c r="J30" t="s">
        <v>673</v>
      </c>
      <c r="K30" s="32">
        <v>45877</v>
      </c>
      <c r="L30" s="32">
        <v>46242</v>
      </c>
      <c r="M30" t="s">
        <v>639</v>
      </c>
      <c r="N30" t="s">
        <v>724</v>
      </c>
      <c r="O30" t="s">
        <v>673</v>
      </c>
      <c r="P30" t="s">
        <v>713</v>
      </c>
      <c r="Q30" t="s">
        <v>721</v>
      </c>
      <c r="R30" t="s">
        <v>725</v>
      </c>
      <c r="S30" t="s">
        <v>676</v>
      </c>
      <c r="T30" s="32" t="s">
        <v>1381</v>
      </c>
    </row>
    <row r="31" spans="1:20" x14ac:dyDescent="0.2">
      <c r="A31" t="s">
        <v>690</v>
      </c>
      <c r="B31" t="s">
        <v>710</v>
      </c>
      <c r="C31" t="s">
        <v>445</v>
      </c>
      <c r="D31" t="s">
        <v>726</v>
      </c>
      <c r="E31" t="s">
        <v>649</v>
      </c>
      <c r="F31" t="s">
        <v>16</v>
      </c>
      <c r="G31" s="32">
        <v>44155</v>
      </c>
      <c r="H31" t="s">
        <v>727</v>
      </c>
      <c r="I31" s="32">
        <v>45846</v>
      </c>
      <c r="J31" t="s">
        <v>673</v>
      </c>
      <c r="K31" s="32">
        <v>45877</v>
      </c>
      <c r="L31" s="32">
        <v>46242</v>
      </c>
      <c r="M31" t="s">
        <v>639</v>
      </c>
      <c r="N31" t="s">
        <v>728</v>
      </c>
      <c r="O31" t="s">
        <v>673</v>
      </c>
      <c r="P31" t="s">
        <v>713</v>
      </c>
      <c r="Q31" t="s">
        <v>721</v>
      </c>
      <c r="R31" t="s">
        <v>729</v>
      </c>
      <c r="S31" t="s">
        <v>676</v>
      </c>
      <c r="T31" s="32" t="s">
        <v>1387</v>
      </c>
    </row>
    <row r="32" spans="1:20" x14ac:dyDescent="0.2">
      <c r="A32" t="s">
        <v>690</v>
      </c>
      <c r="B32" t="s">
        <v>710</v>
      </c>
      <c r="C32" t="s">
        <v>451</v>
      </c>
      <c r="D32" t="s">
        <v>730</v>
      </c>
      <c r="E32" t="s">
        <v>649</v>
      </c>
      <c r="F32" t="s">
        <v>16</v>
      </c>
      <c r="G32" s="32">
        <v>44158</v>
      </c>
      <c r="H32" t="s">
        <v>727</v>
      </c>
      <c r="I32" s="32">
        <v>45846</v>
      </c>
      <c r="J32" t="s">
        <v>673</v>
      </c>
      <c r="K32" s="32">
        <v>45877</v>
      </c>
      <c r="L32" s="32">
        <v>46242</v>
      </c>
      <c r="M32" t="s">
        <v>639</v>
      </c>
      <c r="N32" t="s">
        <v>731</v>
      </c>
      <c r="O32" t="s">
        <v>673</v>
      </c>
      <c r="P32" t="s">
        <v>713</v>
      </c>
      <c r="Q32" t="s">
        <v>732</v>
      </c>
      <c r="R32" t="s">
        <v>733</v>
      </c>
      <c r="S32" t="s">
        <v>676</v>
      </c>
      <c r="T32" s="32" t="s">
        <v>1390</v>
      </c>
    </row>
    <row r="33" spans="1:20" x14ac:dyDescent="0.2">
      <c r="A33" t="s">
        <v>690</v>
      </c>
      <c r="B33" t="s">
        <v>710</v>
      </c>
      <c r="C33" t="s">
        <v>457</v>
      </c>
      <c r="D33" t="s">
        <v>734</v>
      </c>
      <c r="E33" t="s">
        <v>709</v>
      </c>
      <c r="F33" t="s">
        <v>16</v>
      </c>
      <c r="G33" s="32">
        <v>43815</v>
      </c>
      <c r="H33" t="s">
        <v>643</v>
      </c>
      <c r="I33" s="32"/>
      <c r="J33" t="s">
        <v>654</v>
      </c>
      <c r="K33" s="32">
        <v>45351</v>
      </c>
      <c r="L33" s="32">
        <v>46409</v>
      </c>
      <c r="M33" t="s">
        <v>639</v>
      </c>
      <c r="N33" t="s">
        <v>718</v>
      </c>
      <c r="O33" t="s">
        <v>673</v>
      </c>
      <c r="P33" t="s">
        <v>643</v>
      </c>
      <c r="Q33" t="s">
        <v>735</v>
      </c>
      <c r="R33" t="s">
        <v>736</v>
      </c>
      <c r="S33" t="s">
        <v>654</v>
      </c>
      <c r="T33" s="32" t="s">
        <v>1393</v>
      </c>
    </row>
    <row r="34" spans="1:20" x14ac:dyDescent="0.2">
      <c r="A34" t="s">
        <v>690</v>
      </c>
      <c r="B34" t="s">
        <v>710</v>
      </c>
      <c r="C34" t="s">
        <v>463</v>
      </c>
      <c r="D34" t="s">
        <v>737</v>
      </c>
      <c r="E34" t="s">
        <v>709</v>
      </c>
      <c r="F34" t="s">
        <v>16</v>
      </c>
      <c r="G34" s="32">
        <v>44158</v>
      </c>
      <c r="H34" t="s">
        <v>727</v>
      </c>
      <c r="I34" s="32">
        <v>45846</v>
      </c>
      <c r="J34" t="s">
        <v>673</v>
      </c>
      <c r="K34" s="32">
        <v>45877</v>
      </c>
      <c r="L34" s="32">
        <v>46242</v>
      </c>
      <c r="M34" t="s">
        <v>639</v>
      </c>
      <c r="N34" t="s">
        <v>731</v>
      </c>
      <c r="O34" t="s">
        <v>673</v>
      </c>
      <c r="P34" t="s">
        <v>713</v>
      </c>
      <c r="Q34" t="s">
        <v>696</v>
      </c>
      <c r="R34" t="s">
        <v>697</v>
      </c>
      <c r="S34" t="s">
        <v>698</v>
      </c>
      <c r="T34" s="32" t="s">
        <v>1390</v>
      </c>
    </row>
    <row r="35" spans="1:20" x14ac:dyDescent="0.2">
      <c r="A35" t="s">
        <v>690</v>
      </c>
      <c r="B35" t="s">
        <v>51</v>
      </c>
      <c r="C35" t="s">
        <v>476</v>
      </c>
      <c r="D35" t="s">
        <v>767</v>
      </c>
      <c r="E35" t="s">
        <v>649</v>
      </c>
      <c r="F35" t="s">
        <v>16</v>
      </c>
      <c r="G35" s="32">
        <v>44687</v>
      </c>
      <c r="H35" t="s">
        <v>692</v>
      </c>
      <c r="I35" s="32">
        <v>44687</v>
      </c>
      <c r="J35" t="s">
        <v>673</v>
      </c>
      <c r="K35" s="32">
        <v>44687</v>
      </c>
      <c r="L35" s="32">
        <v>46074</v>
      </c>
      <c r="M35" t="s">
        <v>639</v>
      </c>
      <c r="N35" t="s">
        <v>692</v>
      </c>
      <c r="O35" t="s">
        <v>673</v>
      </c>
      <c r="P35" t="s">
        <v>700</v>
      </c>
      <c r="Q35" t="s">
        <v>657</v>
      </c>
      <c r="R35" t="s">
        <v>657</v>
      </c>
      <c r="S35" t="s">
        <v>658</v>
      </c>
      <c r="T35" s="32" t="s">
        <v>1361</v>
      </c>
    </row>
    <row r="36" spans="1:20" x14ac:dyDescent="0.2">
      <c r="A36" t="s">
        <v>690</v>
      </c>
      <c r="B36" t="s">
        <v>710</v>
      </c>
      <c r="C36" t="s">
        <v>162</v>
      </c>
      <c r="D36" t="s">
        <v>738</v>
      </c>
      <c r="E36" t="s">
        <v>649</v>
      </c>
      <c r="F36" t="s">
        <v>16</v>
      </c>
      <c r="G36" s="32">
        <v>43833</v>
      </c>
      <c r="H36" t="s">
        <v>727</v>
      </c>
      <c r="I36" s="32">
        <v>45743</v>
      </c>
      <c r="J36" t="s">
        <v>673</v>
      </c>
      <c r="K36" s="32">
        <v>45762</v>
      </c>
      <c r="L36" s="32">
        <v>46127</v>
      </c>
      <c r="M36" t="s">
        <v>639</v>
      </c>
      <c r="N36" t="s">
        <v>739</v>
      </c>
      <c r="O36" t="s">
        <v>673</v>
      </c>
      <c r="P36" t="s">
        <v>713</v>
      </c>
      <c r="Q36" t="s">
        <v>740</v>
      </c>
      <c r="R36" t="s">
        <v>649</v>
      </c>
      <c r="S36" t="s">
        <v>676</v>
      </c>
      <c r="T36" s="32" t="s">
        <v>1398</v>
      </c>
    </row>
    <row r="37" spans="1:20" x14ac:dyDescent="0.2">
      <c r="A37" t="s">
        <v>690</v>
      </c>
      <c r="B37" t="s">
        <v>710</v>
      </c>
      <c r="C37" t="s">
        <v>489</v>
      </c>
      <c r="D37" t="s">
        <v>741</v>
      </c>
      <c r="E37" t="s">
        <v>636</v>
      </c>
      <c r="F37" t="s">
        <v>16</v>
      </c>
      <c r="G37" s="32">
        <v>43834</v>
      </c>
      <c r="H37" t="s">
        <v>673</v>
      </c>
      <c r="I37" s="32">
        <v>43834</v>
      </c>
      <c r="J37" t="s">
        <v>656</v>
      </c>
      <c r="K37" s="32">
        <v>43834</v>
      </c>
      <c r="L37" s="32">
        <v>46840</v>
      </c>
      <c r="M37" t="s">
        <v>639</v>
      </c>
      <c r="N37" t="s">
        <v>739</v>
      </c>
      <c r="O37" t="s">
        <v>673</v>
      </c>
      <c r="P37" t="s">
        <v>695</v>
      </c>
      <c r="Q37" t="s">
        <v>742</v>
      </c>
      <c r="R37" t="s">
        <v>743</v>
      </c>
      <c r="S37" t="s">
        <v>676</v>
      </c>
      <c r="T37" s="32" t="s">
        <v>1402</v>
      </c>
    </row>
    <row r="38" spans="1:20" x14ac:dyDescent="0.2">
      <c r="A38" t="s">
        <v>690</v>
      </c>
      <c r="B38" t="s">
        <v>710</v>
      </c>
      <c r="C38" t="s">
        <v>199</v>
      </c>
      <c r="D38" t="s">
        <v>744</v>
      </c>
      <c r="E38" t="s">
        <v>649</v>
      </c>
      <c r="F38" t="s">
        <v>16</v>
      </c>
      <c r="G38" s="32">
        <v>43839</v>
      </c>
      <c r="H38" t="s">
        <v>692</v>
      </c>
      <c r="I38" s="32">
        <v>45411</v>
      </c>
      <c r="J38" t="s">
        <v>673</v>
      </c>
      <c r="K38" s="32">
        <v>45427</v>
      </c>
      <c r="L38" s="32">
        <v>46506</v>
      </c>
      <c r="M38" t="s">
        <v>639</v>
      </c>
      <c r="N38" t="s">
        <v>724</v>
      </c>
      <c r="O38" t="s">
        <v>673</v>
      </c>
      <c r="P38" t="s">
        <v>713</v>
      </c>
      <c r="Q38" t="s">
        <v>745</v>
      </c>
      <c r="R38" t="s">
        <v>746</v>
      </c>
      <c r="S38" t="s">
        <v>654</v>
      </c>
      <c r="T38" s="32" t="s">
        <v>1405</v>
      </c>
    </row>
    <row r="39" spans="1:20" x14ac:dyDescent="0.2">
      <c r="A39" t="s">
        <v>690</v>
      </c>
      <c r="B39" t="s">
        <v>710</v>
      </c>
      <c r="C39" t="s">
        <v>496</v>
      </c>
      <c r="D39" t="s">
        <v>747</v>
      </c>
      <c r="E39" t="s">
        <v>649</v>
      </c>
      <c r="F39" t="s">
        <v>16</v>
      </c>
      <c r="G39" s="32">
        <v>43842</v>
      </c>
      <c r="H39" t="s">
        <v>727</v>
      </c>
      <c r="I39" s="32">
        <v>45846</v>
      </c>
      <c r="J39" t="s">
        <v>673</v>
      </c>
      <c r="K39" s="32">
        <v>45877</v>
      </c>
      <c r="L39" s="32">
        <v>46242</v>
      </c>
      <c r="M39" t="s">
        <v>639</v>
      </c>
      <c r="N39" t="s">
        <v>748</v>
      </c>
      <c r="O39" t="s">
        <v>673</v>
      </c>
      <c r="P39" t="s">
        <v>713</v>
      </c>
      <c r="Q39" t="s">
        <v>721</v>
      </c>
      <c r="R39" t="s">
        <v>725</v>
      </c>
      <c r="S39" t="s">
        <v>676</v>
      </c>
      <c r="T39" s="32" t="s">
        <v>1409</v>
      </c>
    </row>
    <row r="40" spans="1:20" x14ac:dyDescent="0.2">
      <c r="A40" t="s">
        <v>690</v>
      </c>
      <c r="B40" t="s">
        <v>710</v>
      </c>
      <c r="C40" t="s">
        <v>254</v>
      </c>
      <c r="D40" t="s">
        <v>749</v>
      </c>
      <c r="E40" t="s">
        <v>649</v>
      </c>
      <c r="F40" t="s">
        <v>16</v>
      </c>
      <c r="G40" s="32">
        <v>43846</v>
      </c>
      <c r="H40" t="s">
        <v>673</v>
      </c>
      <c r="I40" s="32">
        <v>43846</v>
      </c>
      <c r="J40" t="s">
        <v>656</v>
      </c>
      <c r="K40" s="32">
        <v>43846</v>
      </c>
      <c r="L40" s="32">
        <v>46043</v>
      </c>
      <c r="M40" t="s">
        <v>639</v>
      </c>
      <c r="N40" t="s">
        <v>673</v>
      </c>
      <c r="O40" t="s">
        <v>656</v>
      </c>
      <c r="P40" t="s">
        <v>695</v>
      </c>
      <c r="Q40" t="s">
        <v>696</v>
      </c>
      <c r="R40" t="s">
        <v>697</v>
      </c>
      <c r="S40" t="s">
        <v>698</v>
      </c>
      <c r="T40" s="32" t="s">
        <v>1412</v>
      </c>
    </row>
    <row r="41" spans="1:20" x14ac:dyDescent="0.2">
      <c r="A41" t="s">
        <v>690</v>
      </c>
      <c r="B41" t="s">
        <v>710</v>
      </c>
      <c r="C41" t="s">
        <v>279</v>
      </c>
      <c r="D41" t="s">
        <v>750</v>
      </c>
      <c r="E41" t="s">
        <v>636</v>
      </c>
      <c r="F41" t="s">
        <v>16</v>
      </c>
      <c r="G41" s="32">
        <v>43846</v>
      </c>
      <c r="H41" t="s">
        <v>673</v>
      </c>
      <c r="I41" s="32">
        <v>43846</v>
      </c>
      <c r="J41" t="s">
        <v>656</v>
      </c>
      <c r="K41" s="32">
        <v>43846</v>
      </c>
      <c r="L41" s="32">
        <v>44942</v>
      </c>
      <c r="M41" t="s">
        <v>639</v>
      </c>
      <c r="N41" t="s">
        <v>673</v>
      </c>
      <c r="O41" t="s">
        <v>656</v>
      </c>
      <c r="P41" t="s">
        <v>695</v>
      </c>
      <c r="Q41" t="s">
        <v>643</v>
      </c>
      <c r="R41" t="s">
        <v>643</v>
      </c>
      <c r="S41" t="s">
        <v>643</v>
      </c>
      <c r="T41" s="32" t="s">
        <v>1412</v>
      </c>
    </row>
    <row r="42" spans="1:20" x14ac:dyDescent="0.2">
      <c r="A42" t="s">
        <v>690</v>
      </c>
      <c r="B42" t="s">
        <v>710</v>
      </c>
      <c r="C42" t="s">
        <v>505</v>
      </c>
      <c r="D42" t="s">
        <v>751</v>
      </c>
      <c r="E42" t="s">
        <v>649</v>
      </c>
      <c r="F42" t="s">
        <v>16</v>
      </c>
      <c r="G42" s="32">
        <v>43850</v>
      </c>
      <c r="H42" t="s">
        <v>727</v>
      </c>
      <c r="I42" s="32">
        <v>45846</v>
      </c>
      <c r="J42" t="s">
        <v>673</v>
      </c>
      <c r="K42" s="32">
        <v>45877</v>
      </c>
      <c r="L42" s="32">
        <v>46242</v>
      </c>
      <c r="M42" t="s">
        <v>639</v>
      </c>
      <c r="N42" t="s">
        <v>728</v>
      </c>
      <c r="O42" t="s">
        <v>673</v>
      </c>
      <c r="P42" t="s">
        <v>713</v>
      </c>
      <c r="Q42" t="s">
        <v>721</v>
      </c>
      <c r="R42" t="s">
        <v>729</v>
      </c>
      <c r="S42" t="s">
        <v>676</v>
      </c>
      <c r="T42" s="32" t="s">
        <v>1416</v>
      </c>
    </row>
    <row r="43" spans="1:20" x14ac:dyDescent="0.2">
      <c r="A43" t="s">
        <v>690</v>
      </c>
      <c r="B43" t="s">
        <v>710</v>
      </c>
      <c r="C43" t="s">
        <v>507</v>
      </c>
      <c r="D43" t="s">
        <v>752</v>
      </c>
      <c r="E43" t="s">
        <v>636</v>
      </c>
      <c r="F43" t="s">
        <v>16</v>
      </c>
      <c r="G43" s="32">
        <v>43850</v>
      </c>
      <c r="H43" t="s">
        <v>673</v>
      </c>
      <c r="I43" s="32">
        <v>43850</v>
      </c>
      <c r="J43" t="s">
        <v>656</v>
      </c>
      <c r="K43" s="32">
        <v>43850</v>
      </c>
      <c r="L43" s="32">
        <v>44946</v>
      </c>
      <c r="M43" t="s">
        <v>639</v>
      </c>
      <c r="N43" t="s">
        <v>673</v>
      </c>
      <c r="O43" t="s">
        <v>656</v>
      </c>
      <c r="P43" t="s">
        <v>695</v>
      </c>
      <c r="Q43" t="s">
        <v>643</v>
      </c>
      <c r="R43" t="s">
        <v>643</v>
      </c>
      <c r="S43" t="s">
        <v>643</v>
      </c>
      <c r="T43" s="32" t="s">
        <v>1416</v>
      </c>
    </row>
    <row r="44" spans="1:20" x14ac:dyDescent="0.2">
      <c r="A44" t="s">
        <v>690</v>
      </c>
      <c r="B44" t="s">
        <v>710</v>
      </c>
      <c r="C44" t="s">
        <v>519</v>
      </c>
      <c r="D44" t="s">
        <v>761</v>
      </c>
      <c r="E44" t="s">
        <v>649</v>
      </c>
      <c r="F44" t="s">
        <v>16</v>
      </c>
      <c r="G44" s="32">
        <v>44833</v>
      </c>
      <c r="H44" t="s">
        <v>692</v>
      </c>
      <c r="I44" s="32">
        <v>45447</v>
      </c>
      <c r="J44" t="s">
        <v>673</v>
      </c>
      <c r="K44" s="32">
        <v>45455</v>
      </c>
      <c r="L44" s="32">
        <v>46489</v>
      </c>
      <c r="M44" t="s">
        <v>639</v>
      </c>
      <c r="N44" t="s">
        <v>692</v>
      </c>
      <c r="O44" t="s">
        <v>673</v>
      </c>
      <c r="P44" t="s">
        <v>700</v>
      </c>
      <c r="Q44" t="s">
        <v>652</v>
      </c>
      <c r="R44" t="s">
        <v>762</v>
      </c>
      <c r="S44" t="s">
        <v>654</v>
      </c>
      <c r="T44" s="32" t="s">
        <v>1430</v>
      </c>
    </row>
    <row r="45" spans="1:20" x14ac:dyDescent="0.2">
      <c r="A45" t="s">
        <v>690</v>
      </c>
      <c r="B45" t="s">
        <v>710</v>
      </c>
      <c r="C45" t="s">
        <v>520</v>
      </c>
      <c r="D45" t="s">
        <v>763</v>
      </c>
      <c r="E45" t="s">
        <v>636</v>
      </c>
      <c r="F45" t="s">
        <v>16</v>
      </c>
      <c r="G45" s="32">
        <v>44833</v>
      </c>
      <c r="H45" t="s">
        <v>673</v>
      </c>
      <c r="I45" s="32">
        <v>44833</v>
      </c>
      <c r="J45" t="s">
        <v>656</v>
      </c>
      <c r="K45" s="32">
        <v>44833</v>
      </c>
      <c r="L45" s="32">
        <v>45929</v>
      </c>
      <c r="M45" t="s">
        <v>639</v>
      </c>
      <c r="N45" t="s">
        <v>673</v>
      </c>
      <c r="O45" t="s">
        <v>656</v>
      </c>
      <c r="P45" t="s">
        <v>695</v>
      </c>
      <c r="Q45" t="s">
        <v>742</v>
      </c>
      <c r="R45" t="s">
        <v>743</v>
      </c>
      <c r="S45" t="s">
        <v>676</v>
      </c>
      <c r="T45" s="32" t="s">
        <v>1430</v>
      </c>
    </row>
    <row r="46" spans="1:20" x14ac:dyDescent="0.2">
      <c r="A46" t="s">
        <v>690</v>
      </c>
      <c r="B46" t="s">
        <v>710</v>
      </c>
      <c r="C46" t="s">
        <v>765</v>
      </c>
      <c r="D46" t="s">
        <v>764</v>
      </c>
      <c r="E46" t="s">
        <v>649</v>
      </c>
      <c r="F46" t="s">
        <v>16</v>
      </c>
      <c r="G46" s="32">
        <v>44890</v>
      </c>
      <c r="H46" t="s">
        <v>718</v>
      </c>
      <c r="I46" s="32">
        <v>46097</v>
      </c>
      <c r="J46" t="s">
        <v>673</v>
      </c>
      <c r="K46" s="32">
        <v>45853</v>
      </c>
      <c r="L46" s="32">
        <v>46902</v>
      </c>
      <c r="M46" t="s">
        <v>687</v>
      </c>
      <c r="N46" t="s">
        <v>720</v>
      </c>
      <c r="O46" t="s">
        <v>673</v>
      </c>
      <c r="P46" t="s">
        <v>713</v>
      </c>
      <c r="Q46" t="s">
        <v>721</v>
      </c>
      <c r="R46" t="s">
        <v>725</v>
      </c>
      <c r="S46" t="s">
        <v>676</v>
      </c>
      <c r="T46" s="32" t="s">
        <v>1436</v>
      </c>
    </row>
    <row r="47" spans="1:20" x14ac:dyDescent="0.2">
      <c r="A47" t="s">
        <v>690</v>
      </c>
      <c r="B47" t="s">
        <v>710</v>
      </c>
      <c r="C47" t="s">
        <v>769</v>
      </c>
      <c r="D47" t="s">
        <v>768</v>
      </c>
      <c r="E47" t="s">
        <v>649</v>
      </c>
      <c r="F47" t="s">
        <v>16</v>
      </c>
      <c r="G47" s="32">
        <v>44921</v>
      </c>
      <c r="H47" t="s">
        <v>727</v>
      </c>
      <c r="I47" s="32">
        <v>45846</v>
      </c>
      <c r="J47" t="s">
        <v>673</v>
      </c>
      <c r="K47" s="32">
        <v>45877</v>
      </c>
      <c r="L47" s="32">
        <v>46242</v>
      </c>
      <c r="M47" t="s">
        <v>639</v>
      </c>
      <c r="N47" t="s">
        <v>731</v>
      </c>
      <c r="O47" t="s">
        <v>673</v>
      </c>
      <c r="P47" t="s">
        <v>713</v>
      </c>
      <c r="Q47" t="s">
        <v>721</v>
      </c>
      <c r="R47" t="s">
        <v>725</v>
      </c>
      <c r="S47" t="s">
        <v>676</v>
      </c>
      <c r="T47" s="32" t="s">
        <v>1440</v>
      </c>
    </row>
    <row r="48" spans="1:20" x14ac:dyDescent="0.2">
      <c r="A48" t="s">
        <v>690</v>
      </c>
      <c r="B48" t="s">
        <v>710</v>
      </c>
      <c r="C48" t="s">
        <v>523</v>
      </c>
      <c r="D48" t="s">
        <v>832</v>
      </c>
      <c r="E48" t="s">
        <v>636</v>
      </c>
      <c r="F48" t="s">
        <v>16</v>
      </c>
      <c r="G48" s="32">
        <v>44921</v>
      </c>
      <c r="H48" t="s">
        <v>673</v>
      </c>
      <c r="I48" s="32">
        <v>44921</v>
      </c>
      <c r="J48" t="s">
        <v>656</v>
      </c>
      <c r="K48" s="32">
        <v>44921</v>
      </c>
      <c r="L48" s="32">
        <v>46017</v>
      </c>
      <c r="M48" t="s">
        <v>639</v>
      </c>
      <c r="N48" t="s">
        <v>673</v>
      </c>
      <c r="O48" t="s">
        <v>656</v>
      </c>
      <c r="P48" t="s">
        <v>695</v>
      </c>
      <c r="Q48" t="s">
        <v>643</v>
      </c>
      <c r="R48" t="s">
        <v>643</v>
      </c>
      <c r="S48" t="s">
        <v>643</v>
      </c>
      <c r="T48" s="32" t="s">
        <v>1440</v>
      </c>
    </row>
    <row r="49" spans="1:20" x14ac:dyDescent="0.2">
      <c r="A49" t="s">
        <v>690</v>
      </c>
      <c r="B49" t="s">
        <v>51</v>
      </c>
      <c r="C49" t="s">
        <v>524</v>
      </c>
      <c r="D49" t="s">
        <v>849</v>
      </c>
      <c r="E49" t="s">
        <v>636</v>
      </c>
      <c r="F49" t="s">
        <v>16</v>
      </c>
      <c r="G49" s="32">
        <v>44978</v>
      </c>
      <c r="H49" t="s">
        <v>692</v>
      </c>
      <c r="I49" s="32">
        <v>44978</v>
      </c>
      <c r="J49" t="s">
        <v>673</v>
      </c>
      <c r="K49" s="32">
        <v>44978</v>
      </c>
      <c r="L49" s="32">
        <v>46074</v>
      </c>
      <c r="M49" t="s">
        <v>639</v>
      </c>
      <c r="N49" t="s">
        <v>692</v>
      </c>
      <c r="O49" t="s">
        <v>673</v>
      </c>
      <c r="P49" t="s">
        <v>700</v>
      </c>
      <c r="Q49" t="s">
        <v>643</v>
      </c>
      <c r="R49" t="s">
        <v>643</v>
      </c>
      <c r="S49" t="s">
        <v>643</v>
      </c>
      <c r="T49" s="32" t="s">
        <v>1528</v>
      </c>
    </row>
    <row r="50" spans="1:20" x14ac:dyDescent="0.2">
      <c r="A50" t="s">
        <v>690</v>
      </c>
      <c r="B50" t="s">
        <v>51</v>
      </c>
      <c r="C50" t="s">
        <v>525</v>
      </c>
      <c r="D50" t="s">
        <v>850</v>
      </c>
      <c r="E50" t="s">
        <v>636</v>
      </c>
      <c r="F50" t="s">
        <v>16</v>
      </c>
      <c r="G50" s="32">
        <v>44979</v>
      </c>
      <c r="H50" t="s">
        <v>692</v>
      </c>
      <c r="I50" s="32">
        <v>44979</v>
      </c>
      <c r="J50" t="s">
        <v>673</v>
      </c>
      <c r="K50" s="32">
        <v>44979</v>
      </c>
      <c r="L50" s="32">
        <v>46075</v>
      </c>
      <c r="M50" t="s">
        <v>639</v>
      </c>
      <c r="N50" t="s">
        <v>692</v>
      </c>
      <c r="O50" t="s">
        <v>673</v>
      </c>
      <c r="P50" t="s">
        <v>700</v>
      </c>
      <c r="Q50" t="s">
        <v>643</v>
      </c>
      <c r="R50" t="s">
        <v>643</v>
      </c>
      <c r="S50" t="s">
        <v>643</v>
      </c>
      <c r="T50" s="32" t="s">
        <v>1530</v>
      </c>
    </row>
    <row r="51" spans="1:20" x14ac:dyDescent="0.2">
      <c r="A51" t="s">
        <v>690</v>
      </c>
      <c r="B51" t="s">
        <v>51</v>
      </c>
      <c r="C51" t="s">
        <v>526</v>
      </c>
      <c r="D51" t="s">
        <v>851</v>
      </c>
      <c r="E51" t="s">
        <v>636</v>
      </c>
      <c r="F51" t="s">
        <v>16</v>
      </c>
      <c r="G51" s="32">
        <v>45076</v>
      </c>
      <c r="H51" t="s">
        <v>692</v>
      </c>
      <c r="I51" s="32">
        <v>45076</v>
      </c>
      <c r="J51" t="s">
        <v>673</v>
      </c>
      <c r="K51" s="32">
        <v>45076</v>
      </c>
      <c r="L51" s="32">
        <v>46172</v>
      </c>
      <c r="M51" t="s">
        <v>639</v>
      </c>
      <c r="N51" t="s">
        <v>692</v>
      </c>
      <c r="O51" t="s">
        <v>673</v>
      </c>
      <c r="P51" t="s">
        <v>700</v>
      </c>
      <c r="Q51" t="s">
        <v>643</v>
      </c>
      <c r="R51" t="s">
        <v>643</v>
      </c>
      <c r="S51" t="s">
        <v>643</v>
      </c>
      <c r="T51" s="32" t="s">
        <v>1533</v>
      </c>
    </row>
    <row r="52" spans="1:20" x14ac:dyDescent="0.2">
      <c r="A52" t="s">
        <v>690</v>
      </c>
      <c r="B52" t="s">
        <v>710</v>
      </c>
      <c r="C52" t="s">
        <v>161</v>
      </c>
      <c r="D52" t="s">
        <v>1117</v>
      </c>
      <c r="E52" t="s">
        <v>649</v>
      </c>
      <c r="F52" t="s">
        <v>27</v>
      </c>
      <c r="G52" s="32">
        <v>44111</v>
      </c>
      <c r="H52" t="s">
        <v>692</v>
      </c>
      <c r="I52" s="32">
        <v>45842</v>
      </c>
      <c r="J52" t="s">
        <v>673</v>
      </c>
      <c r="K52" s="32">
        <v>45877</v>
      </c>
      <c r="L52" s="32">
        <v>46242</v>
      </c>
      <c r="M52" t="s">
        <v>639</v>
      </c>
      <c r="N52" t="s">
        <v>724</v>
      </c>
      <c r="O52" t="s">
        <v>673</v>
      </c>
      <c r="P52" t="s">
        <v>713</v>
      </c>
      <c r="Q52" t="s">
        <v>721</v>
      </c>
      <c r="R52" t="s">
        <v>1118</v>
      </c>
      <c r="S52" t="s">
        <v>676</v>
      </c>
      <c r="T52" s="32" t="s">
        <v>1915</v>
      </c>
    </row>
    <row r="53" spans="1:20" x14ac:dyDescent="0.2">
      <c r="A53" t="s">
        <v>690</v>
      </c>
      <c r="B53" t="s">
        <v>51</v>
      </c>
      <c r="C53" t="s">
        <v>116</v>
      </c>
      <c r="D53" t="s">
        <v>992</v>
      </c>
      <c r="E53" t="s">
        <v>636</v>
      </c>
      <c r="F53" t="s">
        <v>925</v>
      </c>
      <c r="G53" s="32">
        <v>44687</v>
      </c>
      <c r="H53" t="s">
        <v>673</v>
      </c>
      <c r="I53" s="32">
        <v>44687</v>
      </c>
      <c r="J53" t="s">
        <v>656</v>
      </c>
      <c r="K53" s="32">
        <v>44687</v>
      </c>
      <c r="L53" s="32">
        <v>45783</v>
      </c>
      <c r="M53" t="s">
        <v>639</v>
      </c>
      <c r="N53" t="s">
        <v>673</v>
      </c>
      <c r="O53" t="s">
        <v>656</v>
      </c>
      <c r="P53" t="s">
        <v>695</v>
      </c>
      <c r="Q53" t="s">
        <v>643</v>
      </c>
      <c r="R53" t="s">
        <v>643</v>
      </c>
      <c r="S53" t="s">
        <v>643</v>
      </c>
      <c r="T53" s="32" t="s">
        <v>1361</v>
      </c>
    </row>
    <row r="54" spans="1:20" x14ac:dyDescent="0.2">
      <c r="A54" t="s">
        <v>690</v>
      </c>
      <c r="B54" t="s">
        <v>710</v>
      </c>
      <c r="C54" t="s">
        <v>163</v>
      </c>
      <c r="D54" t="s">
        <v>1164</v>
      </c>
      <c r="E54" t="s">
        <v>636</v>
      </c>
      <c r="F54" t="s">
        <v>37</v>
      </c>
      <c r="G54" s="32">
        <v>44833</v>
      </c>
      <c r="H54" t="s">
        <v>673</v>
      </c>
      <c r="I54" s="32">
        <v>44833</v>
      </c>
      <c r="J54" t="s">
        <v>656</v>
      </c>
      <c r="K54" s="32">
        <v>44833</v>
      </c>
      <c r="L54" s="32">
        <v>45929</v>
      </c>
      <c r="M54" t="s">
        <v>639</v>
      </c>
      <c r="N54" t="s">
        <v>673</v>
      </c>
      <c r="O54" t="s">
        <v>656</v>
      </c>
      <c r="P54" t="s">
        <v>695</v>
      </c>
      <c r="Q54" t="s">
        <v>714</v>
      </c>
      <c r="R54" t="s">
        <v>714</v>
      </c>
      <c r="S54" t="s">
        <v>654</v>
      </c>
      <c r="T54" s="32" t="s">
        <v>1430</v>
      </c>
    </row>
    <row r="55" spans="1:20" x14ac:dyDescent="0.2">
      <c r="A55" t="s">
        <v>690</v>
      </c>
      <c r="B55" t="s">
        <v>710</v>
      </c>
      <c r="C55" t="s">
        <v>493</v>
      </c>
      <c r="D55" t="s">
        <v>1165</v>
      </c>
      <c r="E55" t="s">
        <v>649</v>
      </c>
      <c r="F55" t="s">
        <v>37</v>
      </c>
      <c r="G55" s="32">
        <v>45183</v>
      </c>
      <c r="H55" t="s">
        <v>643</v>
      </c>
      <c r="I55" s="32"/>
      <c r="J55" t="s">
        <v>676</v>
      </c>
      <c r="K55" s="32">
        <v>45833</v>
      </c>
      <c r="L55" s="32">
        <v>46198</v>
      </c>
      <c r="M55" t="s">
        <v>639</v>
      </c>
      <c r="N55" t="s">
        <v>673</v>
      </c>
      <c r="O55" t="s">
        <v>656</v>
      </c>
      <c r="P55" t="s">
        <v>643</v>
      </c>
      <c r="Q55" t="s">
        <v>71</v>
      </c>
      <c r="R55" t="s">
        <v>657</v>
      </c>
      <c r="S55" t="s">
        <v>676</v>
      </c>
      <c r="T55" s="32" t="s">
        <v>1986</v>
      </c>
    </row>
    <row r="56" spans="1:20" x14ac:dyDescent="0.2">
      <c r="A56" t="s">
        <v>690</v>
      </c>
      <c r="B56" t="s">
        <v>710</v>
      </c>
      <c r="C56" t="s">
        <v>552</v>
      </c>
      <c r="D56" t="s">
        <v>1233</v>
      </c>
      <c r="E56" t="s">
        <v>649</v>
      </c>
      <c r="F56" t="s">
        <v>34</v>
      </c>
      <c r="G56" s="32">
        <v>44833</v>
      </c>
      <c r="H56" t="s">
        <v>692</v>
      </c>
      <c r="I56" s="32">
        <v>45447</v>
      </c>
      <c r="J56" t="s">
        <v>673</v>
      </c>
      <c r="K56" s="32">
        <v>45455</v>
      </c>
      <c r="L56" s="32">
        <v>46489</v>
      </c>
      <c r="M56" t="s">
        <v>639</v>
      </c>
      <c r="N56" t="s">
        <v>692</v>
      </c>
      <c r="O56" t="s">
        <v>673</v>
      </c>
      <c r="P56" t="s">
        <v>700</v>
      </c>
      <c r="Q56" t="s">
        <v>652</v>
      </c>
      <c r="R56" t="s">
        <v>1234</v>
      </c>
      <c r="S56" t="s">
        <v>654</v>
      </c>
      <c r="T56" s="32" t="s">
        <v>1430</v>
      </c>
    </row>
    <row r="57" spans="1:20" x14ac:dyDescent="0.2">
      <c r="A57" t="s">
        <v>690</v>
      </c>
      <c r="B57" t="s">
        <v>51</v>
      </c>
      <c r="C57" t="s">
        <v>478</v>
      </c>
      <c r="D57" t="s">
        <v>1278</v>
      </c>
      <c r="E57" t="s">
        <v>636</v>
      </c>
      <c r="F57" t="s">
        <v>34</v>
      </c>
      <c r="G57" s="32">
        <v>45180</v>
      </c>
      <c r="H57" t="s">
        <v>692</v>
      </c>
      <c r="I57" s="32">
        <v>45180</v>
      </c>
      <c r="J57" t="s">
        <v>673</v>
      </c>
      <c r="K57" s="32">
        <v>45180</v>
      </c>
      <c r="L57" s="32">
        <v>46276</v>
      </c>
      <c r="M57" t="s">
        <v>639</v>
      </c>
      <c r="N57" t="s">
        <v>692</v>
      </c>
      <c r="O57" t="s">
        <v>673</v>
      </c>
      <c r="P57" t="s">
        <v>700</v>
      </c>
      <c r="Q57" t="s">
        <v>643</v>
      </c>
      <c r="R57" t="s">
        <v>643</v>
      </c>
      <c r="S57" t="s">
        <v>643</v>
      </c>
      <c r="T57" s="32" t="s">
        <v>1713</v>
      </c>
    </row>
    <row r="58" spans="1:20" x14ac:dyDescent="0.2">
      <c r="A58" t="s">
        <v>690</v>
      </c>
      <c r="B58" t="s">
        <v>51</v>
      </c>
      <c r="C58" t="s">
        <v>483</v>
      </c>
      <c r="D58" t="s">
        <v>1283</v>
      </c>
      <c r="E58" t="s">
        <v>636</v>
      </c>
      <c r="F58" t="s">
        <v>34</v>
      </c>
      <c r="G58" s="32">
        <v>45180</v>
      </c>
      <c r="H58" t="s">
        <v>692</v>
      </c>
      <c r="I58" s="32">
        <v>45180</v>
      </c>
      <c r="J58" t="s">
        <v>673</v>
      </c>
      <c r="K58" s="32">
        <v>45180</v>
      </c>
      <c r="L58" s="32">
        <v>46276</v>
      </c>
      <c r="M58" t="s">
        <v>639</v>
      </c>
      <c r="N58" t="s">
        <v>692</v>
      </c>
      <c r="O58" t="s">
        <v>673</v>
      </c>
      <c r="P58" t="s">
        <v>700</v>
      </c>
      <c r="Q58" t="s">
        <v>643</v>
      </c>
      <c r="R58" t="s">
        <v>643</v>
      </c>
      <c r="S58" t="s">
        <v>643</v>
      </c>
      <c r="T58" s="32" t="s">
        <v>1713</v>
      </c>
    </row>
    <row r="59" spans="1:20" x14ac:dyDescent="0.2">
      <c r="A59" t="s">
        <v>690</v>
      </c>
      <c r="B59" t="s">
        <v>710</v>
      </c>
      <c r="C59" t="s">
        <v>120</v>
      </c>
      <c r="D59" t="s">
        <v>1238</v>
      </c>
      <c r="E59" t="s">
        <v>649</v>
      </c>
      <c r="F59" t="s">
        <v>40</v>
      </c>
      <c r="G59" s="32">
        <v>43945</v>
      </c>
      <c r="H59" t="s">
        <v>727</v>
      </c>
      <c r="I59" s="32">
        <v>45846</v>
      </c>
      <c r="J59" t="s">
        <v>673</v>
      </c>
      <c r="K59" s="32">
        <v>45877</v>
      </c>
      <c r="L59" s="32">
        <v>46242</v>
      </c>
      <c r="M59" t="s">
        <v>639</v>
      </c>
      <c r="N59" t="s">
        <v>748</v>
      </c>
      <c r="O59" t="s">
        <v>673</v>
      </c>
      <c r="P59" t="s">
        <v>713</v>
      </c>
      <c r="Q59" t="s">
        <v>729</v>
      </c>
      <c r="R59" t="s">
        <v>773</v>
      </c>
      <c r="S59" t="s">
        <v>676</v>
      </c>
      <c r="T59" s="32" t="s">
        <v>2109</v>
      </c>
    </row>
    <row r="60" spans="1:20" x14ac:dyDescent="0.2">
      <c r="A60" t="s">
        <v>634</v>
      </c>
      <c r="B60" t="s">
        <v>56</v>
      </c>
      <c r="C60" t="s">
        <v>461</v>
      </c>
      <c r="D60" t="s">
        <v>772</v>
      </c>
      <c r="E60" t="s">
        <v>649</v>
      </c>
      <c r="F60" t="s">
        <v>16</v>
      </c>
      <c r="G60" s="32">
        <v>43859</v>
      </c>
      <c r="H60" t="s">
        <v>673</v>
      </c>
      <c r="I60" s="32">
        <v>43859</v>
      </c>
      <c r="J60" t="s">
        <v>656</v>
      </c>
      <c r="K60" s="32">
        <v>43859</v>
      </c>
      <c r="L60" s="32">
        <v>46054</v>
      </c>
      <c r="M60" t="s">
        <v>639</v>
      </c>
      <c r="N60" t="s">
        <v>673</v>
      </c>
      <c r="O60" t="s">
        <v>656</v>
      </c>
      <c r="P60" t="s">
        <v>695</v>
      </c>
      <c r="Q60" t="s">
        <v>721</v>
      </c>
      <c r="R60" t="s">
        <v>773</v>
      </c>
      <c r="S60" t="s">
        <v>676</v>
      </c>
      <c r="T60" s="32" t="s">
        <v>1447</v>
      </c>
    </row>
    <row r="61" spans="1:20" x14ac:dyDescent="0.2">
      <c r="A61" t="s">
        <v>774</v>
      </c>
      <c r="B61" t="s">
        <v>26</v>
      </c>
      <c r="C61" t="s">
        <v>1276</v>
      </c>
      <c r="D61" t="s">
        <v>1275</v>
      </c>
      <c r="E61" t="s">
        <v>709</v>
      </c>
      <c r="F61" t="s">
        <v>16</v>
      </c>
      <c r="G61" s="32">
        <v>44172</v>
      </c>
      <c r="H61" t="s">
        <v>698</v>
      </c>
      <c r="I61" s="32">
        <v>44172</v>
      </c>
      <c r="J61" t="s">
        <v>673</v>
      </c>
      <c r="K61" s="32">
        <v>44172</v>
      </c>
      <c r="L61" s="32">
        <v>46290</v>
      </c>
      <c r="M61" t="s">
        <v>639</v>
      </c>
      <c r="N61" t="s">
        <v>698</v>
      </c>
      <c r="O61" t="s">
        <v>673</v>
      </c>
      <c r="P61" t="s">
        <v>778</v>
      </c>
      <c r="Q61" t="s">
        <v>657</v>
      </c>
      <c r="R61" t="s">
        <v>657</v>
      </c>
      <c r="S61" t="s">
        <v>658</v>
      </c>
      <c r="T61" s="32" t="s">
        <v>2160</v>
      </c>
    </row>
    <row r="62" spans="1:20" x14ac:dyDescent="0.2">
      <c r="A62" t="s">
        <v>634</v>
      </c>
      <c r="B62" t="s">
        <v>56</v>
      </c>
      <c r="C62" t="s">
        <v>340</v>
      </c>
      <c r="D62" t="s">
        <v>781</v>
      </c>
      <c r="E62" t="s">
        <v>636</v>
      </c>
      <c r="F62" t="s">
        <v>16</v>
      </c>
      <c r="G62" s="32">
        <v>45042</v>
      </c>
      <c r="H62" t="s">
        <v>673</v>
      </c>
      <c r="I62" s="32">
        <v>45042</v>
      </c>
      <c r="J62" t="s">
        <v>656</v>
      </c>
      <c r="K62" s="32">
        <v>45042</v>
      </c>
      <c r="L62" s="32">
        <v>46138</v>
      </c>
      <c r="M62" t="s">
        <v>639</v>
      </c>
      <c r="N62" t="s">
        <v>673</v>
      </c>
      <c r="O62" t="s">
        <v>656</v>
      </c>
      <c r="P62" t="s">
        <v>695</v>
      </c>
      <c r="Q62" t="s">
        <v>782</v>
      </c>
      <c r="R62" t="s">
        <v>783</v>
      </c>
      <c r="S62" t="s">
        <v>676</v>
      </c>
      <c r="T62" s="32" t="s">
        <v>1459</v>
      </c>
    </row>
    <row r="63" spans="1:20" x14ac:dyDescent="0.2">
      <c r="A63" t="s">
        <v>634</v>
      </c>
      <c r="B63" t="s">
        <v>56</v>
      </c>
      <c r="C63" t="s">
        <v>354</v>
      </c>
      <c r="D63" t="s">
        <v>784</v>
      </c>
      <c r="E63" t="s">
        <v>649</v>
      </c>
      <c r="F63" t="s">
        <v>664</v>
      </c>
      <c r="G63" s="32">
        <v>44625</v>
      </c>
      <c r="H63" t="s">
        <v>785</v>
      </c>
      <c r="I63" s="32">
        <v>45944</v>
      </c>
      <c r="J63" t="s">
        <v>637</v>
      </c>
      <c r="K63" s="32">
        <v>46154</v>
      </c>
      <c r="L63" s="32">
        <v>46519</v>
      </c>
      <c r="M63" t="s">
        <v>639</v>
      </c>
      <c r="N63" t="s">
        <v>785</v>
      </c>
      <c r="O63" t="s">
        <v>637</v>
      </c>
      <c r="P63" t="s">
        <v>786</v>
      </c>
      <c r="Q63" t="s">
        <v>782</v>
      </c>
      <c r="R63" t="s">
        <v>783</v>
      </c>
      <c r="S63" t="s">
        <v>676</v>
      </c>
      <c r="T63" s="32" t="s">
        <v>1462</v>
      </c>
    </row>
    <row r="64" spans="1:20" x14ac:dyDescent="0.2">
      <c r="A64" t="s">
        <v>787</v>
      </c>
      <c r="B64" t="s">
        <v>30</v>
      </c>
      <c r="C64" t="s">
        <v>350</v>
      </c>
      <c r="D64" t="s">
        <v>788</v>
      </c>
      <c r="E64" t="s">
        <v>2376</v>
      </c>
      <c r="F64" t="s">
        <v>16</v>
      </c>
      <c r="G64" s="32">
        <v>43827</v>
      </c>
      <c r="H64" t="s">
        <v>789</v>
      </c>
      <c r="I64" s="32">
        <v>46098</v>
      </c>
      <c r="J64" t="s">
        <v>790</v>
      </c>
      <c r="K64" s="32">
        <v>46098</v>
      </c>
      <c r="L64" s="32">
        <v>46463</v>
      </c>
      <c r="M64" t="s">
        <v>639</v>
      </c>
      <c r="N64" t="s">
        <v>791</v>
      </c>
      <c r="O64" t="s">
        <v>790</v>
      </c>
      <c r="P64" t="s">
        <v>792</v>
      </c>
      <c r="Q64" t="s">
        <v>793</v>
      </c>
      <c r="R64" t="s">
        <v>794</v>
      </c>
      <c r="S64" t="s">
        <v>703</v>
      </c>
      <c r="T64" s="32" t="s">
        <v>1466</v>
      </c>
    </row>
    <row r="65" spans="1:20" x14ac:dyDescent="0.2">
      <c r="A65" t="s">
        <v>787</v>
      </c>
      <c r="B65" t="s">
        <v>30</v>
      </c>
      <c r="C65" t="s">
        <v>362</v>
      </c>
      <c r="D65" t="s">
        <v>795</v>
      </c>
      <c r="E65" t="s">
        <v>649</v>
      </c>
      <c r="F65" t="s">
        <v>16</v>
      </c>
      <c r="G65" s="32">
        <v>44259</v>
      </c>
      <c r="H65" t="s">
        <v>789</v>
      </c>
      <c r="I65" s="32">
        <v>45580</v>
      </c>
      <c r="J65" t="s">
        <v>790</v>
      </c>
      <c r="K65" s="32">
        <v>45581</v>
      </c>
      <c r="L65" s="32">
        <v>46676</v>
      </c>
      <c r="M65" t="s">
        <v>639</v>
      </c>
      <c r="N65" t="s">
        <v>789</v>
      </c>
      <c r="O65" t="s">
        <v>790</v>
      </c>
      <c r="P65" t="s">
        <v>796</v>
      </c>
      <c r="Q65" t="s">
        <v>797</v>
      </c>
      <c r="R65" t="s">
        <v>798</v>
      </c>
      <c r="S65" t="s">
        <v>703</v>
      </c>
      <c r="T65" s="32" t="s">
        <v>1468</v>
      </c>
    </row>
    <row r="66" spans="1:20" x14ac:dyDescent="0.2">
      <c r="A66" t="s">
        <v>787</v>
      </c>
      <c r="B66" t="s">
        <v>30</v>
      </c>
      <c r="C66" t="s">
        <v>392</v>
      </c>
      <c r="D66" t="s">
        <v>799</v>
      </c>
      <c r="E66" t="s">
        <v>709</v>
      </c>
      <c r="F66" t="s">
        <v>16</v>
      </c>
      <c r="G66" s="32">
        <v>43829</v>
      </c>
      <c r="H66" t="s">
        <v>789</v>
      </c>
      <c r="I66" s="32">
        <v>45729</v>
      </c>
      <c r="J66" t="s">
        <v>790</v>
      </c>
      <c r="K66" s="32">
        <v>45783</v>
      </c>
      <c r="L66" s="32">
        <v>46148</v>
      </c>
      <c r="M66" t="s">
        <v>639</v>
      </c>
      <c r="N66" t="s">
        <v>800</v>
      </c>
      <c r="O66" t="s">
        <v>790</v>
      </c>
      <c r="P66" t="s">
        <v>792</v>
      </c>
      <c r="Q66" t="s">
        <v>801</v>
      </c>
      <c r="R66" t="s">
        <v>802</v>
      </c>
      <c r="S66" t="s">
        <v>703</v>
      </c>
      <c r="T66" s="32" t="s">
        <v>1472</v>
      </c>
    </row>
    <row r="67" spans="1:20" x14ac:dyDescent="0.2">
      <c r="A67" t="s">
        <v>787</v>
      </c>
      <c r="B67" t="s">
        <v>30</v>
      </c>
      <c r="C67" t="s">
        <v>2191</v>
      </c>
      <c r="D67" t="s">
        <v>803</v>
      </c>
      <c r="E67" t="s">
        <v>649</v>
      </c>
      <c r="F67" t="s">
        <v>16</v>
      </c>
      <c r="G67" s="32">
        <v>44259</v>
      </c>
      <c r="H67" t="s">
        <v>789</v>
      </c>
      <c r="I67" s="32">
        <v>45729</v>
      </c>
      <c r="J67" t="s">
        <v>790</v>
      </c>
      <c r="K67" s="32">
        <v>45783</v>
      </c>
      <c r="L67" s="32">
        <v>46148</v>
      </c>
      <c r="M67" t="s">
        <v>639</v>
      </c>
      <c r="N67" t="s">
        <v>791</v>
      </c>
      <c r="O67" t="s">
        <v>790</v>
      </c>
      <c r="P67" t="s">
        <v>792</v>
      </c>
      <c r="Q67" t="s">
        <v>801</v>
      </c>
      <c r="R67" t="s">
        <v>802</v>
      </c>
      <c r="S67" t="s">
        <v>703</v>
      </c>
      <c r="T67" s="32" t="s">
        <v>1468</v>
      </c>
    </row>
    <row r="68" spans="1:20" x14ac:dyDescent="0.2">
      <c r="A68" t="s">
        <v>787</v>
      </c>
      <c r="B68" t="s">
        <v>30</v>
      </c>
      <c r="C68" t="s">
        <v>419</v>
      </c>
      <c r="D68" t="s">
        <v>804</v>
      </c>
      <c r="E68" t="s">
        <v>709</v>
      </c>
      <c r="F68" t="s">
        <v>16</v>
      </c>
      <c r="G68" s="32">
        <v>44259</v>
      </c>
      <c r="H68" t="s">
        <v>789</v>
      </c>
      <c r="I68" s="32">
        <v>45800</v>
      </c>
      <c r="J68" t="s">
        <v>790</v>
      </c>
      <c r="K68" s="32">
        <v>45882</v>
      </c>
      <c r="L68" s="32">
        <v>46247</v>
      </c>
      <c r="M68" t="s">
        <v>639</v>
      </c>
      <c r="N68" t="s">
        <v>789</v>
      </c>
      <c r="O68" t="s">
        <v>790</v>
      </c>
      <c r="P68" t="s">
        <v>796</v>
      </c>
      <c r="Q68" t="s">
        <v>805</v>
      </c>
      <c r="R68" t="s">
        <v>806</v>
      </c>
      <c r="S68" t="s">
        <v>703</v>
      </c>
      <c r="T68" s="32" t="s">
        <v>1468</v>
      </c>
    </row>
    <row r="69" spans="1:20" x14ac:dyDescent="0.2">
      <c r="A69" t="s">
        <v>787</v>
      </c>
      <c r="B69" t="s">
        <v>36</v>
      </c>
      <c r="C69" t="s">
        <v>479</v>
      </c>
      <c r="D69" t="s">
        <v>807</v>
      </c>
      <c r="E69" t="s">
        <v>649</v>
      </c>
      <c r="F69" t="s">
        <v>16</v>
      </c>
      <c r="G69" s="32">
        <v>44449</v>
      </c>
      <c r="H69" t="s">
        <v>643</v>
      </c>
      <c r="I69" s="32"/>
      <c r="J69" t="s">
        <v>698</v>
      </c>
      <c r="K69" s="32">
        <v>45638</v>
      </c>
      <c r="L69" s="32">
        <v>46597</v>
      </c>
      <c r="M69" t="s">
        <v>639</v>
      </c>
      <c r="N69" t="s">
        <v>790</v>
      </c>
      <c r="O69" t="s">
        <v>656</v>
      </c>
      <c r="P69" t="s">
        <v>643</v>
      </c>
      <c r="Q69" t="s">
        <v>808</v>
      </c>
      <c r="R69" t="s">
        <v>809</v>
      </c>
      <c r="S69" t="s">
        <v>698</v>
      </c>
      <c r="T69" s="32" t="s">
        <v>1482</v>
      </c>
    </row>
    <row r="70" spans="1:20" x14ac:dyDescent="0.2">
      <c r="A70" t="s">
        <v>787</v>
      </c>
      <c r="B70" t="s">
        <v>30</v>
      </c>
      <c r="C70" t="s">
        <v>487</v>
      </c>
      <c r="D70" t="s">
        <v>810</v>
      </c>
      <c r="E70" t="s">
        <v>709</v>
      </c>
      <c r="F70" t="s">
        <v>16</v>
      </c>
      <c r="G70" s="32">
        <v>45021</v>
      </c>
      <c r="H70" t="s">
        <v>811</v>
      </c>
      <c r="I70" s="32">
        <v>46108</v>
      </c>
      <c r="J70" t="s">
        <v>790</v>
      </c>
      <c r="K70" s="32">
        <v>46108</v>
      </c>
      <c r="L70" s="32">
        <v>46473</v>
      </c>
      <c r="M70" t="s">
        <v>639</v>
      </c>
      <c r="N70" t="s">
        <v>791</v>
      </c>
      <c r="O70" t="s">
        <v>790</v>
      </c>
      <c r="P70" t="s">
        <v>796</v>
      </c>
      <c r="Q70" t="s">
        <v>797</v>
      </c>
      <c r="R70" t="s">
        <v>812</v>
      </c>
      <c r="S70" t="s">
        <v>703</v>
      </c>
      <c r="T70" s="32" t="s">
        <v>1485</v>
      </c>
    </row>
    <row r="71" spans="1:20" x14ac:dyDescent="0.2">
      <c r="A71" t="s">
        <v>634</v>
      </c>
      <c r="B71" t="s">
        <v>15</v>
      </c>
      <c r="C71" t="s">
        <v>814</v>
      </c>
      <c r="D71" t="s">
        <v>813</v>
      </c>
      <c r="E71" t="s">
        <v>636</v>
      </c>
      <c r="F71" t="s">
        <v>16</v>
      </c>
      <c r="G71" s="32">
        <v>44358</v>
      </c>
      <c r="H71" t="s">
        <v>643</v>
      </c>
      <c r="I71" s="32"/>
      <c r="J71" t="s">
        <v>703</v>
      </c>
      <c r="K71" s="32">
        <v>45217</v>
      </c>
      <c r="L71" s="32">
        <v>46832</v>
      </c>
      <c r="M71" t="s">
        <v>639</v>
      </c>
      <c r="N71" t="s">
        <v>637</v>
      </c>
      <c r="O71" t="s">
        <v>656</v>
      </c>
      <c r="P71" t="s">
        <v>643</v>
      </c>
      <c r="Q71" t="s">
        <v>721</v>
      </c>
      <c r="R71" t="s">
        <v>815</v>
      </c>
      <c r="S71" t="s">
        <v>676</v>
      </c>
      <c r="T71" s="32" t="s">
        <v>1308</v>
      </c>
    </row>
    <row r="72" spans="1:20" x14ac:dyDescent="0.2">
      <c r="A72" t="s">
        <v>634</v>
      </c>
      <c r="B72" t="s">
        <v>15</v>
      </c>
      <c r="C72" t="s">
        <v>469</v>
      </c>
      <c r="D72" t="s">
        <v>816</v>
      </c>
      <c r="E72" t="s">
        <v>636</v>
      </c>
      <c r="F72" t="s">
        <v>16</v>
      </c>
      <c r="G72" s="32">
        <v>45002</v>
      </c>
      <c r="H72" t="s">
        <v>643</v>
      </c>
      <c r="I72" s="32"/>
      <c r="J72" t="s">
        <v>703</v>
      </c>
      <c r="K72" s="32">
        <v>45217</v>
      </c>
      <c r="L72" s="32">
        <v>46098</v>
      </c>
      <c r="M72" t="s">
        <v>639</v>
      </c>
      <c r="N72" t="s">
        <v>637</v>
      </c>
      <c r="O72" t="s">
        <v>656</v>
      </c>
      <c r="P72" t="s">
        <v>643</v>
      </c>
      <c r="Q72" t="s">
        <v>643</v>
      </c>
      <c r="R72" t="s">
        <v>643</v>
      </c>
      <c r="S72" t="s">
        <v>643</v>
      </c>
      <c r="T72" s="32" t="s">
        <v>1488</v>
      </c>
    </row>
    <row r="73" spans="1:20" x14ac:dyDescent="0.2">
      <c r="A73" t="s">
        <v>634</v>
      </c>
      <c r="B73" t="s">
        <v>61</v>
      </c>
      <c r="C73" t="s">
        <v>146</v>
      </c>
      <c r="D73" t="s">
        <v>648</v>
      </c>
      <c r="E73" t="s">
        <v>649</v>
      </c>
      <c r="F73" t="s">
        <v>16</v>
      </c>
      <c r="G73" s="32">
        <v>45096</v>
      </c>
      <c r="H73" t="s">
        <v>646</v>
      </c>
      <c r="I73" s="32">
        <v>45582</v>
      </c>
      <c r="J73" t="s">
        <v>637</v>
      </c>
      <c r="K73" s="32">
        <v>45925</v>
      </c>
      <c r="L73" s="32">
        <v>46290</v>
      </c>
      <c r="M73" t="s">
        <v>639</v>
      </c>
      <c r="N73" t="s">
        <v>650</v>
      </c>
      <c r="O73" t="s">
        <v>637</v>
      </c>
      <c r="P73" t="s">
        <v>651</v>
      </c>
      <c r="Q73" t="s">
        <v>652</v>
      </c>
      <c r="R73" t="s">
        <v>653</v>
      </c>
      <c r="S73" t="s">
        <v>654</v>
      </c>
      <c r="T73" s="32" t="s">
        <v>1304</v>
      </c>
    </row>
    <row r="74" spans="1:20" x14ac:dyDescent="0.2">
      <c r="A74" t="s">
        <v>667</v>
      </c>
      <c r="B74" t="s">
        <v>55</v>
      </c>
      <c r="C74" t="s">
        <v>377</v>
      </c>
      <c r="D74" t="s">
        <v>671</v>
      </c>
      <c r="E74" t="s">
        <v>649</v>
      </c>
      <c r="F74" t="s">
        <v>16</v>
      </c>
      <c r="G74" s="32">
        <v>44660</v>
      </c>
      <c r="H74" t="s">
        <v>669</v>
      </c>
      <c r="I74" s="32">
        <v>46030</v>
      </c>
      <c r="J74" t="s">
        <v>673</v>
      </c>
      <c r="K74" s="32">
        <v>46083</v>
      </c>
      <c r="L74" s="32">
        <v>46448</v>
      </c>
      <c r="M74" t="s">
        <v>639</v>
      </c>
      <c r="N74" t="s">
        <v>669</v>
      </c>
      <c r="O74" t="s">
        <v>673</v>
      </c>
      <c r="P74" t="s">
        <v>670</v>
      </c>
      <c r="Q74" t="s">
        <v>674</v>
      </c>
      <c r="R74" t="s">
        <v>675</v>
      </c>
      <c r="S74" t="s">
        <v>676</v>
      </c>
      <c r="T74" s="32" t="s">
        <v>1325</v>
      </c>
    </row>
    <row r="75" spans="1:20" x14ac:dyDescent="0.2">
      <c r="A75" t="s">
        <v>774</v>
      </c>
      <c r="B75" t="s">
        <v>26</v>
      </c>
      <c r="C75" t="s">
        <v>440</v>
      </c>
      <c r="D75" t="s">
        <v>825</v>
      </c>
      <c r="E75" t="s">
        <v>709</v>
      </c>
      <c r="F75" t="s">
        <v>16</v>
      </c>
      <c r="G75" s="32">
        <v>44807</v>
      </c>
      <c r="H75" t="s">
        <v>643</v>
      </c>
      <c r="I75" s="32"/>
      <c r="J75" t="s">
        <v>654</v>
      </c>
      <c r="K75" s="32">
        <v>45238</v>
      </c>
      <c r="L75" s="32">
        <v>46285</v>
      </c>
      <c r="M75" t="s">
        <v>639</v>
      </c>
      <c r="N75" t="s">
        <v>698</v>
      </c>
      <c r="O75" t="s">
        <v>673</v>
      </c>
      <c r="P75" t="s">
        <v>643</v>
      </c>
      <c r="Q75" t="s">
        <v>721</v>
      </c>
      <c r="R75" t="s">
        <v>776</v>
      </c>
      <c r="S75" t="s">
        <v>676</v>
      </c>
      <c r="T75" s="32" t="s">
        <v>1497</v>
      </c>
    </row>
    <row r="76" spans="1:20" x14ac:dyDescent="0.2">
      <c r="A76" t="s">
        <v>667</v>
      </c>
      <c r="B76" t="s">
        <v>55</v>
      </c>
      <c r="C76" t="s">
        <v>822</v>
      </c>
      <c r="D76" t="s">
        <v>821</v>
      </c>
      <c r="E76" t="s">
        <v>709</v>
      </c>
      <c r="F76" t="s">
        <v>16</v>
      </c>
      <c r="G76" s="32">
        <v>43837</v>
      </c>
      <c r="H76" t="s">
        <v>669</v>
      </c>
      <c r="I76" s="32">
        <v>45456</v>
      </c>
      <c r="J76" t="s">
        <v>673</v>
      </c>
      <c r="K76" s="32">
        <v>45463</v>
      </c>
      <c r="L76" s="32">
        <v>46509</v>
      </c>
      <c r="M76" t="s">
        <v>639</v>
      </c>
      <c r="N76" t="s">
        <v>682</v>
      </c>
      <c r="O76" t="s">
        <v>673</v>
      </c>
      <c r="P76" t="s">
        <v>683</v>
      </c>
      <c r="Q76" t="s">
        <v>823</v>
      </c>
      <c r="R76" t="s">
        <v>824</v>
      </c>
      <c r="S76" t="s">
        <v>654</v>
      </c>
      <c r="T76" s="32" t="s">
        <v>1494</v>
      </c>
    </row>
    <row r="77" spans="1:20" x14ac:dyDescent="0.2">
      <c r="A77" t="s">
        <v>774</v>
      </c>
      <c r="B77" t="s">
        <v>26</v>
      </c>
      <c r="C77" t="s">
        <v>122</v>
      </c>
      <c r="D77" t="s">
        <v>1042</v>
      </c>
      <c r="E77" t="s">
        <v>649</v>
      </c>
      <c r="F77" t="s">
        <v>16</v>
      </c>
      <c r="G77" s="32">
        <v>43711</v>
      </c>
      <c r="H77" t="s">
        <v>643</v>
      </c>
      <c r="I77" s="32"/>
      <c r="J77" t="s">
        <v>654</v>
      </c>
      <c r="K77" s="32">
        <v>45244</v>
      </c>
      <c r="L77" s="32">
        <v>46326</v>
      </c>
      <c r="M77" t="s">
        <v>639</v>
      </c>
      <c r="N77" t="s">
        <v>698</v>
      </c>
      <c r="O77" t="s">
        <v>673</v>
      </c>
      <c r="P77" t="s">
        <v>643</v>
      </c>
      <c r="Q77" t="s">
        <v>696</v>
      </c>
      <c r="R77" t="s">
        <v>697</v>
      </c>
      <c r="S77" t="s">
        <v>698</v>
      </c>
      <c r="T77" s="32" t="s">
        <v>1774</v>
      </c>
    </row>
    <row r="78" spans="1:20" x14ac:dyDescent="0.2">
      <c r="A78" t="s">
        <v>774</v>
      </c>
      <c r="B78" t="s">
        <v>26</v>
      </c>
      <c r="C78" t="s">
        <v>168</v>
      </c>
      <c r="D78" t="s">
        <v>1284</v>
      </c>
      <c r="E78" t="s">
        <v>649</v>
      </c>
      <c r="F78" t="s">
        <v>16</v>
      </c>
      <c r="G78" s="32">
        <v>44798</v>
      </c>
      <c r="H78" t="s">
        <v>643</v>
      </c>
      <c r="I78" s="32"/>
      <c r="J78" t="s">
        <v>654</v>
      </c>
      <c r="K78" s="32">
        <v>45246</v>
      </c>
      <c r="L78" s="32">
        <v>46318</v>
      </c>
      <c r="M78" t="s">
        <v>639</v>
      </c>
      <c r="N78" t="s">
        <v>698</v>
      </c>
      <c r="O78" t="s">
        <v>673</v>
      </c>
      <c r="P78" t="s">
        <v>643</v>
      </c>
      <c r="Q78" t="s">
        <v>643</v>
      </c>
      <c r="R78" t="s">
        <v>643</v>
      </c>
      <c r="S78" t="s">
        <v>643</v>
      </c>
      <c r="T78" s="32" t="s">
        <v>2169</v>
      </c>
    </row>
    <row r="79" spans="1:20" x14ac:dyDescent="0.2">
      <c r="A79" t="s">
        <v>634</v>
      </c>
      <c r="B79" t="s">
        <v>56</v>
      </c>
      <c r="C79" t="s">
        <v>341</v>
      </c>
      <c r="D79" t="s">
        <v>834</v>
      </c>
      <c r="E79" t="s">
        <v>649</v>
      </c>
      <c r="F79" t="s">
        <v>664</v>
      </c>
      <c r="G79" s="32">
        <v>44272</v>
      </c>
      <c r="H79" t="s">
        <v>698</v>
      </c>
      <c r="I79" s="32">
        <v>45495</v>
      </c>
      <c r="J79" t="s">
        <v>673</v>
      </c>
      <c r="K79" s="32">
        <v>45509</v>
      </c>
      <c r="L79" s="32">
        <v>46522</v>
      </c>
      <c r="M79" t="s">
        <v>639</v>
      </c>
      <c r="N79" t="s">
        <v>835</v>
      </c>
      <c r="O79" t="s">
        <v>673</v>
      </c>
      <c r="P79" t="s">
        <v>786</v>
      </c>
      <c r="Q79" t="s">
        <v>652</v>
      </c>
      <c r="R79" t="s">
        <v>836</v>
      </c>
      <c r="S79" t="s">
        <v>654</v>
      </c>
      <c r="T79" s="32" t="s">
        <v>1512</v>
      </c>
    </row>
    <row r="80" spans="1:20" x14ac:dyDescent="0.2">
      <c r="A80" t="s">
        <v>774</v>
      </c>
      <c r="B80" t="s">
        <v>26</v>
      </c>
      <c r="C80" t="s">
        <v>1125</v>
      </c>
      <c r="D80" t="s">
        <v>1124</v>
      </c>
      <c r="E80" t="s">
        <v>636</v>
      </c>
      <c r="F80" t="s">
        <v>16</v>
      </c>
      <c r="G80" s="32">
        <v>43825</v>
      </c>
      <c r="H80" t="s">
        <v>643</v>
      </c>
      <c r="I80" s="32"/>
      <c r="J80" t="s">
        <v>654</v>
      </c>
      <c r="K80" s="32">
        <v>45246</v>
      </c>
      <c r="L80" s="32">
        <v>44921</v>
      </c>
      <c r="M80" t="s">
        <v>639</v>
      </c>
      <c r="N80" t="s">
        <v>673</v>
      </c>
      <c r="O80" t="s">
        <v>656</v>
      </c>
      <c r="P80" t="s">
        <v>643</v>
      </c>
      <c r="Q80" t="s">
        <v>643</v>
      </c>
      <c r="R80" t="s">
        <v>643</v>
      </c>
      <c r="S80" t="s">
        <v>643</v>
      </c>
      <c r="T80" s="32" t="s">
        <v>1924</v>
      </c>
    </row>
    <row r="81" spans="1:20" x14ac:dyDescent="0.2">
      <c r="A81" t="s">
        <v>634</v>
      </c>
      <c r="B81" t="s">
        <v>15</v>
      </c>
      <c r="C81" t="s">
        <v>843</v>
      </c>
      <c r="D81" t="s">
        <v>842</v>
      </c>
      <c r="E81" t="s">
        <v>636</v>
      </c>
      <c r="F81" t="s">
        <v>34</v>
      </c>
      <c r="G81" s="32">
        <v>45078</v>
      </c>
      <c r="H81" t="s">
        <v>643</v>
      </c>
      <c r="I81" s="32"/>
      <c r="J81" t="s">
        <v>654</v>
      </c>
      <c r="K81" s="32">
        <v>45259</v>
      </c>
      <c r="L81" s="32">
        <v>46174</v>
      </c>
      <c r="M81" t="s">
        <v>639</v>
      </c>
      <c r="N81" t="s">
        <v>844</v>
      </c>
      <c r="O81" t="s">
        <v>637</v>
      </c>
      <c r="P81" t="s">
        <v>643</v>
      </c>
      <c r="Q81" t="s">
        <v>643</v>
      </c>
      <c r="R81" t="s">
        <v>643</v>
      </c>
      <c r="S81" t="s">
        <v>643</v>
      </c>
      <c r="T81" s="32" t="s">
        <v>1519</v>
      </c>
    </row>
    <row r="82" spans="1:20" x14ac:dyDescent="0.2">
      <c r="A82" t="s">
        <v>634</v>
      </c>
      <c r="B82" t="s">
        <v>9</v>
      </c>
      <c r="C82" t="s">
        <v>241</v>
      </c>
      <c r="D82" t="s">
        <v>845</v>
      </c>
      <c r="E82" t="s">
        <v>636</v>
      </c>
      <c r="F82" t="s">
        <v>664</v>
      </c>
      <c r="G82" s="32">
        <v>45222</v>
      </c>
      <c r="H82" t="s">
        <v>643</v>
      </c>
      <c r="I82" s="32"/>
      <c r="J82" t="s">
        <v>654</v>
      </c>
      <c r="K82" s="32">
        <v>45259</v>
      </c>
      <c r="L82" s="32">
        <v>46318</v>
      </c>
      <c r="M82" t="s">
        <v>639</v>
      </c>
      <c r="N82" t="s">
        <v>846</v>
      </c>
      <c r="O82" t="s">
        <v>637</v>
      </c>
      <c r="P82" t="s">
        <v>643</v>
      </c>
      <c r="Q82" t="s">
        <v>643</v>
      </c>
      <c r="R82" t="s">
        <v>643</v>
      </c>
      <c r="S82" t="s">
        <v>643</v>
      </c>
      <c r="T82" s="32" t="s">
        <v>1368</v>
      </c>
    </row>
    <row r="83" spans="1:20" x14ac:dyDescent="0.2">
      <c r="A83" t="s">
        <v>634</v>
      </c>
      <c r="B83" t="s">
        <v>53</v>
      </c>
      <c r="C83" t="s">
        <v>444</v>
      </c>
      <c r="D83" t="s">
        <v>847</v>
      </c>
      <c r="E83" t="s">
        <v>636</v>
      </c>
      <c r="F83" t="s">
        <v>16</v>
      </c>
      <c r="G83" s="32">
        <v>45201</v>
      </c>
      <c r="H83" t="s">
        <v>643</v>
      </c>
      <c r="I83" s="32"/>
      <c r="J83" t="s">
        <v>654</v>
      </c>
      <c r="K83" s="32">
        <v>45259</v>
      </c>
      <c r="L83" s="32">
        <v>46297</v>
      </c>
      <c r="M83" t="s">
        <v>639</v>
      </c>
      <c r="N83" t="s">
        <v>637</v>
      </c>
      <c r="O83" t="s">
        <v>656</v>
      </c>
      <c r="P83" t="s">
        <v>643</v>
      </c>
      <c r="Q83" t="s">
        <v>643</v>
      </c>
      <c r="R83" t="s">
        <v>643</v>
      </c>
      <c r="S83" t="s">
        <v>643</v>
      </c>
      <c r="T83" s="32" t="s">
        <v>1524</v>
      </c>
    </row>
    <row r="84" spans="1:20" x14ac:dyDescent="0.2">
      <c r="A84" t="s">
        <v>634</v>
      </c>
      <c r="B84" t="s">
        <v>53</v>
      </c>
      <c r="C84" t="s">
        <v>450</v>
      </c>
      <c r="D84" t="s">
        <v>848</v>
      </c>
      <c r="E84" t="s">
        <v>636</v>
      </c>
      <c r="F84" t="s">
        <v>16</v>
      </c>
      <c r="G84" s="32">
        <v>45201</v>
      </c>
      <c r="H84" t="s">
        <v>643</v>
      </c>
      <c r="I84" s="32"/>
      <c r="J84" t="s">
        <v>654</v>
      </c>
      <c r="K84" s="32">
        <v>45259</v>
      </c>
      <c r="L84" s="32">
        <v>46297</v>
      </c>
      <c r="M84" t="s">
        <v>639</v>
      </c>
      <c r="N84" t="s">
        <v>637</v>
      </c>
      <c r="O84" t="s">
        <v>656</v>
      </c>
      <c r="P84" t="s">
        <v>643</v>
      </c>
      <c r="Q84" t="s">
        <v>643</v>
      </c>
      <c r="R84" t="s">
        <v>643</v>
      </c>
      <c r="S84" t="s">
        <v>643</v>
      </c>
      <c r="T84" s="32" t="s">
        <v>1524</v>
      </c>
    </row>
    <row r="85" spans="1:20" x14ac:dyDescent="0.2">
      <c r="A85" t="s">
        <v>690</v>
      </c>
      <c r="B85" t="s">
        <v>51</v>
      </c>
      <c r="C85" t="s">
        <v>159</v>
      </c>
      <c r="D85" t="s">
        <v>708</v>
      </c>
      <c r="E85" t="s">
        <v>709</v>
      </c>
      <c r="F85" t="s">
        <v>16</v>
      </c>
      <c r="G85" s="32">
        <v>45222</v>
      </c>
      <c r="H85" t="s">
        <v>643</v>
      </c>
      <c r="I85" s="32"/>
      <c r="J85" t="s">
        <v>654</v>
      </c>
      <c r="K85" s="32">
        <v>45265</v>
      </c>
      <c r="L85" s="32">
        <v>46318</v>
      </c>
      <c r="M85" t="s">
        <v>639</v>
      </c>
      <c r="N85" t="s">
        <v>692</v>
      </c>
      <c r="O85" t="s">
        <v>673</v>
      </c>
      <c r="P85" t="s">
        <v>643</v>
      </c>
      <c r="Q85" t="s">
        <v>657</v>
      </c>
      <c r="R85" t="s">
        <v>657</v>
      </c>
      <c r="S85" t="s">
        <v>654</v>
      </c>
      <c r="T85" s="32" t="s">
        <v>1368</v>
      </c>
    </row>
    <row r="86" spans="1:20" x14ac:dyDescent="0.2">
      <c r="A86" t="s">
        <v>787</v>
      </c>
      <c r="B86" t="s">
        <v>36</v>
      </c>
      <c r="C86" t="s">
        <v>375</v>
      </c>
      <c r="D86" t="s">
        <v>854</v>
      </c>
      <c r="E86" t="s">
        <v>649</v>
      </c>
      <c r="F86" t="s">
        <v>16</v>
      </c>
      <c r="G86" s="32">
        <v>44298</v>
      </c>
      <c r="H86" t="s">
        <v>855</v>
      </c>
      <c r="I86" s="32">
        <v>45904</v>
      </c>
      <c r="J86" t="s">
        <v>643</v>
      </c>
      <c r="K86" s="32"/>
      <c r="L86" s="32">
        <v>46797</v>
      </c>
      <c r="M86" t="s">
        <v>687</v>
      </c>
      <c r="N86" t="s">
        <v>856</v>
      </c>
      <c r="O86" t="s">
        <v>790</v>
      </c>
      <c r="P86" t="s">
        <v>857</v>
      </c>
      <c r="Q86" t="s">
        <v>801</v>
      </c>
      <c r="R86" t="s">
        <v>858</v>
      </c>
      <c r="S86" t="s">
        <v>703</v>
      </c>
      <c r="T86" s="32" t="s">
        <v>1542</v>
      </c>
    </row>
    <row r="87" spans="1:20" x14ac:dyDescent="0.2">
      <c r="A87" t="s">
        <v>634</v>
      </c>
      <c r="B87" t="s">
        <v>56</v>
      </c>
      <c r="C87" t="s">
        <v>366</v>
      </c>
      <c r="D87" t="s">
        <v>859</v>
      </c>
      <c r="E87" t="s">
        <v>636</v>
      </c>
      <c r="F87" t="s">
        <v>16</v>
      </c>
      <c r="G87" s="32">
        <v>45271</v>
      </c>
      <c r="H87" t="s">
        <v>643</v>
      </c>
      <c r="I87" s="32"/>
      <c r="J87" t="s">
        <v>654</v>
      </c>
      <c r="K87" s="32">
        <v>45295</v>
      </c>
      <c r="L87" s="32">
        <v>46367</v>
      </c>
      <c r="M87" t="s">
        <v>639</v>
      </c>
      <c r="N87" t="s">
        <v>698</v>
      </c>
      <c r="O87" t="s">
        <v>673</v>
      </c>
      <c r="P87" t="s">
        <v>643</v>
      </c>
      <c r="Q87" t="s">
        <v>782</v>
      </c>
      <c r="R87" t="s">
        <v>783</v>
      </c>
      <c r="S87" t="s">
        <v>676</v>
      </c>
      <c r="T87" s="32" t="s">
        <v>1545</v>
      </c>
    </row>
    <row r="88" spans="1:20" x14ac:dyDescent="0.2">
      <c r="A88" t="s">
        <v>860</v>
      </c>
      <c r="B88" t="s">
        <v>58</v>
      </c>
      <c r="C88" t="s">
        <v>129</v>
      </c>
      <c r="D88" t="s">
        <v>861</v>
      </c>
      <c r="E88" t="s">
        <v>636</v>
      </c>
      <c r="F88" t="s">
        <v>664</v>
      </c>
      <c r="G88" s="32">
        <v>45021</v>
      </c>
      <c r="H88" t="s">
        <v>643</v>
      </c>
      <c r="I88" s="32"/>
      <c r="J88" t="s">
        <v>654</v>
      </c>
      <c r="K88" s="32">
        <v>45296</v>
      </c>
      <c r="L88" s="32">
        <v>46117</v>
      </c>
      <c r="M88" t="s">
        <v>639</v>
      </c>
      <c r="N88" t="s">
        <v>790</v>
      </c>
      <c r="O88" t="s">
        <v>790</v>
      </c>
      <c r="P88" t="s">
        <v>643</v>
      </c>
      <c r="Q88" t="s">
        <v>643</v>
      </c>
      <c r="R88" t="s">
        <v>643</v>
      </c>
      <c r="S88" t="s">
        <v>643</v>
      </c>
      <c r="T88" s="32" t="s">
        <v>1485</v>
      </c>
    </row>
    <row r="89" spans="1:20" x14ac:dyDescent="0.2">
      <c r="A89" t="s">
        <v>690</v>
      </c>
      <c r="B89" t="s">
        <v>51</v>
      </c>
      <c r="C89" t="s">
        <v>118</v>
      </c>
      <c r="D89" t="s">
        <v>1001</v>
      </c>
      <c r="E89" t="s">
        <v>636</v>
      </c>
      <c r="F89" t="s">
        <v>37</v>
      </c>
      <c r="G89" s="32">
        <v>45180</v>
      </c>
      <c r="H89" t="s">
        <v>643</v>
      </c>
      <c r="I89" s="32"/>
      <c r="J89" t="s">
        <v>654</v>
      </c>
      <c r="K89" s="32">
        <v>45300</v>
      </c>
      <c r="L89" s="32">
        <v>46276</v>
      </c>
      <c r="M89" t="s">
        <v>639</v>
      </c>
      <c r="N89" t="s">
        <v>692</v>
      </c>
      <c r="O89" t="s">
        <v>673</v>
      </c>
      <c r="P89" t="s">
        <v>643</v>
      </c>
      <c r="Q89" t="s">
        <v>643</v>
      </c>
      <c r="R89" t="s">
        <v>643</v>
      </c>
      <c r="S89" t="s">
        <v>643</v>
      </c>
      <c r="T89" s="32" t="s">
        <v>1713</v>
      </c>
    </row>
    <row r="90" spans="1:20" x14ac:dyDescent="0.2">
      <c r="A90" t="s">
        <v>634</v>
      </c>
      <c r="B90" t="s">
        <v>56</v>
      </c>
      <c r="C90" t="s">
        <v>864</v>
      </c>
      <c r="D90" t="s">
        <v>863</v>
      </c>
      <c r="E90" t="s">
        <v>636</v>
      </c>
      <c r="F90" t="s">
        <v>37</v>
      </c>
      <c r="G90" s="32">
        <v>45266</v>
      </c>
      <c r="H90" t="s">
        <v>643</v>
      </c>
      <c r="I90" s="32"/>
      <c r="J90" t="s">
        <v>654</v>
      </c>
      <c r="K90" s="32">
        <v>45300</v>
      </c>
      <c r="L90" s="32">
        <v>46362</v>
      </c>
      <c r="M90" t="s">
        <v>639</v>
      </c>
      <c r="N90" t="s">
        <v>698</v>
      </c>
      <c r="O90" t="s">
        <v>673</v>
      </c>
      <c r="P90" t="s">
        <v>643</v>
      </c>
      <c r="Q90" t="s">
        <v>782</v>
      </c>
      <c r="R90" t="s">
        <v>783</v>
      </c>
      <c r="S90" t="s">
        <v>676</v>
      </c>
      <c r="T90" s="32" t="s">
        <v>1555</v>
      </c>
    </row>
    <row r="91" spans="1:20" x14ac:dyDescent="0.2">
      <c r="A91" t="s">
        <v>667</v>
      </c>
      <c r="B91" t="s">
        <v>50</v>
      </c>
      <c r="C91" t="s">
        <v>867</v>
      </c>
      <c r="D91" t="s">
        <v>866</v>
      </c>
      <c r="E91" t="s">
        <v>649</v>
      </c>
      <c r="F91" t="s">
        <v>16</v>
      </c>
      <c r="G91" s="32">
        <v>44074</v>
      </c>
      <c r="H91" t="s">
        <v>669</v>
      </c>
      <c r="I91" s="32">
        <v>45880</v>
      </c>
      <c r="J91" t="s">
        <v>673</v>
      </c>
      <c r="K91" s="32">
        <v>45987</v>
      </c>
      <c r="L91" s="32">
        <v>46352</v>
      </c>
      <c r="M91" t="s">
        <v>639</v>
      </c>
      <c r="N91" t="s">
        <v>669</v>
      </c>
      <c r="O91" t="s">
        <v>673</v>
      </c>
      <c r="P91" t="s">
        <v>670</v>
      </c>
      <c r="Q91" t="s">
        <v>721</v>
      </c>
      <c r="R91" t="s">
        <v>868</v>
      </c>
      <c r="S91" t="s">
        <v>676</v>
      </c>
      <c r="T91" s="32" t="s">
        <v>1559</v>
      </c>
    </row>
    <row r="92" spans="1:20" x14ac:dyDescent="0.2">
      <c r="A92" t="s">
        <v>667</v>
      </c>
      <c r="B92" t="s">
        <v>50</v>
      </c>
      <c r="C92" t="s">
        <v>871</v>
      </c>
      <c r="D92" t="s">
        <v>870</v>
      </c>
      <c r="E92" t="s">
        <v>649</v>
      </c>
      <c r="F92" t="s">
        <v>16</v>
      </c>
      <c r="G92" s="32">
        <v>45012</v>
      </c>
      <c r="H92" t="s">
        <v>727</v>
      </c>
      <c r="I92" s="32">
        <v>45800</v>
      </c>
      <c r="J92" t="s">
        <v>673</v>
      </c>
      <c r="K92" s="32">
        <v>45833</v>
      </c>
      <c r="L92" s="32">
        <v>46198</v>
      </c>
      <c r="M92" t="s">
        <v>639</v>
      </c>
      <c r="N92" t="s">
        <v>872</v>
      </c>
      <c r="O92" t="s">
        <v>673</v>
      </c>
      <c r="P92" t="s">
        <v>670</v>
      </c>
      <c r="Q92" t="s">
        <v>729</v>
      </c>
      <c r="R92" t="s">
        <v>801</v>
      </c>
      <c r="S92" t="s">
        <v>676</v>
      </c>
      <c r="T92" s="32" t="s">
        <v>1563</v>
      </c>
    </row>
    <row r="93" spans="1:20" x14ac:dyDescent="0.2">
      <c r="A93" t="s">
        <v>667</v>
      </c>
      <c r="B93" t="s">
        <v>50</v>
      </c>
      <c r="C93" t="s">
        <v>443</v>
      </c>
      <c r="D93" t="s">
        <v>873</v>
      </c>
      <c r="E93" t="s">
        <v>649</v>
      </c>
      <c r="F93" t="s">
        <v>16</v>
      </c>
      <c r="G93" s="32">
        <v>45012</v>
      </c>
      <c r="H93" t="s">
        <v>727</v>
      </c>
      <c r="I93" s="32">
        <v>45800</v>
      </c>
      <c r="J93" t="s">
        <v>673</v>
      </c>
      <c r="K93" s="32">
        <v>45833</v>
      </c>
      <c r="L93" s="32">
        <v>46198</v>
      </c>
      <c r="M93" t="s">
        <v>639</v>
      </c>
      <c r="N93" t="s">
        <v>874</v>
      </c>
      <c r="O93" t="s">
        <v>673</v>
      </c>
      <c r="P93" t="s">
        <v>670</v>
      </c>
      <c r="Q93" t="s">
        <v>722</v>
      </c>
      <c r="R93" t="s">
        <v>801</v>
      </c>
      <c r="S93" t="s">
        <v>676</v>
      </c>
      <c r="T93" s="32" t="s">
        <v>1563</v>
      </c>
    </row>
    <row r="94" spans="1:20" x14ac:dyDescent="0.2">
      <c r="A94" t="s">
        <v>667</v>
      </c>
      <c r="B94" t="s">
        <v>50</v>
      </c>
      <c r="C94" t="s">
        <v>179</v>
      </c>
      <c r="D94" t="s">
        <v>875</v>
      </c>
      <c r="E94" t="s">
        <v>636</v>
      </c>
      <c r="F94" t="s">
        <v>664</v>
      </c>
      <c r="G94" s="32">
        <v>45012</v>
      </c>
      <c r="H94" t="s">
        <v>643</v>
      </c>
      <c r="I94" s="32"/>
      <c r="J94" t="s">
        <v>654</v>
      </c>
      <c r="K94" s="32">
        <v>45321</v>
      </c>
      <c r="L94" s="32">
        <v>46108</v>
      </c>
      <c r="M94" t="s">
        <v>639</v>
      </c>
      <c r="N94" t="s">
        <v>669</v>
      </c>
      <c r="O94" t="s">
        <v>673</v>
      </c>
      <c r="P94" t="s">
        <v>643</v>
      </c>
      <c r="Q94" t="s">
        <v>643</v>
      </c>
      <c r="R94" t="s">
        <v>643</v>
      </c>
      <c r="S94" t="s">
        <v>643</v>
      </c>
      <c r="T94" s="32" t="s">
        <v>1563</v>
      </c>
    </row>
    <row r="95" spans="1:20" x14ac:dyDescent="0.2">
      <c r="A95" t="s">
        <v>690</v>
      </c>
      <c r="B95" t="s">
        <v>710</v>
      </c>
      <c r="C95" t="s">
        <v>494</v>
      </c>
      <c r="D95" t="s">
        <v>1166</v>
      </c>
      <c r="E95" t="s">
        <v>636</v>
      </c>
      <c r="F95" t="s">
        <v>37</v>
      </c>
      <c r="G95" s="32">
        <v>45294</v>
      </c>
      <c r="H95" t="s">
        <v>643</v>
      </c>
      <c r="I95" s="32"/>
      <c r="J95" t="s">
        <v>654</v>
      </c>
      <c r="K95" s="32">
        <v>45329</v>
      </c>
      <c r="L95" s="32">
        <v>46390</v>
      </c>
      <c r="M95" t="s">
        <v>639</v>
      </c>
      <c r="N95" t="s">
        <v>692</v>
      </c>
      <c r="O95" t="s">
        <v>656</v>
      </c>
      <c r="P95" t="s">
        <v>643</v>
      </c>
      <c r="Q95" t="s">
        <v>643</v>
      </c>
      <c r="R95" t="s">
        <v>643</v>
      </c>
      <c r="S95" t="s">
        <v>643</v>
      </c>
      <c r="T95" s="32" t="s">
        <v>1988</v>
      </c>
    </row>
    <row r="96" spans="1:20" x14ac:dyDescent="0.2">
      <c r="A96" t="s">
        <v>787</v>
      </c>
      <c r="B96" t="s">
        <v>54</v>
      </c>
      <c r="C96" t="s">
        <v>512</v>
      </c>
      <c r="D96" t="s">
        <v>877</v>
      </c>
      <c r="E96" t="s">
        <v>636</v>
      </c>
      <c r="F96" t="s">
        <v>16</v>
      </c>
      <c r="G96" s="32">
        <v>45168</v>
      </c>
      <c r="H96" t="s">
        <v>643</v>
      </c>
      <c r="I96" s="32"/>
      <c r="J96" t="s">
        <v>703</v>
      </c>
      <c r="K96" s="32">
        <v>45351</v>
      </c>
      <c r="L96" s="32">
        <v>46264</v>
      </c>
      <c r="M96" t="s">
        <v>639</v>
      </c>
      <c r="N96" t="s">
        <v>878</v>
      </c>
      <c r="O96" t="s">
        <v>790</v>
      </c>
      <c r="P96" t="s">
        <v>643</v>
      </c>
      <c r="Q96" t="s">
        <v>643</v>
      </c>
      <c r="R96" t="s">
        <v>643</v>
      </c>
      <c r="S96" t="s">
        <v>643</v>
      </c>
      <c r="T96" s="32" t="s">
        <v>1573</v>
      </c>
    </row>
    <row r="97" spans="1:20" x14ac:dyDescent="0.2">
      <c r="A97" t="s">
        <v>787</v>
      </c>
      <c r="B97" t="s">
        <v>54</v>
      </c>
      <c r="C97" t="s">
        <v>880</v>
      </c>
      <c r="D97" t="s">
        <v>879</v>
      </c>
      <c r="E97" t="s">
        <v>649</v>
      </c>
      <c r="F97" t="s">
        <v>16</v>
      </c>
      <c r="G97" s="32">
        <v>45168</v>
      </c>
      <c r="H97" t="s">
        <v>643</v>
      </c>
      <c r="I97" s="32"/>
      <c r="J97" t="s">
        <v>703</v>
      </c>
      <c r="K97" s="32">
        <v>45853</v>
      </c>
      <c r="L97" s="32">
        <v>46218</v>
      </c>
      <c r="M97" t="s">
        <v>639</v>
      </c>
      <c r="N97" t="s">
        <v>878</v>
      </c>
      <c r="O97" t="s">
        <v>790</v>
      </c>
      <c r="P97" t="s">
        <v>643</v>
      </c>
      <c r="Q97" t="s">
        <v>881</v>
      </c>
      <c r="R97" t="s">
        <v>882</v>
      </c>
      <c r="S97" t="s">
        <v>703</v>
      </c>
      <c r="T97" s="32" t="s">
        <v>1573</v>
      </c>
    </row>
    <row r="98" spans="1:20" x14ac:dyDescent="0.2">
      <c r="A98" t="s">
        <v>787</v>
      </c>
      <c r="B98" t="s">
        <v>54</v>
      </c>
      <c r="C98" t="s">
        <v>884</v>
      </c>
      <c r="D98" t="s">
        <v>883</v>
      </c>
      <c r="E98" t="s">
        <v>649</v>
      </c>
      <c r="F98" t="s">
        <v>16</v>
      </c>
      <c r="G98" s="32">
        <v>45168</v>
      </c>
      <c r="H98" t="s">
        <v>643</v>
      </c>
      <c r="I98" s="32"/>
      <c r="J98" t="s">
        <v>703</v>
      </c>
      <c r="K98" s="32">
        <v>45853</v>
      </c>
      <c r="L98" s="32">
        <v>46218</v>
      </c>
      <c r="M98" t="s">
        <v>639</v>
      </c>
      <c r="N98" t="s">
        <v>878</v>
      </c>
      <c r="O98" t="s">
        <v>790</v>
      </c>
      <c r="P98" t="s">
        <v>643</v>
      </c>
      <c r="Q98" t="s">
        <v>881</v>
      </c>
      <c r="R98" t="s">
        <v>882</v>
      </c>
      <c r="S98" t="s">
        <v>703</v>
      </c>
      <c r="T98" s="32" t="s">
        <v>1573</v>
      </c>
    </row>
    <row r="99" spans="1:20" x14ac:dyDescent="0.2">
      <c r="A99" t="s">
        <v>787</v>
      </c>
      <c r="B99" t="s">
        <v>54</v>
      </c>
      <c r="C99" t="s">
        <v>886</v>
      </c>
      <c r="D99" t="s">
        <v>885</v>
      </c>
      <c r="E99" t="s">
        <v>649</v>
      </c>
      <c r="F99" t="s">
        <v>16</v>
      </c>
      <c r="G99" s="32">
        <v>45288</v>
      </c>
      <c r="H99" t="s">
        <v>643</v>
      </c>
      <c r="I99" s="32"/>
      <c r="J99" t="s">
        <v>703</v>
      </c>
      <c r="K99" s="32">
        <v>45853</v>
      </c>
      <c r="L99" s="32">
        <v>46218</v>
      </c>
      <c r="M99" t="s">
        <v>639</v>
      </c>
      <c r="N99" t="s">
        <v>878</v>
      </c>
      <c r="O99" t="s">
        <v>790</v>
      </c>
      <c r="P99" t="s">
        <v>643</v>
      </c>
      <c r="Q99" t="s">
        <v>881</v>
      </c>
      <c r="R99" t="s">
        <v>882</v>
      </c>
      <c r="S99" t="s">
        <v>703</v>
      </c>
      <c r="T99" s="32" t="s">
        <v>1579</v>
      </c>
    </row>
    <row r="100" spans="1:20" x14ac:dyDescent="0.2">
      <c r="A100" t="s">
        <v>787</v>
      </c>
      <c r="B100" t="s">
        <v>54</v>
      </c>
      <c r="C100" t="s">
        <v>497</v>
      </c>
      <c r="D100" t="s">
        <v>887</v>
      </c>
      <c r="E100" t="s">
        <v>636</v>
      </c>
      <c r="F100" t="s">
        <v>16</v>
      </c>
      <c r="G100" s="32">
        <v>45168</v>
      </c>
      <c r="H100" t="s">
        <v>643</v>
      </c>
      <c r="I100" s="32"/>
      <c r="J100" t="s">
        <v>703</v>
      </c>
      <c r="K100" s="32">
        <v>45351</v>
      </c>
      <c r="L100" s="32">
        <v>46264</v>
      </c>
      <c r="M100" t="s">
        <v>639</v>
      </c>
      <c r="N100" t="s">
        <v>878</v>
      </c>
      <c r="O100" t="s">
        <v>790</v>
      </c>
      <c r="P100" t="s">
        <v>643</v>
      </c>
      <c r="Q100" t="s">
        <v>643</v>
      </c>
      <c r="R100" t="s">
        <v>643</v>
      </c>
      <c r="S100" t="s">
        <v>643</v>
      </c>
      <c r="T100" s="32" t="s">
        <v>1573</v>
      </c>
    </row>
    <row r="101" spans="1:20" x14ac:dyDescent="0.2">
      <c r="A101" t="s">
        <v>787</v>
      </c>
      <c r="B101" t="s">
        <v>54</v>
      </c>
      <c r="C101" t="s">
        <v>502</v>
      </c>
      <c r="D101" t="s">
        <v>888</v>
      </c>
      <c r="E101" t="s">
        <v>649</v>
      </c>
      <c r="F101" t="s">
        <v>16</v>
      </c>
      <c r="G101" s="32">
        <v>45168</v>
      </c>
      <c r="H101" t="s">
        <v>643</v>
      </c>
      <c r="I101" s="32"/>
      <c r="J101" t="s">
        <v>703</v>
      </c>
      <c r="K101" s="32">
        <v>45853</v>
      </c>
      <c r="L101" s="32">
        <v>46218</v>
      </c>
      <c r="M101" t="s">
        <v>639</v>
      </c>
      <c r="N101" t="s">
        <v>878</v>
      </c>
      <c r="O101" t="s">
        <v>790</v>
      </c>
      <c r="P101" t="s">
        <v>643</v>
      </c>
      <c r="Q101" t="s">
        <v>881</v>
      </c>
      <c r="R101" t="s">
        <v>882</v>
      </c>
      <c r="S101" t="s">
        <v>703</v>
      </c>
      <c r="T101" s="32" t="s">
        <v>1573</v>
      </c>
    </row>
    <row r="102" spans="1:20" x14ac:dyDescent="0.2">
      <c r="A102" t="s">
        <v>787</v>
      </c>
      <c r="B102" t="s">
        <v>54</v>
      </c>
      <c r="C102" t="s">
        <v>508</v>
      </c>
      <c r="D102" t="s">
        <v>889</v>
      </c>
      <c r="E102" t="s">
        <v>649</v>
      </c>
      <c r="F102" t="s">
        <v>16</v>
      </c>
      <c r="G102" s="32">
        <v>45168</v>
      </c>
      <c r="H102" t="s">
        <v>643</v>
      </c>
      <c r="I102" s="32"/>
      <c r="J102" t="s">
        <v>703</v>
      </c>
      <c r="K102" s="32">
        <v>45853</v>
      </c>
      <c r="L102" s="32">
        <v>46218</v>
      </c>
      <c r="M102" t="s">
        <v>639</v>
      </c>
      <c r="N102" t="s">
        <v>878</v>
      </c>
      <c r="O102" t="s">
        <v>790</v>
      </c>
      <c r="P102" t="s">
        <v>643</v>
      </c>
      <c r="Q102" t="s">
        <v>881</v>
      </c>
      <c r="R102" t="s">
        <v>882</v>
      </c>
      <c r="S102" t="s">
        <v>703</v>
      </c>
      <c r="T102" s="32" t="s">
        <v>1573</v>
      </c>
    </row>
    <row r="103" spans="1:20" x14ac:dyDescent="0.2">
      <c r="A103" t="s">
        <v>787</v>
      </c>
      <c r="B103" t="s">
        <v>63</v>
      </c>
      <c r="C103" t="s">
        <v>460</v>
      </c>
      <c r="D103" t="s">
        <v>890</v>
      </c>
      <c r="E103" t="s">
        <v>636</v>
      </c>
      <c r="F103" t="s">
        <v>16</v>
      </c>
      <c r="G103" s="32">
        <v>45158</v>
      </c>
      <c r="H103" t="s">
        <v>643</v>
      </c>
      <c r="I103" s="32"/>
      <c r="J103" t="s">
        <v>703</v>
      </c>
      <c r="K103" s="32">
        <v>45351</v>
      </c>
      <c r="L103" s="32">
        <v>46254</v>
      </c>
      <c r="M103" t="s">
        <v>639</v>
      </c>
      <c r="N103" t="s">
        <v>790</v>
      </c>
      <c r="O103" t="s">
        <v>790</v>
      </c>
      <c r="P103" t="s">
        <v>643</v>
      </c>
      <c r="Q103" t="s">
        <v>643</v>
      </c>
      <c r="R103" t="s">
        <v>643</v>
      </c>
      <c r="S103" t="s">
        <v>643</v>
      </c>
      <c r="T103" s="32" t="s">
        <v>1585</v>
      </c>
    </row>
    <row r="104" spans="1:20" x14ac:dyDescent="0.2">
      <c r="A104" t="s">
        <v>787</v>
      </c>
      <c r="B104" t="s">
        <v>63</v>
      </c>
      <c r="C104" t="s">
        <v>320</v>
      </c>
      <c r="D104" t="s">
        <v>891</v>
      </c>
      <c r="E104" t="s">
        <v>649</v>
      </c>
      <c r="F104" t="s">
        <v>27</v>
      </c>
      <c r="G104" s="32">
        <v>45251</v>
      </c>
      <c r="H104" t="s">
        <v>643</v>
      </c>
      <c r="I104" s="32"/>
      <c r="J104" t="s">
        <v>643</v>
      </c>
      <c r="K104" s="32"/>
      <c r="L104" s="32">
        <v>46347</v>
      </c>
      <c r="M104" t="s">
        <v>687</v>
      </c>
      <c r="N104" t="s">
        <v>790</v>
      </c>
      <c r="O104" t="s">
        <v>790</v>
      </c>
      <c r="P104" t="s">
        <v>643</v>
      </c>
      <c r="Q104" t="s">
        <v>892</v>
      </c>
      <c r="R104" t="s">
        <v>893</v>
      </c>
      <c r="S104" t="s">
        <v>703</v>
      </c>
      <c r="T104" s="32" t="s">
        <v>1588</v>
      </c>
    </row>
    <row r="105" spans="1:20" x14ac:dyDescent="0.2">
      <c r="A105" t="s">
        <v>787</v>
      </c>
      <c r="B105" t="s">
        <v>63</v>
      </c>
      <c r="C105" t="s">
        <v>337</v>
      </c>
      <c r="D105" t="s">
        <v>894</v>
      </c>
      <c r="E105" t="s">
        <v>649</v>
      </c>
      <c r="F105" t="s">
        <v>27</v>
      </c>
      <c r="G105" s="32">
        <v>45252</v>
      </c>
      <c r="H105" t="s">
        <v>790</v>
      </c>
      <c r="I105" s="32">
        <v>45581</v>
      </c>
      <c r="J105" t="s">
        <v>790</v>
      </c>
      <c r="K105" s="32">
        <v>45581</v>
      </c>
      <c r="L105" s="32">
        <v>46348</v>
      </c>
      <c r="M105" t="s">
        <v>639</v>
      </c>
      <c r="N105" t="s">
        <v>790</v>
      </c>
      <c r="O105" t="s">
        <v>790</v>
      </c>
      <c r="P105" t="s">
        <v>895</v>
      </c>
      <c r="Q105" t="s">
        <v>896</v>
      </c>
      <c r="R105" t="s">
        <v>897</v>
      </c>
      <c r="S105" t="s">
        <v>703</v>
      </c>
      <c r="T105" s="32" t="s">
        <v>1589</v>
      </c>
    </row>
    <row r="106" spans="1:20" x14ac:dyDescent="0.2">
      <c r="A106" t="s">
        <v>787</v>
      </c>
      <c r="B106" t="s">
        <v>63</v>
      </c>
      <c r="C106" t="s">
        <v>351</v>
      </c>
      <c r="D106" t="s">
        <v>898</v>
      </c>
      <c r="E106" t="s">
        <v>636</v>
      </c>
      <c r="F106" t="s">
        <v>27</v>
      </c>
      <c r="G106" s="32">
        <v>45252</v>
      </c>
      <c r="H106" t="s">
        <v>643</v>
      </c>
      <c r="I106" s="32"/>
      <c r="J106" t="s">
        <v>703</v>
      </c>
      <c r="K106" s="32">
        <v>45351</v>
      </c>
      <c r="L106" s="32">
        <v>46337</v>
      </c>
      <c r="M106" t="s">
        <v>639</v>
      </c>
      <c r="N106" t="s">
        <v>790</v>
      </c>
      <c r="O106" t="s">
        <v>790</v>
      </c>
      <c r="P106" t="s">
        <v>643</v>
      </c>
      <c r="Q106" t="s">
        <v>892</v>
      </c>
      <c r="R106" t="s">
        <v>899</v>
      </c>
      <c r="S106" t="s">
        <v>703</v>
      </c>
      <c r="T106" s="32" t="s">
        <v>1589</v>
      </c>
    </row>
    <row r="107" spans="1:20" x14ac:dyDescent="0.2">
      <c r="A107" t="s">
        <v>690</v>
      </c>
      <c r="B107" t="s">
        <v>710</v>
      </c>
      <c r="C107" t="s">
        <v>530</v>
      </c>
      <c r="D107" t="s">
        <v>900</v>
      </c>
      <c r="E107" t="s">
        <v>636</v>
      </c>
      <c r="F107" t="s">
        <v>16</v>
      </c>
      <c r="G107" s="32">
        <v>45306</v>
      </c>
      <c r="H107" t="s">
        <v>643</v>
      </c>
      <c r="I107" s="32"/>
      <c r="J107" t="s">
        <v>654</v>
      </c>
      <c r="K107" s="32">
        <v>45351</v>
      </c>
      <c r="L107" s="32">
        <v>46402</v>
      </c>
      <c r="M107" t="s">
        <v>639</v>
      </c>
      <c r="N107" t="s">
        <v>718</v>
      </c>
      <c r="O107" t="s">
        <v>673</v>
      </c>
      <c r="P107" t="s">
        <v>643</v>
      </c>
      <c r="Q107" t="s">
        <v>643</v>
      </c>
      <c r="R107" t="s">
        <v>643</v>
      </c>
      <c r="S107" t="s">
        <v>643</v>
      </c>
      <c r="T107" s="32" t="s">
        <v>1509</v>
      </c>
    </row>
    <row r="108" spans="1:20" x14ac:dyDescent="0.2">
      <c r="A108" t="s">
        <v>690</v>
      </c>
      <c r="B108" t="s">
        <v>710</v>
      </c>
      <c r="C108" t="s">
        <v>531</v>
      </c>
      <c r="D108" t="s">
        <v>901</v>
      </c>
      <c r="E108" t="s">
        <v>636</v>
      </c>
      <c r="F108" t="s">
        <v>16</v>
      </c>
      <c r="G108" s="32">
        <v>45306</v>
      </c>
      <c r="H108" t="s">
        <v>643</v>
      </c>
      <c r="I108" s="32"/>
      <c r="J108" t="s">
        <v>654</v>
      </c>
      <c r="K108" s="32">
        <v>45351</v>
      </c>
      <c r="L108" s="32">
        <v>46402</v>
      </c>
      <c r="M108" t="s">
        <v>639</v>
      </c>
      <c r="N108" t="s">
        <v>718</v>
      </c>
      <c r="O108" t="s">
        <v>673</v>
      </c>
      <c r="P108" t="s">
        <v>643</v>
      </c>
      <c r="Q108" t="s">
        <v>643</v>
      </c>
      <c r="R108" t="s">
        <v>643</v>
      </c>
      <c r="S108" t="s">
        <v>643</v>
      </c>
      <c r="T108" s="32" t="s">
        <v>1509</v>
      </c>
    </row>
    <row r="109" spans="1:20" x14ac:dyDescent="0.2">
      <c r="A109" t="s">
        <v>690</v>
      </c>
      <c r="B109" t="s">
        <v>710</v>
      </c>
      <c r="C109" t="s">
        <v>532</v>
      </c>
      <c r="D109" t="s">
        <v>902</v>
      </c>
      <c r="E109" t="s">
        <v>649</v>
      </c>
      <c r="F109" t="s">
        <v>16</v>
      </c>
      <c r="G109" s="32">
        <v>45313</v>
      </c>
      <c r="H109" t="s">
        <v>692</v>
      </c>
      <c r="I109" s="32">
        <v>45842</v>
      </c>
      <c r="J109" t="s">
        <v>673</v>
      </c>
      <c r="K109" s="32">
        <v>45877</v>
      </c>
      <c r="L109" s="32">
        <v>46242</v>
      </c>
      <c r="M109" t="s">
        <v>639</v>
      </c>
      <c r="N109" t="s">
        <v>724</v>
      </c>
      <c r="O109" t="s">
        <v>673</v>
      </c>
      <c r="P109" t="s">
        <v>713</v>
      </c>
      <c r="Q109" t="s">
        <v>721</v>
      </c>
      <c r="R109" t="s">
        <v>841</v>
      </c>
      <c r="S109" t="s">
        <v>676</v>
      </c>
      <c r="T109" s="32" t="s">
        <v>1597</v>
      </c>
    </row>
    <row r="110" spans="1:20" x14ac:dyDescent="0.2">
      <c r="A110" t="s">
        <v>690</v>
      </c>
      <c r="B110" t="s">
        <v>710</v>
      </c>
      <c r="C110" t="s">
        <v>417</v>
      </c>
      <c r="D110" t="s">
        <v>717</v>
      </c>
      <c r="E110" t="s">
        <v>636</v>
      </c>
      <c r="F110" t="s">
        <v>16</v>
      </c>
      <c r="G110" s="32">
        <v>45330</v>
      </c>
      <c r="H110" t="s">
        <v>643</v>
      </c>
      <c r="I110" s="32"/>
      <c r="J110" t="s">
        <v>654</v>
      </c>
      <c r="K110" s="32">
        <v>45351</v>
      </c>
      <c r="L110" s="32">
        <v>46426</v>
      </c>
      <c r="M110" t="s">
        <v>639</v>
      </c>
      <c r="N110" t="s">
        <v>718</v>
      </c>
      <c r="O110" t="s">
        <v>673</v>
      </c>
      <c r="P110" t="s">
        <v>643</v>
      </c>
      <c r="Q110" t="s">
        <v>643</v>
      </c>
      <c r="R110" t="s">
        <v>643</v>
      </c>
      <c r="S110" t="s">
        <v>643</v>
      </c>
      <c r="T110" s="32" t="s">
        <v>1378</v>
      </c>
    </row>
    <row r="111" spans="1:20" x14ac:dyDescent="0.2">
      <c r="A111" t="s">
        <v>906</v>
      </c>
      <c r="B111" t="s">
        <v>643</v>
      </c>
      <c r="C111" t="s">
        <v>908</v>
      </c>
      <c r="D111" t="s">
        <v>907</v>
      </c>
      <c r="E111" t="s">
        <v>709</v>
      </c>
      <c r="F111" t="s">
        <v>16</v>
      </c>
      <c r="G111" s="32">
        <v>45222</v>
      </c>
      <c r="H111" t="s">
        <v>643</v>
      </c>
      <c r="I111" s="32"/>
      <c r="J111" t="s">
        <v>703</v>
      </c>
      <c r="K111" s="32">
        <v>45355</v>
      </c>
      <c r="L111" s="32">
        <v>46318</v>
      </c>
      <c r="M111" t="s">
        <v>639</v>
      </c>
      <c r="N111" t="s">
        <v>909</v>
      </c>
      <c r="O111" t="s">
        <v>910</v>
      </c>
      <c r="P111" t="s">
        <v>643</v>
      </c>
      <c r="Q111" t="s">
        <v>911</v>
      </c>
      <c r="R111" t="s">
        <v>776</v>
      </c>
      <c r="S111" t="s">
        <v>676</v>
      </c>
      <c r="T111" s="32" t="s">
        <v>1368</v>
      </c>
    </row>
    <row r="112" spans="1:20" x14ac:dyDescent="0.2">
      <c r="A112" t="s">
        <v>906</v>
      </c>
      <c r="B112" t="s">
        <v>643</v>
      </c>
      <c r="C112" t="s">
        <v>913</v>
      </c>
      <c r="D112" t="s">
        <v>912</v>
      </c>
      <c r="E112" t="s">
        <v>709</v>
      </c>
      <c r="F112" t="s">
        <v>16</v>
      </c>
      <c r="G112" s="32">
        <v>45222</v>
      </c>
      <c r="H112" t="s">
        <v>643</v>
      </c>
      <c r="I112" s="32"/>
      <c r="J112" t="s">
        <v>703</v>
      </c>
      <c r="K112" s="32">
        <v>45355</v>
      </c>
      <c r="L112" s="32">
        <v>46318</v>
      </c>
      <c r="M112" t="s">
        <v>639</v>
      </c>
      <c r="N112" t="s">
        <v>909</v>
      </c>
      <c r="O112" t="s">
        <v>910</v>
      </c>
      <c r="P112" t="s">
        <v>643</v>
      </c>
      <c r="Q112" t="s">
        <v>911</v>
      </c>
      <c r="R112" t="s">
        <v>776</v>
      </c>
      <c r="S112" t="s">
        <v>676</v>
      </c>
      <c r="T112" s="32" t="s">
        <v>1368</v>
      </c>
    </row>
    <row r="113" spans="1:20" x14ac:dyDescent="0.2">
      <c r="A113" t="s">
        <v>690</v>
      </c>
      <c r="B113" t="s">
        <v>710</v>
      </c>
      <c r="C113" t="s">
        <v>528</v>
      </c>
      <c r="D113" t="s">
        <v>833</v>
      </c>
      <c r="E113" t="s">
        <v>636</v>
      </c>
      <c r="F113" t="s">
        <v>16</v>
      </c>
      <c r="G113" s="32">
        <v>45306</v>
      </c>
      <c r="H113" t="s">
        <v>643</v>
      </c>
      <c r="I113" s="32"/>
      <c r="J113" t="s">
        <v>654</v>
      </c>
      <c r="K113" s="32">
        <v>45355</v>
      </c>
      <c r="L113" s="32">
        <v>46402</v>
      </c>
      <c r="M113" t="s">
        <v>639</v>
      </c>
      <c r="N113" t="s">
        <v>718</v>
      </c>
      <c r="O113" t="s">
        <v>673</v>
      </c>
      <c r="P113" t="s">
        <v>643</v>
      </c>
      <c r="Q113" t="s">
        <v>643</v>
      </c>
      <c r="R113" t="s">
        <v>643</v>
      </c>
      <c r="S113" t="s">
        <v>643</v>
      </c>
      <c r="T113" s="32" t="s">
        <v>1509</v>
      </c>
    </row>
    <row r="114" spans="1:20" x14ac:dyDescent="0.2">
      <c r="A114" t="s">
        <v>690</v>
      </c>
      <c r="B114" t="s">
        <v>710</v>
      </c>
      <c r="C114" t="s">
        <v>529</v>
      </c>
      <c r="D114" t="s">
        <v>876</v>
      </c>
      <c r="E114" t="s">
        <v>636</v>
      </c>
      <c r="F114" t="s">
        <v>16</v>
      </c>
      <c r="G114" s="32">
        <v>45306</v>
      </c>
      <c r="H114" t="s">
        <v>643</v>
      </c>
      <c r="I114" s="32"/>
      <c r="J114" t="s">
        <v>654</v>
      </c>
      <c r="K114" s="32">
        <v>45355</v>
      </c>
      <c r="L114" s="32">
        <v>46402</v>
      </c>
      <c r="M114" t="s">
        <v>639</v>
      </c>
      <c r="N114" t="s">
        <v>718</v>
      </c>
      <c r="O114" t="s">
        <v>673</v>
      </c>
      <c r="P114" t="s">
        <v>643</v>
      </c>
      <c r="Q114" t="s">
        <v>643</v>
      </c>
      <c r="R114" t="s">
        <v>643</v>
      </c>
      <c r="S114" t="s">
        <v>643</v>
      </c>
      <c r="T114" s="32" t="s">
        <v>1509</v>
      </c>
    </row>
    <row r="115" spans="1:20" x14ac:dyDescent="0.2">
      <c r="A115" t="s">
        <v>906</v>
      </c>
      <c r="B115" t="s">
        <v>643</v>
      </c>
      <c r="C115" t="s">
        <v>269</v>
      </c>
      <c r="D115" t="s">
        <v>916</v>
      </c>
      <c r="E115" t="s">
        <v>636</v>
      </c>
      <c r="F115" t="s">
        <v>27</v>
      </c>
      <c r="G115" s="32">
        <v>45257</v>
      </c>
      <c r="H115" t="s">
        <v>643</v>
      </c>
      <c r="I115" s="32"/>
      <c r="J115" t="s">
        <v>703</v>
      </c>
      <c r="K115" s="32">
        <v>45359</v>
      </c>
      <c r="L115" s="32">
        <v>46353</v>
      </c>
      <c r="M115" t="s">
        <v>639</v>
      </c>
      <c r="N115" t="s">
        <v>909</v>
      </c>
      <c r="O115" t="s">
        <v>910</v>
      </c>
      <c r="P115" t="s">
        <v>643</v>
      </c>
      <c r="Q115" t="s">
        <v>643</v>
      </c>
      <c r="R115" t="s">
        <v>643</v>
      </c>
      <c r="S115" t="s">
        <v>643</v>
      </c>
      <c r="T115" s="32" t="s">
        <v>1614</v>
      </c>
    </row>
    <row r="116" spans="1:20" x14ac:dyDescent="0.2">
      <c r="A116" t="s">
        <v>634</v>
      </c>
      <c r="B116" t="s">
        <v>53</v>
      </c>
      <c r="C116" t="s">
        <v>918</v>
      </c>
      <c r="D116" t="s">
        <v>917</v>
      </c>
      <c r="E116" t="s">
        <v>636</v>
      </c>
      <c r="F116" t="s">
        <v>34</v>
      </c>
      <c r="G116" s="32">
        <v>45244</v>
      </c>
      <c r="H116" t="s">
        <v>643</v>
      </c>
      <c r="I116" s="32"/>
      <c r="J116" t="s">
        <v>654</v>
      </c>
      <c r="K116" s="32">
        <v>45390</v>
      </c>
      <c r="L116" s="32">
        <v>46340</v>
      </c>
      <c r="M116" t="s">
        <v>639</v>
      </c>
      <c r="N116" t="s">
        <v>919</v>
      </c>
      <c r="O116" t="s">
        <v>637</v>
      </c>
      <c r="P116" t="s">
        <v>643</v>
      </c>
      <c r="Q116" t="s">
        <v>643</v>
      </c>
      <c r="R116" t="s">
        <v>643</v>
      </c>
      <c r="S116" t="s">
        <v>643</v>
      </c>
      <c r="T116" s="32" t="s">
        <v>1617</v>
      </c>
    </row>
    <row r="117" spans="1:20" x14ac:dyDescent="0.2">
      <c r="A117" t="s">
        <v>634</v>
      </c>
      <c r="B117" t="s">
        <v>53</v>
      </c>
      <c r="C117" t="s">
        <v>921</v>
      </c>
      <c r="D117" t="s">
        <v>920</v>
      </c>
      <c r="E117" t="s">
        <v>636</v>
      </c>
      <c r="F117" t="s">
        <v>34</v>
      </c>
      <c r="G117" s="32">
        <v>45244</v>
      </c>
      <c r="H117" t="s">
        <v>643</v>
      </c>
      <c r="I117" s="32"/>
      <c r="J117" t="s">
        <v>654</v>
      </c>
      <c r="K117" s="32">
        <v>45390</v>
      </c>
      <c r="L117" s="32">
        <v>46340</v>
      </c>
      <c r="M117" t="s">
        <v>639</v>
      </c>
      <c r="N117" t="s">
        <v>919</v>
      </c>
      <c r="O117" t="s">
        <v>637</v>
      </c>
      <c r="P117" t="s">
        <v>643</v>
      </c>
      <c r="Q117" t="s">
        <v>643</v>
      </c>
      <c r="R117" t="s">
        <v>643</v>
      </c>
      <c r="S117" t="s">
        <v>643</v>
      </c>
      <c r="T117" s="32" t="s">
        <v>1617</v>
      </c>
    </row>
    <row r="118" spans="1:20" x14ac:dyDescent="0.2">
      <c r="A118" t="s">
        <v>634</v>
      </c>
      <c r="B118" t="s">
        <v>15</v>
      </c>
      <c r="C118" t="s">
        <v>923</v>
      </c>
      <c r="D118" t="s">
        <v>922</v>
      </c>
      <c r="E118" t="s">
        <v>636</v>
      </c>
      <c r="F118" t="s">
        <v>40</v>
      </c>
      <c r="G118" s="32">
        <v>45322</v>
      </c>
      <c r="H118" t="s">
        <v>643</v>
      </c>
      <c r="I118" s="32"/>
      <c r="J118" t="s">
        <v>654</v>
      </c>
      <c r="K118" s="32">
        <v>45390</v>
      </c>
      <c r="L118" s="32">
        <v>46418</v>
      </c>
      <c r="M118" t="s">
        <v>639</v>
      </c>
      <c r="N118" t="s">
        <v>844</v>
      </c>
      <c r="O118" t="s">
        <v>637</v>
      </c>
      <c r="P118" t="s">
        <v>643</v>
      </c>
      <c r="Q118" t="s">
        <v>643</v>
      </c>
      <c r="R118" t="s">
        <v>643</v>
      </c>
      <c r="S118" t="s">
        <v>643</v>
      </c>
      <c r="T118" s="32" t="s">
        <v>1621</v>
      </c>
    </row>
    <row r="119" spans="1:20" x14ac:dyDescent="0.2">
      <c r="A119" t="s">
        <v>634</v>
      </c>
      <c r="B119" t="s">
        <v>15</v>
      </c>
      <c r="C119" t="s">
        <v>216</v>
      </c>
      <c r="D119" t="s">
        <v>924</v>
      </c>
      <c r="E119" t="s">
        <v>636</v>
      </c>
      <c r="F119" t="s">
        <v>925</v>
      </c>
      <c r="G119" s="32">
        <v>45322</v>
      </c>
      <c r="H119" t="s">
        <v>643</v>
      </c>
      <c r="I119" s="32"/>
      <c r="J119" t="s">
        <v>654</v>
      </c>
      <c r="K119" s="32">
        <v>45390</v>
      </c>
      <c r="L119" s="32">
        <v>46418</v>
      </c>
      <c r="M119" t="s">
        <v>639</v>
      </c>
      <c r="N119" t="s">
        <v>844</v>
      </c>
      <c r="O119" t="s">
        <v>637</v>
      </c>
      <c r="P119" t="s">
        <v>643</v>
      </c>
      <c r="Q119" t="s">
        <v>643</v>
      </c>
      <c r="R119" t="s">
        <v>643</v>
      </c>
      <c r="S119" t="s">
        <v>643</v>
      </c>
      <c r="T119" s="32" t="s">
        <v>1621</v>
      </c>
    </row>
    <row r="120" spans="1:20" x14ac:dyDescent="0.2">
      <c r="A120" t="s">
        <v>634</v>
      </c>
      <c r="B120" t="s">
        <v>15</v>
      </c>
      <c r="C120" t="s">
        <v>91</v>
      </c>
      <c r="D120" t="s">
        <v>926</v>
      </c>
      <c r="E120" t="s">
        <v>636</v>
      </c>
      <c r="F120" t="s">
        <v>664</v>
      </c>
      <c r="G120" s="32">
        <v>45301</v>
      </c>
      <c r="H120" t="s">
        <v>643</v>
      </c>
      <c r="I120" s="32"/>
      <c r="J120" t="s">
        <v>654</v>
      </c>
      <c r="K120" s="32">
        <v>45390</v>
      </c>
      <c r="L120" s="32">
        <v>46397</v>
      </c>
      <c r="M120" t="s">
        <v>639</v>
      </c>
      <c r="N120" t="s">
        <v>844</v>
      </c>
      <c r="O120" t="s">
        <v>637</v>
      </c>
      <c r="P120" t="s">
        <v>643</v>
      </c>
      <c r="Q120" t="s">
        <v>643</v>
      </c>
      <c r="R120" t="s">
        <v>643</v>
      </c>
      <c r="S120" t="s">
        <v>643</v>
      </c>
      <c r="T120" s="32" t="s">
        <v>1625</v>
      </c>
    </row>
    <row r="121" spans="1:20" x14ac:dyDescent="0.2">
      <c r="A121" t="s">
        <v>634</v>
      </c>
      <c r="B121" t="s">
        <v>9</v>
      </c>
      <c r="C121" t="s">
        <v>267</v>
      </c>
      <c r="D121" t="s">
        <v>927</v>
      </c>
      <c r="E121" t="s">
        <v>636</v>
      </c>
      <c r="F121" t="s">
        <v>34</v>
      </c>
      <c r="G121" s="32">
        <v>45301</v>
      </c>
      <c r="H121" t="s">
        <v>643</v>
      </c>
      <c r="I121" s="32"/>
      <c r="J121" t="s">
        <v>654</v>
      </c>
      <c r="K121" s="32">
        <v>45390</v>
      </c>
      <c r="L121" s="32">
        <v>46397</v>
      </c>
      <c r="M121" t="s">
        <v>639</v>
      </c>
      <c r="N121" t="s">
        <v>844</v>
      </c>
      <c r="O121" t="s">
        <v>637</v>
      </c>
      <c r="P121" t="s">
        <v>643</v>
      </c>
      <c r="Q121" t="s">
        <v>643</v>
      </c>
      <c r="R121" t="s">
        <v>643</v>
      </c>
      <c r="S121" t="s">
        <v>643</v>
      </c>
      <c r="T121" s="32" t="s">
        <v>1625</v>
      </c>
    </row>
    <row r="122" spans="1:20" x14ac:dyDescent="0.2">
      <c r="A122" t="s">
        <v>667</v>
      </c>
      <c r="B122" t="s">
        <v>50</v>
      </c>
      <c r="C122" t="s">
        <v>455</v>
      </c>
      <c r="D122" t="s">
        <v>928</v>
      </c>
      <c r="E122" t="s">
        <v>649</v>
      </c>
      <c r="F122" t="s">
        <v>16</v>
      </c>
      <c r="G122" s="32">
        <v>45394</v>
      </c>
      <c r="H122" t="s">
        <v>727</v>
      </c>
      <c r="I122" s="32">
        <v>45800</v>
      </c>
      <c r="J122" t="s">
        <v>673</v>
      </c>
      <c r="K122" s="32">
        <v>45833</v>
      </c>
      <c r="L122" s="32">
        <v>46198</v>
      </c>
      <c r="M122" t="s">
        <v>639</v>
      </c>
      <c r="N122" t="s">
        <v>872</v>
      </c>
      <c r="O122" t="s">
        <v>673</v>
      </c>
      <c r="P122" t="s">
        <v>670</v>
      </c>
      <c r="Q122" t="s">
        <v>929</v>
      </c>
      <c r="R122" t="s">
        <v>930</v>
      </c>
      <c r="S122" t="s">
        <v>676</v>
      </c>
      <c r="T122" s="32" t="s">
        <v>1629</v>
      </c>
    </row>
    <row r="123" spans="1:20" x14ac:dyDescent="0.2">
      <c r="A123" t="s">
        <v>690</v>
      </c>
      <c r="B123" t="s">
        <v>710</v>
      </c>
      <c r="C123" t="s">
        <v>533</v>
      </c>
      <c r="D123" t="s">
        <v>903</v>
      </c>
      <c r="E123" t="s">
        <v>636</v>
      </c>
      <c r="F123" t="s">
        <v>16</v>
      </c>
      <c r="G123" s="32">
        <v>45307</v>
      </c>
      <c r="H123" t="s">
        <v>692</v>
      </c>
      <c r="I123" s="32">
        <v>45427</v>
      </c>
      <c r="J123" t="s">
        <v>673</v>
      </c>
      <c r="K123" s="32">
        <v>45427</v>
      </c>
      <c r="L123" s="32">
        <v>46792</v>
      </c>
      <c r="M123" t="s">
        <v>639</v>
      </c>
      <c r="N123" t="s">
        <v>712</v>
      </c>
      <c r="O123" t="s">
        <v>673</v>
      </c>
      <c r="P123" t="s">
        <v>713</v>
      </c>
      <c r="Q123" t="s">
        <v>904</v>
      </c>
      <c r="R123" t="s">
        <v>905</v>
      </c>
      <c r="S123" t="s">
        <v>654</v>
      </c>
      <c r="T123" s="32" t="s">
        <v>1600</v>
      </c>
    </row>
    <row r="124" spans="1:20" x14ac:dyDescent="0.2">
      <c r="A124" t="s">
        <v>690</v>
      </c>
      <c r="B124" t="s">
        <v>710</v>
      </c>
      <c r="C124" t="s">
        <v>534</v>
      </c>
      <c r="D124" t="s">
        <v>914</v>
      </c>
      <c r="E124" t="s">
        <v>636</v>
      </c>
      <c r="F124" t="s">
        <v>16</v>
      </c>
      <c r="G124" s="32">
        <v>45331</v>
      </c>
      <c r="H124" t="s">
        <v>692</v>
      </c>
      <c r="I124" s="32">
        <v>45411</v>
      </c>
      <c r="J124" t="s">
        <v>673</v>
      </c>
      <c r="K124" s="32">
        <v>45427</v>
      </c>
      <c r="L124" s="32">
        <v>46427</v>
      </c>
      <c r="M124" t="s">
        <v>639</v>
      </c>
      <c r="N124" t="s">
        <v>724</v>
      </c>
      <c r="O124" t="s">
        <v>673</v>
      </c>
      <c r="P124" t="s">
        <v>713</v>
      </c>
      <c r="Q124" t="s">
        <v>657</v>
      </c>
      <c r="R124" t="s">
        <v>657</v>
      </c>
      <c r="S124" t="s">
        <v>654</v>
      </c>
      <c r="T124" s="32" t="s">
        <v>1607</v>
      </c>
    </row>
    <row r="125" spans="1:20" x14ac:dyDescent="0.2">
      <c r="A125" t="s">
        <v>690</v>
      </c>
      <c r="B125" t="s">
        <v>710</v>
      </c>
      <c r="C125" t="s">
        <v>114</v>
      </c>
      <c r="D125" t="s">
        <v>1112</v>
      </c>
      <c r="E125" t="s">
        <v>636</v>
      </c>
      <c r="F125" t="s">
        <v>664</v>
      </c>
      <c r="G125" s="32">
        <v>45327</v>
      </c>
      <c r="H125" t="s">
        <v>692</v>
      </c>
      <c r="I125" s="32">
        <v>45411</v>
      </c>
      <c r="J125" t="s">
        <v>673</v>
      </c>
      <c r="K125" s="32">
        <v>45427</v>
      </c>
      <c r="L125" s="32">
        <v>46423</v>
      </c>
      <c r="M125" t="s">
        <v>639</v>
      </c>
      <c r="N125" t="s">
        <v>724</v>
      </c>
      <c r="O125" t="s">
        <v>673</v>
      </c>
      <c r="P125" t="s">
        <v>713</v>
      </c>
      <c r="Q125" t="s">
        <v>643</v>
      </c>
      <c r="R125" t="s">
        <v>643</v>
      </c>
      <c r="S125" t="s">
        <v>643</v>
      </c>
      <c r="T125" s="32" t="s">
        <v>1900</v>
      </c>
    </row>
    <row r="126" spans="1:20" x14ac:dyDescent="0.2">
      <c r="A126" t="s">
        <v>634</v>
      </c>
      <c r="B126" t="s">
        <v>15</v>
      </c>
      <c r="C126" t="s">
        <v>213</v>
      </c>
      <c r="D126" t="s">
        <v>935</v>
      </c>
      <c r="E126" t="s">
        <v>636</v>
      </c>
      <c r="F126" t="s">
        <v>16</v>
      </c>
      <c r="G126" s="32">
        <v>45301</v>
      </c>
      <c r="H126" t="s">
        <v>643</v>
      </c>
      <c r="I126" s="32"/>
      <c r="J126" t="s">
        <v>654</v>
      </c>
      <c r="K126" s="32">
        <v>45414</v>
      </c>
      <c r="L126" s="32">
        <v>46397</v>
      </c>
      <c r="M126" t="s">
        <v>639</v>
      </c>
      <c r="N126" t="s">
        <v>844</v>
      </c>
      <c r="O126" t="s">
        <v>637</v>
      </c>
      <c r="P126" t="s">
        <v>643</v>
      </c>
      <c r="Q126" t="s">
        <v>936</v>
      </c>
      <c r="R126" t="s">
        <v>937</v>
      </c>
      <c r="S126" t="s">
        <v>698</v>
      </c>
      <c r="T126" s="32" t="s">
        <v>1625</v>
      </c>
    </row>
    <row r="127" spans="1:20" x14ac:dyDescent="0.2">
      <c r="A127" t="s">
        <v>634</v>
      </c>
      <c r="B127" t="s">
        <v>15</v>
      </c>
      <c r="C127" t="s">
        <v>263</v>
      </c>
      <c r="D127" t="s">
        <v>938</v>
      </c>
      <c r="E127" t="s">
        <v>636</v>
      </c>
      <c r="F127" t="s">
        <v>16</v>
      </c>
      <c r="G127" s="32">
        <v>45301</v>
      </c>
      <c r="H127" t="s">
        <v>643</v>
      </c>
      <c r="I127" s="32"/>
      <c r="J127" t="s">
        <v>654</v>
      </c>
      <c r="K127" s="32">
        <v>45414</v>
      </c>
      <c r="L127" s="32">
        <v>46397</v>
      </c>
      <c r="M127" t="s">
        <v>639</v>
      </c>
      <c r="N127" t="s">
        <v>844</v>
      </c>
      <c r="O127" t="s">
        <v>637</v>
      </c>
      <c r="P127" t="s">
        <v>643</v>
      </c>
      <c r="Q127" t="s">
        <v>939</v>
      </c>
      <c r="R127" t="s">
        <v>776</v>
      </c>
      <c r="S127" t="s">
        <v>698</v>
      </c>
      <c r="T127" s="32" t="s">
        <v>1625</v>
      </c>
    </row>
    <row r="128" spans="1:20" x14ac:dyDescent="0.2">
      <c r="A128" t="s">
        <v>634</v>
      </c>
      <c r="B128" t="s">
        <v>15</v>
      </c>
      <c r="C128" t="s">
        <v>941</v>
      </c>
      <c r="D128" t="s">
        <v>940</v>
      </c>
      <c r="E128" t="s">
        <v>636</v>
      </c>
      <c r="F128" t="s">
        <v>16</v>
      </c>
      <c r="G128" s="32">
        <v>45301</v>
      </c>
      <c r="H128" t="s">
        <v>643</v>
      </c>
      <c r="I128" s="32"/>
      <c r="J128" t="s">
        <v>654</v>
      </c>
      <c r="K128" s="32">
        <v>45414</v>
      </c>
      <c r="L128" s="32">
        <v>46397</v>
      </c>
      <c r="M128" t="s">
        <v>639</v>
      </c>
      <c r="N128" t="s">
        <v>844</v>
      </c>
      <c r="O128" t="s">
        <v>637</v>
      </c>
      <c r="P128" t="s">
        <v>643</v>
      </c>
      <c r="Q128" t="s">
        <v>942</v>
      </c>
      <c r="R128" t="s">
        <v>943</v>
      </c>
      <c r="S128" t="s">
        <v>698</v>
      </c>
      <c r="T128" s="32" t="s">
        <v>1625</v>
      </c>
    </row>
    <row r="129" spans="1:20" x14ac:dyDescent="0.2">
      <c r="A129" t="s">
        <v>774</v>
      </c>
      <c r="B129" t="s">
        <v>26</v>
      </c>
      <c r="C129" t="s">
        <v>453</v>
      </c>
      <c r="D129" t="s">
        <v>775</v>
      </c>
      <c r="E129" t="s">
        <v>649</v>
      </c>
      <c r="F129" t="s">
        <v>16</v>
      </c>
      <c r="G129" s="32">
        <v>45399</v>
      </c>
      <c r="H129" t="s">
        <v>643</v>
      </c>
      <c r="I129" s="32"/>
      <c r="J129" t="s">
        <v>654</v>
      </c>
      <c r="K129" s="32">
        <v>45414</v>
      </c>
      <c r="L129" s="32">
        <v>46494</v>
      </c>
      <c r="M129" t="s">
        <v>639</v>
      </c>
      <c r="N129" t="s">
        <v>698</v>
      </c>
      <c r="O129" t="s">
        <v>673</v>
      </c>
      <c r="P129" t="s">
        <v>643</v>
      </c>
      <c r="Q129" t="s">
        <v>721</v>
      </c>
      <c r="R129" t="s">
        <v>776</v>
      </c>
      <c r="S129" t="s">
        <v>676</v>
      </c>
      <c r="T129" s="32" t="s">
        <v>1452</v>
      </c>
    </row>
    <row r="130" spans="1:20" x14ac:dyDescent="0.2">
      <c r="A130" t="s">
        <v>774</v>
      </c>
      <c r="B130" t="s">
        <v>26</v>
      </c>
      <c r="C130" t="s">
        <v>459</v>
      </c>
      <c r="D130" t="s">
        <v>1277</v>
      </c>
      <c r="E130" t="s">
        <v>636</v>
      </c>
      <c r="F130" t="s">
        <v>16</v>
      </c>
      <c r="G130" s="32">
        <v>45317</v>
      </c>
      <c r="H130" t="s">
        <v>643</v>
      </c>
      <c r="I130" s="32"/>
      <c r="J130" t="s">
        <v>654</v>
      </c>
      <c r="K130" s="32">
        <v>45414</v>
      </c>
      <c r="L130" s="32">
        <v>46413</v>
      </c>
      <c r="M130" t="s">
        <v>639</v>
      </c>
      <c r="N130" t="s">
        <v>698</v>
      </c>
      <c r="O130" t="s">
        <v>673</v>
      </c>
      <c r="P130" t="s">
        <v>643</v>
      </c>
      <c r="Q130" t="s">
        <v>643</v>
      </c>
      <c r="R130" t="s">
        <v>643</v>
      </c>
      <c r="S130" t="s">
        <v>643</v>
      </c>
      <c r="T130" s="32" t="s">
        <v>2162</v>
      </c>
    </row>
    <row r="131" spans="1:20" x14ac:dyDescent="0.2">
      <c r="A131" t="s">
        <v>690</v>
      </c>
      <c r="B131" t="s">
        <v>51</v>
      </c>
      <c r="C131" t="s">
        <v>537</v>
      </c>
      <c r="D131" t="s">
        <v>862</v>
      </c>
      <c r="E131" t="s">
        <v>636</v>
      </c>
      <c r="F131" t="s">
        <v>16</v>
      </c>
      <c r="G131" s="32">
        <v>45378</v>
      </c>
      <c r="H131" t="s">
        <v>643</v>
      </c>
      <c r="I131" s="32"/>
      <c r="J131" t="s">
        <v>654</v>
      </c>
      <c r="K131" s="32">
        <v>45414</v>
      </c>
      <c r="L131" s="32">
        <v>46473</v>
      </c>
      <c r="M131" t="s">
        <v>639</v>
      </c>
      <c r="N131" t="s">
        <v>692</v>
      </c>
      <c r="O131" t="s">
        <v>673</v>
      </c>
      <c r="P131" t="s">
        <v>643</v>
      </c>
      <c r="Q131" t="s">
        <v>643</v>
      </c>
      <c r="R131" t="s">
        <v>643</v>
      </c>
      <c r="S131" t="s">
        <v>643</v>
      </c>
      <c r="T131" s="32" t="s">
        <v>1552</v>
      </c>
    </row>
    <row r="132" spans="1:20" x14ac:dyDescent="0.2">
      <c r="A132" t="s">
        <v>667</v>
      </c>
      <c r="B132" t="s">
        <v>55</v>
      </c>
      <c r="C132" t="s">
        <v>570</v>
      </c>
      <c r="D132" t="s">
        <v>1126</v>
      </c>
      <c r="E132" t="s">
        <v>636</v>
      </c>
      <c r="F132" t="s">
        <v>34</v>
      </c>
      <c r="G132" s="32">
        <v>45390</v>
      </c>
      <c r="H132" t="s">
        <v>669</v>
      </c>
      <c r="I132" s="32">
        <v>45456</v>
      </c>
      <c r="J132" t="s">
        <v>673</v>
      </c>
      <c r="K132" s="32">
        <v>45463</v>
      </c>
      <c r="L132" s="32">
        <v>46551</v>
      </c>
      <c r="M132" t="s">
        <v>639</v>
      </c>
      <c r="N132" t="s">
        <v>828</v>
      </c>
      <c r="O132" t="s">
        <v>673</v>
      </c>
      <c r="P132" t="s">
        <v>683</v>
      </c>
      <c r="Q132" t="s">
        <v>643</v>
      </c>
      <c r="R132" t="s">
        <v>643</v>
      </c>
      <c r="S132" t="s">
        <v>643</v>
      </c>
      <c r="T132" s="32" t="s">
        <v>1709</v>
      </c>
    </row>
    <row r="133" spans="1:20" x14ac:dyDescent="0.2">
      <c r="A133" t="s">
        <v>667</v>
      </c>
      <c r="B133" t="s">
        <v>55</v>
      </c>
      <c r="C133" t="s">
        <v>212</v>
      </c>
      <c r="D133" t="s">
        <v>998</v>
      </c>
      <c r="E133" t="s">
        <v>636</v>
      </c>
      <c r="F133" t="s">
        <v>34</v>
      </c>
      <c r="G133" s="32">
        <v>45390</v>
      </c>
      <c r="H133" t="s">
        <v>669</v>
      </c>
      <c r="I133" s="32">
        <v>45456</v>
      </c>
      <c r="J133" t="s">
        <v>673</v>
      </c>
      <c r="K133" s="32">
        <v>45463</v>
      </c>
      <c r="L133" s="32">
        <v>46551</v>
      </c>
      <c r="M133" t="s">
        <v>639</v>
      </c>
      <c r="N133" t="s">
        <v>682</v>
      </c>
      <c r="O133" t="s">
        <v>673</v>
      </c>
      <c r="P133" t="s">
        <v>683</v>
      </c>
      <c r="Q133" t="s">
        <v>999</v>
      </c>
      <c r="R133" t="s">
        <v>1000</v>
      </c>
      <c r="S133" t="s">
        <v>654</v>
      </c>
      <c r="T133" s="32" t="s">
        <v>1709</v>
      </c>
    </row>
    <row r="134" spans="1:20" x14ac:dyDescent="0.2">
      <c r="A134" t="s">
        <v>690</v>
      </c>
      <c r="B134" t="s">
        <v>710</v>
      </c>
      <c r="C134" t="s">
        <v>542</v>
      </c>
      <c r="D134" t="s">
        <v>957</v>
      </c>
      <c r="E134" t="s">
        <v>636</v>
      </c>
      <c r="F134" t="s">
        <v>16</v>
      </c>
      <c r="G134" s="32">
        <v>45442</v>
      </c>
      <c r="H134" t="s">
        <v>692</v>
      </c>
      <c r="I134" s="32">
        <v>45447</v>
      </c>
      <c r="J134" t="s">
        <v>673</v>
      </c>
      <c r="K134" s="32">
        <v>45455</v>
      </c>
      <c r="L134" s="32">
        <v>46537</v>
      </c>
      <c r="M134" t="s">
        <v>639</v>
      </c>
      <c r="N134" t="s">
        <v>692</v>
      </c>
      <c r="O134" t="s">
        <v>673</v>
      </c>
      <c r="P134" t="s">
        <v>700</v>
      </c>
      <c r="Q134" t="s">
        <v>643</v>
      </c>
      <c r="R134" t="s">
        <v>643</v>
      </c>
      <c r="S134" t="s">
        <v>643</v>
      </c>
      <c r="T134" s="32" t="s">
        <v>1636</v>
      </c>
    </row>
    <row r="135" spans="1:20" x14ac:dyDescent="0.2">
      <c r="A135" t="s">
        <v>690</v>
      </c>
      <c r="B135" t="s">
        <v>710</v>
      </c>
      <c r="C135" t="s">
        <v>536</v>
      </c>
      <c r="D135" t="s">
        <v>931</v>
      </c>
      <c r="E135" t="s">
        <v>636</v>
      </c>
      <c r="F135" t="s">
        <v>16</v>
      </c>
      <c r="G135" s="32">
        <v>45341</v>
      </c>
      <c r="H135" t="s">
        <v>692</v>
      </c>
      <c r="I135" s="32">
        <v>45492</v>
      </c>
      <c r="J135" t="s">
        <v>673</v>
      </c>
      <c r="K135" s="32">
        <v>45509</v>
      </c>
      <c r="L135" s="32">
        <v>46437</v>
      </c>
      <c r="M135" t="s">
        <v>639</v>
      </c>
      <c r="N135" t="s">
        <v>724</v>
      </c>
      <c r="O135" t="s">
        <v>673</v>
      </c>
      <c r="P135" t="s">
        <v>713</v>
      </c>
      <c r="Q135" t="s">
        <v>714</v>
      </c>
      <c r="R135" t="s">
        <v>714</v>
      </c>
      <c r="S135" t="s">
        <v>654</v>
      </c>
      <c r="T135" s="32" t="s">
        <v>1632</v>
      </c>
    </row>
    <row r="136" spans="1:20" x14ac:dyDescent="0.2">
      <c r="A136" t="s">
        <v>690</v>
      </c>
      <c r="B136" t="s">
        <v>710</v>
      </c>
      <c r="C136" t="s">
        <v>196</v>
      </c>
      <c r="D136" t="s">
        <v>1114</v>
      </c>
      <c r="E136" t="s">
        <v>636</v>
      </c>
      <c r="F136" t="s">
        <v>664</v>
      </c>
      <c r="G136" s="32">
        <v>45436</v>
      </c>
      <c r="H136" t="s">
        <v>692</v>
      </c>
      <c r="I136" s="32">
        <v>45454</v>
      </c>
      <c r="J136" t="s">
        <v>673</v>
      </c>
      <c r="K136" s="32">
        <v>45455</v>
      </c>
      <c r="L136" s="32">
        <v>46531</v>
      </c>
      <c r="M136" t="s">
        <v>639</v>
      </c>
      <c r="N136" t="s">
        <v>692</v>
      </c>
      <c r="O136" t="s">
        <v>673</v>
      </c>
      <c r="P136" t="s">
        <v>700</v>
      </c>
      <c r="Q136" t="s">
        <v>643</v>
      </c>
      <c r="R136" t="s">
        <v>643</v>
      </c>
      <c r="S136" t="s">
        <v>643</v>
      </c>
      <c r="T136" s="32" t="s">
        <v>1906</v>
      </c>
    </row>
    <row r="137" spans="1:20" x14ac:dyDescent="0.2">
      <c r="A137" t="s">
        <v>634</v>
      </c>
      <c r="B137" t="s">
        <v>56</v>
      </c>
      <c r="C137" t="s">
        <v>378</v>
      </c>
      <c r="D137" t="s">
        <v>961</v>
      </c>
      <c r="E137" t="s">
        <v>636</v>
      </c>
      <c r="F137" t="s">
        <v>16</v>
      </c>
      <c r="G137" s="32">
        <v>45428</v>
      </c>
      <c r="H137" t="s">
        <v>698</v>
      </c>
      <c r="I137" s="32">
        <v>45495</v>
      </c>
      <c r="J137" t="s">
        <v>673</v>
      </c>
      <c r="K137" s="32">
        <v>45509</v>
      </c>
      <c r="L137" s="32">
        <v>46523</v>
      </c>
      <c r="M137" t="s">
        <v>639</v>
      </c>
      <c r="N137" t="s">
        <v>835</v>
      </c>
      <c r="O137" t="s">
        <v>673</v>
      </c>
      <c r="P137" t="s">
        <v>786</v>
      </c>
      <c r="Q137" t="s">
        <v>782</v>
      </c>
      <c r="R137" t="s">
        <v>783</v>
      </c>
      <c r="S137" t="s">
        <v>676</v>
      </c>
      <c r="T137" s="32" t="s">
        <v>1661</v>
      </c>
    </row>
    <row r="138" spans="1:20" x14ac:dyDescent="0.2">
      <c r="A138" t="s">
        <v>634</v>
      </c>
      <c r="B138" t="s">
        <v>56</v>
      </c>
      <c r="C138" t="s">
        <v>368</v>
      </c>
      <c r="D138" t="s">
        <v>962</v>
      </c>
      <c r="E138" t="s">
        <v>649</v>
      </c>
      <c r="F138" t="s">
        <v>34</v>
      </c>
      <c r="G138" s="32">
        <v>44866</v>
      </c>
      <c r="H138" t="s">
        <v>698</v>
      </c>
      <c r="I138" s="32">
        <v>45495</v>
      </c>
      <c r="J138" t="s">
        <v>673</v>
      </c>
      <c r="K138" s="32">
        <v>45509</v>
      </c>
      <c r="L138" s="32">
        <v>46523</v>
      </c>
      <c r="M138" t="s">
        <v>639</v>
      </c>
      <c r="N138" t="s">
        <v>963</v>
      </c>
      <c r="O138" t="s">
        <v>673</v>
      </c>
      <c r="P138" t="s">
        <v>786</v>
      </c>
      <c r="Q138" t="s">
        <v>964</v>
      </c>
      <c r="R138" t="s">
        <v>965</v>
      </c>
      <c r="S138" t="s">
        <v>676</v>
      </c>
      <c r="T138" s="32" t="s">
        <v>1665</v>
      </c>
    </row>
    <row r="139" spans="1:20" x14ac:dyDescent="0.2">
      <c r="A139" t="s">
        <v>906</v>
      </c>
      <c r="B139" t="s">
        <v>643</v>
      </c>
      <c r="C139" t="s">
        <v>101</v>
      </c>
      <c r="D139" t="s">
        <v>966</v>
      </c>
      <c r="E139" t="s">
        <v>2485</v>
      </c>
      <c r="F139" t="s">
        <v>925</v>
      </c>
      <c r="G139" s="32">
        <v>44307</v>
      </c>
      <c r="H139" t="s">
        <v>910</v>
      </c>
      <c r="I139" s="32">
        <v>46167</v>
      </c>
      <c r="J139" t="s">
        <v>2380</v>
      </c>
      <c r="K139" s="32">
        <v>46167</v>
      </c>
      <c r="L139" s="32">
        <v>46532</v>
      </c>
      <c r="M139" t="s">
        <v>639</v>
      </c>
      <c r="N139" t="s">
        <v>673</v>
      </c>
      <c r="O139" t="s">
        <v>839</v>
      </c>
      <c r="P139" t="s">
        <v>643</v>
      </c>
      <c r="Q139" t="s">
        <v>967</v>
      </c>
      <c r="R139" t="s">
        <v>968</v>
      </c>
      <c r="S139" t="s">
        <v>698</v>
      </c>
      <c r="T139" s="32" t="s">
        <v>1668</v>
      </c>
    </row>
    <row r="140" spans="1:20" x14ac:dyDescent="0.2">
      <c r="A140" t="s">
        <v>690</v>
      </c>
      <c r="B140" t="s">
        <v>51</v>
      </c>
      <c r="C140" t="s">
        <v>346</v>
      </c>
      <c r="D140" t="s">
        <v>699</v>
      </c>
      <c r="E140" t="s">
        <v>649</v>
      </c>
      <c r="F140" t="s">
        <v>16</v>
      </c>
      <c r="G140" s="32">
        <v>43785</v>
      </c>
      <c r="H140" t="s">
        <v>692</v>
      </c>
      <c r="I140" s="32">
        <v>45463</v>
      </c>
      <c r="J140" t="s">
        <v>673</v>
      </c>
      <c r="K140" s="32">
        <v>45463</v>
      </c>
      <c r="L140" s="32">
        <v>46558</v>
      </c>
      <c r="M140" t="s">
        <v>639</v>
      </c>
      <c r="N140" t="s">
        <v>692</v>
      </c>
      <c r="O140" t="s">
        <v>673</v>
      </c>
      <c r="P140" t="s">
        <v>700</v>
      </c>
      <c r="Q140" t="s">
        <v>696</v>
      </c>
      <c r="R140" t="s">
        <v>697</v>
      </c>
      <c r="S140" t="s">
        <v>698</v>
      </c>
      <c r="T140" s="32" t="s">
        <v>1357</v>
      </c>
    </row>
    <row r="141" spans="1:20" x14ac:dyDescent="0.2">
      <c r="A141" t="s">
        <v>690</v>
      </c>
      <c r="B141" t="s">
        <v>57</v>
      </c>
      <c r="C141" t="s">
        <v>645</v>
      </c>
      <c r="D141" t="s">
        <v>970</v>
      </c>
      <c r="E141" t="s">
        <v>636</v>
      </c>
      <c r="F141" t="s">
        <v>10</v>
      </c>
      <c r="G141" s="32">
        <v>45412</v>
      </c>
      <c r="H141" t="s">
        <v>839</v>
      </c>
      <c r="I141" s="32">
        <v>45680</v>
      </c>
      <c r="J141" t="s">
        <v>673</v>
      </c>
      <c r="K141" s="32">
        <v>45693</v>
      </c>
      <c r="L141" s="32">
        <v>46507</v>
      </c>
      <c r="M141" t="s">
        <v>639</v>
      </c>
      <c r="N141" t="s">
        <v>971</v>
      </c>
      <c r="O141" t="s">
        <v>673</v>
      </c>
      <c r="P141" t="s">
        <v>972</v>
      </c>
      <c r="Q141" t="s">
        <v>973</v>
      </c>
      <c r="R141" t="s">
        <v>973</v>
      </c>
      <c r="S141" t="s">
        <v>654</v>
      </c>
      <c r="T141" s="32" t="s">
        <v>1673</v>
      </c>
    </row>
    <row r="142" spans="1:20" x14ac:dyDescent="0.2">
      <c r="A142" t="s">
        <v>690</v>
      </c>
      <c r="B142" t="s">
        <v>51</v>
      </c>
      <c r="C142" t="s">
        <v>645</v>
      </c>
      <c r="D142" t="s">
        <v>691</v>
      </c>
      <c r="E142" t="s">
        <v>636</v>
      </c>
      <c r="F142" t="s">
        <v>10</v>
      </c>
      <c r="G142" s="32">
        <v>45414</v>
      </c>
      <c r="H142" t="s">
        <v>692</v>
      </c>
      <c r="I142" s="32">
        <v>45701</v>
      </c>
      <c r="J142" t="s">
        <v>643</v>
      </c>
      <c r="K142" s="32"/>
      <c r="L142" s="32">
        <v>46509</v>
      </c>
      <c r="M142" t="s">
        <v>693</v>
      </c>
      <c r="N142" t="s">
        <v>692</v>
      </c>
      <c r="O142" t="s">
        <v>673</v>
      </c>
      <c r="P142" t="s">
        <v>643</v>
      </c>
      <c r="Q142" t="s">
        <v>643</v>
      </c>
      <c r="R142" t="s">
        <v>643</v>
      </c>
      <c r="S142" t="s">
        <v>643</v>
      </c>
      <c r="T142" s="32" t="s">
        <v>1337</v>
      </c>
    </row>
    <row r="143" spans="1:20" x14ac:dyDescent="0.2">
      <c r="A143" t="s">
        <v>690</v>
      </c>
      <c r="B143" t="s">
        <v>710</v>
      </c>
      <c r="C143" t="s">
        <v>645</v>
      </c>
      <c r="D143" t="s">
        <v>711</v>
      </c>
      <c r="E143" t="s">
        <v>636</v>
      </c>
      <c r="F143" t="s">
        <v>10</v>
      </c>
      <c r="G143" s="32">
        <v>45421</v>
      </c>
      <c r="H143" t="s">
        <v>692</v>
      </c>
      <c r="I143" s="32">
        <v>45701</v>
      </c>
      <c r="J143" t="s">
        <v>673</v>
      </c>
      <c r="K143" s="32">
        <v>45762</v>
      </c>
      <c r="L143" s="32">
        <v>46516</v>
      </c>
      <c r="M143" t="s">
        <v>693</v>
      </c>
      <c r="N143" t="s">
        <v>712</v>
      </c>
      <c r="O143" t="s">
        <v>673</v>
      </c>
      <c r="P143" t="s">
        <v>713</v>
      </c>
      <c r="Q143" t="s">
        <v>714</v>
      </c>
      <c r="R143" t="s">
        <v>714</v>
      </c>
      <c r="S143" t="s">
        <v>654</v>
      </c>
      <c r="T143" s="32" t="s">
        <v>1345</v>
      </c>
    </row>
    <row r="144" spans="1:20" x14ac:dyDescent="0.2">
      <c r="A144" t="s">
        <v>690</v>
      </c>
      <c r="B144" t="s">
        <v>710</v>
      </c>
      <c r="C144" t="s">
        <v>160</v>
      </c>
      <c r="D144" t="s">
        <v>1113</v>
      </c>
      <c r="E144" t="s">
        <v>636</v>
      </c>
      <c r="F144" t="s">
        <v>664</v>
      </c>
      <c r="G144" s="32">
        <v>45330</v>
      </c>
      <c r="H144" t="s">
        <v>692</v>
      </c>
      <c r="I144" s="32">
        <v>45492</v>
      </c>
      <c r="J144" t="s">
        <v>673</v>
      </c>
      <c r="K144" s="32">
        <v>45509</v>
      </c>
      <c r="L144" s="32">
        <v>46426</v>
      </c>
      <c r="M144" t="s">
        <v>639</v>
      </c>
      <c r="N144" t="s">
        <v>712</v>
      </c>
      <c r="O144" t="s">
        <v>673</v>
      </c>
      <c r="P144" t="s">
        <v>713</v>
      </c>
      <c r="Q144" t="s">
        <v>643</v>
      </c>
      <c r="R144" t="s">
        <v>643</v>
      </c>
      <c r="S144" t="s">
        <v>643</v>
      </c>
      <c r="T144" s="32" t="s">
        <v>1378</v>
      </c>
    </row>
    <row r="145" spans="1:20" x14ac:dyDescent="0.2">
      <c r="A145" t="s">
        <v>690</v>
      </c>
      <c r="B145" t="s">
        <v>51</v>
      </c>
      <c r="C145" t="s">
        <v>538</v>
      </c>
      <c r="D145" t="s">
        <v>949</v>
      </c>
      <c r="E145" t="s">
        <v>636</v>
      </c>
      <c r="F145" t="s">
        <v>16</v>
      </c>
      <c r="G145" s="32">
        <v>45471</v>
      </c>
      <c r="H145" t="s">
        <v>692</v>
      </c>
      <c r="I145" s="32">
        <v>45471</v>
      </c>
      <c r="J145" t="s">
        <v>673</v>
      </c>
      <c r="K145" s="32">
        <v>45472</v>
      </c>
      <c r="L145" s="32">
        <v>46566</v>
      </c>
      <c r="M145" t="s">
        <v>639</v>
      </c>
      <c r="N145" t="s">
        <v>692</v>
      </c>
      <c r="O145" t="s">
        <v>673</v>
      </c>
      <c r="P145" t="s">
        <v>700</v>
      </c>
      <c r="Q145" t="s">
        <v>776</v>
      </c>
      <c r="R145" t="s">
        <v>950</v>
      </c>
      <c r="S145" t="s">
        <v>654</v>
      </c>
      <c r="T145" s="32" t="s">
        <v>1646</v>
      </c>
    </row>
    <row r="146" spans="1:20" x14ac:dyDescent="0.2">
      <c r="A146" t="s">
        <v>634</v>
      </c>
      <c r="B146" t="s">
        <v>52</v>
      </c>
      <c r="C146" t="s">
        <v>980</v>
      </c>
      <c r="D146" t="s">
        <v>979</v>
      </c>
      <c r="E146" t="s">
        <v>636</v>
      </c>
      <c r="F146" t="s">
        <v>27</v>
      </c>
      <c r="G146" s="32">
        <v>45351</v>
      </c>
      <c r="H146" t="s">
        <v>643</v>
      </c>
      <c r="I146" s="32"/>
      <c r="J146" t="s">
        <v>703</v>
      </c>
      <c r="K146" s="32">
        <v>45477</v>
      </c>
      <c r="L146" s="32">
        <v>46446</v>
      </c>
      <c r="M146" t="s">
        <v>639</v>
      </c>
      <c r="N146" t="s">
        <v>981</v>
      </c>
      <c r="O146" t="s">
        <v>846</v>
      </c>
      <c r="P146" t="s">
        <v>643</v>
      </c>
      <c r="Q146" t="s">
        <v>643</v>
      </c>
      <c r="R146" t="s">
        <v>643</v>
      </c>
      <c r="S146" t="s">
        <v>643</v>
      </c>
      <c r="T146" s="32" t="s">
        <v>1685</v>
      </c>
    </row>
    <row r="147" spans="1:20" x14ac:dyDescent="0.2">
      <c r="A147" t="s">
        <v>690</v>
      </c>
      <c r="B147" t="s">
        <v>51</v>
      </c>
      <c r="C147" t="s">
        <v>412</v>
      </c>
      <c r="D147" t="s">
        <v>1002</v>
      </c>
      <c r="E147" t="s">
        <v>636</v>
      </c>
      <c r="F147" t="s">
        <v>34</v>
      </c>
      <c r="G147" s="32">
        <v>45481</v>
      </c>
      <c r="H147" t="s">
        <v>692</v>
      </c>
      <c r="I147" s="32">
        <v>45491</v>
      </c>
      <c r="J147" t="s">
        <v>673</v>
      </c>
      <c r="K147" s="32">
        <v>45509</v>
      </c>
      <c r="L147" s="32">
        <v>46586</v>
      </c>
      <c r="M147" t="s">
        <v>639</v>
      </c>
      <c r="N147" t="s">
        <v>692</v>
      </c>
      <c r="O147" t="s">
        <v>673</v>
      </c>
      <c r="P147" t="s">
        <v>700</v>
      </c>
      <c r="Q147" t="s">
        <v>643</v>
      </c>
      <c r="R147" t="s">
        <v>643</v>
      </c>
      <c r="S147" t="s">
        <v>643</v>
      </c>
      <c r="T147" s="32" t="s">
        <v>1716</v>
      </c>
    </row>
    <row r="148" spans="1:20" x14ac:dyDescent="0.2">
      <c r="A148" t="s">
        <v>634</v>
      </c>
      <c r="B148" t="s">
        <v>15</v>
      </c>
      <c r="C148" t="s">
        <v>645</v>
      </c>
      <c r="D148" t="s">
        <v>983</v>
      </c>
      <c r="E148" t="s">
        <v>636</v>
      </c>
      <c r="F148" t="s">
        <v>10</v>
      </c>
      <c r="G148" s="32">
        <v>45408</v>
      </c>
      <c r="H148" t="s">
        <v>844</v>
      </c>
      <c r="I148" s="32">
        <v>45573</v>
      </c>
      <c r="J148" t="s">
        <v>637</v>
      </c>
      <c r="K148" s="32">
        <v>45925</v>
      </c>
      <c r="L148" s="32">
        <v>46290</v>
      </c>
      <c r="M148" t="s">
        <v>639</v>
      </c>
      <c r="N148" t="s">
        <v>844</v>
      </c>
      <c r="O148" t="s">
        <v>637</v>
      </c>
      <c r="P148" t="s">
        <v>984</v>
      </c>
      <c r="Q148" t="s">
        <v>643</v>
      </c>
      <c r="R148" t="s">
        <v>643</v>
      </c>
      <c r="S148" t="s">
        <v>643</v>
      </c>
      <c r="T148" s="32" t="s">
        <v>1688</v>
      </c>
    </row>
    <row r="149" spans="1:20" x14ac:dyDescent="0.2">
      <c r="A149" t="s">
        <v>634</v>
      </c>
      <c r="B149" t="s">
        <v>56</v>
      </c>
      <c r="C149" t="s">
        <v>645</v>
      </c>
      <c r="D149" t="s">
        <v>985</v>
      </c>
      <c r="E149" t="s">
        <v>636</v>
      </c>
      <c r="F149" t="s">
        <v>10</v>
      </c>
      <c r="G149" s="32">
        <v>45404</v>
      </c>
      <c r="H149" t="s">
        <v>698</v>
      </c>
      <c r="I149" s="32">
        <v>45495</v>
      </c>
      <c r="J149" t="s">
        <v>673</v>
      </c>
      <c r="K149" s="32">
        <v>45509</v>
      </c>
      <c r="L149" s="32">
        <v>46590</v>
      </c>
      <c r="M149" t="s">
        <v>639</v>
      </c>
      <c r="N149" t="s">
        <v>835</v>
      </c>
      <c r="O149" t="s">
        <v>673</v>
      </c>
      <c r="P149" t="s">
        <v>786</v>
      </c>
      <c r="Q149" t="s">
        <v>782</v>
      </c>
      <c r="R149" t="s">
        <v>783</v>
      </c>
      <c r="S149" t="s">
        <v>676</v>
      </c>
      <c r="T149" s="32" t="s">
        <v>1691</v>
      </c>
    </row>
    <row r="150" spans="1:20" x14ac:dyDescent="0.2">
      <c r="A150" t="s">
        <v>774</v>
      </c>
      <c r="B150" t="s">
        <v>26</v>
      </c>
      <c r="C150" t="s">
        <v>426</v>
      </c>
      <c r="D150" t="s">
        <v>777</v>
      </c>
      <c r="E150" t="s">
        <v>636</v>
      </c>
      <c r="F150" t="s">
        <v>16</v>
      </c>
      <c r="G150" s="32">
        <v>45490</v>
      </c>
      <c r="H150" t="s">
        <v>698</v>
      </c>
      <c r="I150" s="32">
        <v>45490</v>
      </c>
      <c r="J150" t="s">
        <v>673</v>
      </c>
      <c r="K150" s="32">
        <v>45509</v>
      </c>
      <c r="L150" s="32">
        <v>46585</v>
      </c>
      <c r="M150" t="s">
        <v>639</v>
      </c>
      <c r="N150" t="s">
        <v>698</v>
      </c>
      <c r="O150" t="s">
        <v>673</v>
      </c>
      <c r="P150" t="s">
        <v>778</v>
      </c>
      <c r="Q150" t="s">
        <v>779</v>
      </c>
      <c r="R150" t="s">
        <v>780</v>
      </c>
      <c r="S150" t="s">
        <v>703</v>
      </c>
      <c r="T150" s="32" t="s">
        <v>1455</v>
      </c>
    </row>
    <row r="151" spans="1:20" x14ac:dyDescent="0.2">
      <c r="A151" t="s">
        <v>774</v>
      </c>
      <c r="B151" t="s">
        <v>26</v>
      </c>
      <c r="C151" t="s">
        <v>130</v>
      </c>
      <c r="D151" t="s">
        <v>829</v>
      </c>
      <c r="E151" t="s">
        <v>649</v>
      </c>
      <c r="F151" t="s">
        <v>16</v>
      </c>
      <c r="G151" s="32">
        <v>44013</v>
      </c>
      <c r="H151" t="s">
        <v>698</v>
      </c>
      <c r="I151" s="32">
        <v>45491</v>
      </c>
      <c r="J151" t="s">
        <v>673</v>
      </c>
      <c r="K151" s="32">
        <v>45509</v>
      </c>
      <c r="L151" s="32">
        <v>46586</v>
      </c>
      <c r="M151" t="s">
        <v>639</v>
      </c>
      <c r="N151" t="s">
        <v>698</v>
      </c>
      <c r="O151" t="s">
        <v>673</v>
      </c>
      <c r="P151" t="s">
        <v>778</v>
      </c>
      <c r="Q151" t="s">
        <v>830</v>
      </c>
      <c r="R151" t="s">
        <v>831</v>
      </c>
      <c r="S151" t="s">
        <v>698</v>
      </c>
      <c r="T151" s="32" t="s">
        <v>1503</v>
      </c>
    </row>
    <row r="152" spans="1:20" x14ac:dyDescent="0.2">
      <c r="A152" t="s">
        <v>634</v>
      </c>
      <c r="B152" t="s">
        <v>61</v>
      </c>
      <c r="C152" t="s">
        <v>645</v>
      </c>
      <c r="D152" t="s">
        <v>644</v>
      </c>
      <c r="E152" t="s">
        <v>636</v>
      </c>
      <c r="F152" t="s">
        <v>10</v>
      </c>
      <c r="G152" s="32">
        <v>45419</v>
      </c>
      <c r="H152" t="s">
        <v>646</v>
      </c>
      <c r="I152" s="32">
        <v>45503</v>
      </c>
      <c r="J152" t="s">
        <v>637</v>
      </c>
      <c r="K152" s="32">
        <v>45505</v>
      </c>
      <c r="L152" s="32">
        <v>46514</v>
      </c>
      <c r="M152" t="s">
        <v>639</v>
      </c>
      <c r="N152" t="s">
        <v>646</v>
      </c>
      <c r="O152" t="s">
        <v>637</v>
      </c>
      <c r="P152" t="s">
        <v>647</v>
      </c>
      <c r="Q152" t="s">
        <v>643</v>
      </c>
      <c r="R152" t="s">
        <v>643</v>
      </c>
      <c r="S152" t="s">
        <v>643</v>
      </c>
      <c r="T152" s="32" t="s">
        <v>1300</v>
      </c>
    </row>
    <row r="153" spans="1:20" x14ac:dyDescent="0.2">
      <c r="A153" t="s">
        <v>690</v>
      </c>
      <c r="B153" t="s">
        <v>51</v>
      </c>
      <c r="C153" t="s">
        <v>545</v>
      </c>
      <c r="D153" t="s">
        <v>969</v>
      </c>
      <c r="E153" t="s">
        <v>636</v>
      </c>
      <c r="F153" t="s">
        <v>16</v>
      </c>
      <c r="G153" s="32">
        <v>45491</v>
      </c>
      <c r="H153" t="s">
        <v>692</v>
      </c>
      <c r="I153" s="32">
        <v>45502</v>
      </c>
      <c r="J153" t="s">
        <v>673</v>
      </c>
      <c r="K153" s="32">
        <v>45509</v>
      </c>
      <c r="L153" s="32">
        <v>46597</v>
      </c>
      <c r="M153" t="s">
        <v>639</v>
      </c>
      <c r="N153" t="s">
        <v>692</v>
      </c>
      <c r="O153" t="s">
        <v>673</v>
      </c>
      <c r="P153" t="s">
        <v>700</v>
      </c>
      <c r="Q153" t="s">
        <v>643</v>
      </c>
      <c r="R153" t="s">
        <v>643</v>
      </c>
      <c r="S153" t="s">
        <v>643</v>
      </c>
      <c r="T153" s="32" t="s">
        <v>1670</v>
      </c>
    </row>
    <row r="154" spans="1:20" x14ac:dyDescent="0.2">
      <c r="A154" t="s">
        <v>787</v>
      </c>
      <c r="B154" t="s">
        <v>63</v>
      </c>
      <c r="C154" t="s">
        <v>132</v>
      </c>
      <c r="D154" t="s">
        <v>993</v>
      </c>
      <c r="E154" t="s">
        <v>636</v>
      </c>
      <c r="F154" t="s">
        <v>664</v>
      </c>
      <c r="G154" s="32">
        <v>45363</v>
      </c>
      <c r="H154" t="s">
        <v>643</v>
      </c>
      <c r="I154" s="32"/>
      <c r="J154" t="s">
        <v>703</v>
      </c>
      <c r="K154" s="32">
        <v>45498</v>
      </c>
      <c r="L154" s="32">
        <v>46458</v>
      </c>
      <c r="M154" t="s">
        <v>639</v>
      </c>
      <c r="N154" t="s">
        <v>790</v>
      </c>
      <c r="O154" t="s">
        <v>790</v>
      </c>
      <c r="P154" t="s">
        <v>643</v>
      </c>
      <c r="Q154" t="s">
        <v>994</v>
      </c>
      <c r="R154" t="s">
        <v>995</v>
      </c>
      <c r="S154" t="s">
        <v>703</v>
      </c>
      <c r="T154" s="32" t="s">
        <v>1702</v>
      </c>
    </row>
    <row r="155" spans="1:20" x14ac:dyDescent="0.2">
      <c r="A155" t="s">
        <v>774</v>
      </c>
      <c r="B155" t="s">
        <v>26</v>
      </c>
      <c r="C155" t="s">
        <v>402</v>
      </c>
      <c r="D155" t="s">
        <v>1091</v>
      </c>
      <c r="E155" t="s">
        <v>636</v>
      </c>
      <c r="F155" t="s">
        <v>16</v>
      </c>
      <c r="G155" s="32">
        <v>45499</v>
      </c>
      <c r="H155" t="s">
        <v>698</v>
      </c>
      <c r="I155" s="32">
        <v>45502</v>
      </c>
      <c r="J155" t="s">
        <v>673</v>
      </c>
      <c r="K155" s="32">
        <v>45509</v>
      </c>
      <c r="L155" s="32">
        <v>46597</v>
      </c>
      <c r="M155" t="s">
        <v>639</v>
      </c>
      <c r="N155" t="s">
        <v>698</v>
      </c>
      <c r="O155" t="s">
        <v>673</v>
      </c>
      <c r="P155" t="s">
        <v>778</v>
      </c>
      <c r="Q155" t="s">
        <v>643</v>
      </c>
      <c r="R155" t="s">
        <v>643</v>
      </c>
      <c r="S155" t="s">
        <v>643</v>
      </c>
      <c r="T155" s="32" t="s">
        <v>1878</v>
      </c>
    </row>
    <row r="156" spans="1:20" x14ac:dyDescent="0.2">
      <c r="A156" t="s">
        <v>787</v>
      </c>
      <c r="B156" t="s">
        <v>54</v>
      </c>
      <c r="C156" t="s">
        <v>495</v>
      </c>
      <c r="D156" t="s">
        <v>997</v>
      </c>
      <c r="E156" t="s">
        <v>649</v>
      </c>
      <c r="F156" t="s">
        <v>16</v>
      </c>
      <c r="G156" s="32">
        <v>45404</v>
      </c>
      <c r="H156" t="s">
        <v>643</v>
      </c>
      <c r="I156" s="32"/>
      <c r="J156" t="s">
        <v>703</v>
      </c>
      <c r="K156" s="32">
        <v>45853</v>
      </c>
      <c r="L156" s="32">
        <v>46218</v>
      </c>
      <c r="M156" t="s">
        <v>639</v>
      </c>
      <c r="N156" t="s">
        <v>878</v>
      </c>
      <c r="O156" t="s">
        <v>790</v>
      </c>
      <c r="P156" t="s">
        <v>643</v>
      </c>
      <c r="Q156" t="s">
        <v>721</v>
      </c>
      <c r="R156" t="s">
        <v>776</v>
      </c>
      <c r="S156" t="s">
        <v>676</v>
      </c>
      <c r="T156" s="32" t="s">
        <v>1691</v>
      </c>
    </row>
    <row r="157" spans="1:20" x14ac:dyDescent="0.2">
      <c r="A157" t="s">
        <v>667</v>
      </c>
      <c r="B157" t="s">
        <v>55</v>
      </c>
      <c r="C157" t="s">
        <v>827</v>
      </c>
      <c r="D157" t="s">
        <v>826</v>
      </c>
      <c r="E157" t="s">
        <v>636</v>
      </c>
      <c r="F157" t="s">
        <v>16</v>
      </c>
      <c r="G157" s="32">
        <v>43933</v>
      </c>
      <c r="H157" t="s">
        <v>643</v>
      </c>
      <c r="I157" s="32"/>
      <c r="J157" t="s">
        <v>698</v>
      </c>
      <c r="K157" s="32">
        <v>45512</v>
      </c>
      <c r="L157" s="32">
        <v>45028</v>
      </c>
      <c r="M157" t="s">
        <v>639</v>
      </c>
      <c r="N157" t="s">
        <v>828</v>
      </c>
      <c r="O157" t="s">
        <v>673</v>
      </c>
      <c r="P157" t="s">
        <v>643</v>
      </c>
      <c r="Q157" t="s">
        <v>643</v>
      </c>
      <c r="R157" t="s">
        <v>643</v>
      </c>
      <c r="S157" t="s">
        <v>643</v>
      </c>
      <c r="T157" s="32" t="s">
        <v>1500</v>
      </c>
    </row>
    <row r="158" spans="1:20" x14ac:dyDescent="0.2">
      <c r="A158" t="s">
        <v>690</v>
      </c>
      <c r="B158" t="s">
        <v>51</v>
      </c>
      <c r="C158" t="s">
        <v>226</v>
      </c>
      <c r="D158" t="s">
        <v>771</v>
      </c>
      <c r="E158" t="s">
        <v>649</v>
      </c>
      <c r="F158" t="s">
        <v>16</v>
      </c>
      <c r="G158" s="32">
        <v>44993</v>
      </c>
      <c r="H158" t="s">
        <v>643</v>
      </c>
      <c r="I158" s="32"/>
      <c r="J158" t="s">
        <v>698</v>
      </c>
      <c r="K158" s="32">
        <v>45512</v>
      </c>
      <c r="L158" s="32">
        <v>46089</v>
      </c>
      <c r="M158" t="s">
        <v>639</v>
      </c>
      <c r="N158" t="s">
        <v>692</v>
      </c>
      <c r="O158" t="s">
        <v>673</v>
      </c>
      <c r="P158" t="s">
        <v>643</v>
      </c>
      <c r="Q158" t="s">
        <v>696</v>
      </c>
      <c r="R158" t="s">
        <v>697</v>
      </c>
      <c r="S158" t="s">
        <v>698</v>
      </c>
      <c r="T158" s="32" t="s">
        <v>1443</v>
      </c>
    </row>
    <row r="159" spans="1:20" x14ac:dyDescent="0.2">
      <c r="A159" t="s">
        <v>690</v>
      </c>
      <c r="B159" t="s">
        <v>51</v>
      </c>
      <c r="C159" t="s">
        <v>252</v>
      </c>
      <c r="D159" t="s">
        <v>852</v>
      </c>
      <c r="E159" t="s">
        <v>649</v>
      </c>
      <c r="F159" t="s">
        <v>16</v>
      </c>
      <c r="G159" s="32">
        <v>44994</v>
      </c>
      <c r="H159" t="s">
        <v>643</v>
      </c>
      <c r="I159" s="32"/>
      <c r="J159" t="s">
        <v>698</v>
      </c>
      <c r="K159" s="32">
        <v>45512</v>
      </c>
      <c r="L159" s="32">
        <v>46090</v>
      </c>
      <c r="M159" t="s">
        <v>639</v>
      </c>
      <c r="N159" t="s">
        <v>692</v>
      </c>
      <c r="O159" t="s">
        <v>673</v>
      </c>
      <c r="P159" t="s">
        <v>643</v>
      </c>
      <c r="Q159" t="s">
        <v>696</v>
      </c>
      <c r="R159" t="s">
        <v>697</v>
      </c>
      <c r="S159" t="s">
        <v>698</v>
      </c>
      <c r="T159" s="32" t="s">
        <v>1536</v>
      </c>
    </row>
    <row r="160" spans="1:20" x14ac:dyDescent="0.2">
      <c r="A160" t="s">
        <v>774</v>
      </c>
      <c r="B160" t="s">
        <v>26</v>
      </c>
      <c r="C160" t="s">
        <v>281</v>
      </c>
      <c r="D160" t="s">
        <v>1045</v>
      </c>
      <c r="E160" t="s">
        <v>649</v>
      </c>
      <c r="F160" t="s">
        <v>16</v>
      </c>
      <c r="G160" s="32">
        <v>43880</v>
      </c>
      <c r="H160" t="s">
        <v>643</v>
      </c>
      <c r="I160" s="32"/>
      <c r="J160" t="s">
        <v>698</v>
      </c>
      <c r="K160" s="32">
        <v>45512</v>
      </c>
      <c r="L160" s="32">
        <v>46595</v>
      </c>
      <c r="M160" t="s">
        <v>639</v>
      </c>
      <c r="N160" t="s">
        <v>698</v>
      </c>
      <c r="O160" t="s">
        <v>673</v>
      </c>
      <c r="P160" t="s">
        <v>643</v>
      </c>
      <c r="Q160" t="s">
        <v>721</v>
      </c>
      <c r="R160" t="s">
        <v>776</v>
      </c>
      <c r="S160" t="s">
        <v>676</v>
      </c>
      <c r="T160" s="32" t="s">
        <v>1780</v>
      </c>
    </row>
    <row r="161" spans="1:20" x14ac:dyDescent="0.2">
      <c r="A161" t="s">
        <v>1006</v>
      </c>
      <c r="B161" t="s">
        <v>643</v>
      </c>
      <c r="C161" t="s">
        <v>102</v>
      </c>
      <c r="D161" t="s">
        <v>1010</v>
      </c>
      <c r="E161" t="s">
        <v>649</v>
      </c>
      <c r="F161" t="s">
        <v>16</v>
      </c>
      <c r="G161" s="32">
        <v>44725</v>
      </c>
      <c r="H161" t="s">
        <v>727</v>
      </c>
      <c r="I161" s="32">
        <v>45733</v>
      </c>
      <c r="J161" t="s">
        <v>676</v>
      </c>
      <c r="K161" s="32">
        <v>45754</v>
      </c>
      <c r="L161" s="32">
        <v>46850</v>
      </c>
      <c r="M161" t="s">
        <v>639</v>
      </c>
      <c r="N161" t="s">
        <v>1011</v>
      </c>
      <c r="O161" t="s">
        <v>727</v>
      </c>
      <c r="P161" t="s">
        <v>1009</v>
      </c>
      <c r="Q161" t="s">
        <v>721</v>
      </c>
      <c r="R161" t="s">
        <v>929</v>
      </c>
      <c r="S161" t="s">
        <v>676</v>
      </c>
      <c r="T161" s="32" t="s">
        <v>1725</v>
      </c>
    </row>
    <row r="162" spans="1:20" x14ac:dyDescent="0.2">
      <c r="A162" t="s">
        <v>1006</v>
      </c>
      <c r="B162" t="s">
        <v>643</v>
      </c>
      <c r="C162" t="s">
        <v>345</v>
      </c>
      <c r="D162" t="s">
        <v>1012</v>
      </c>
      <c r="E162" t="s">
        <v>636</v>
      </c>
      <c r="F162" t="s">
        <v>16</v>
      </c>
      <c r="G162" s="32">
        <v>45415</v>
      </c>
      <c r="H162" t="s">
        <v>643</v>
      </c>
      <c r="I162" s="32"/>
      <c r="J162" t="s">
        <v>654</v>
      </c>
      <c r="K162" s="32">
        <v>45517</v>
      </c>
      <c r="L162" s="32">
        <v>46510</v>
      </c>
      <c r="M162" t="s">
        <v>639</v>
      </c>
      <c r="N162" t="s">
        <v>1013</v>
      </c>
      <c r="O162" t="s">
        <v>656</v>
      </c>
      <c r="P162" t="s">
        <v>643</v>
      </c>
      <c r="Q162" t="s">
        <v>643</v>
      </c>
      <c r="R162" t="s">
        <v>643</v>
      </c>
      <c r="S162" t="s">
        <v>643</v>
      </c>
      <c r="T162" s="32" t="s">
        <v>1729</v>
      </c>
    </row>
    <row r="163" spans="1:20" x14ac:dyDescent="0.2">
      <c r="A163" t="s">
        <v>1006</v>
      </c>
      <c r="B163" t="s">
        <v>643</v>
      </c>
      <c r="C163" t="s">
        <v>221</v>
      </c>
      <c r="D163" t="s">
        <v>1046</v>
      </c>
      <c r="E163" t="s">
        <v>636</v>
      </c>
      <c r="F163" t="s">
        <v>16</v>
      </c>
      <c r="G163" s="32">
        <v>45280</v>
      </c>
      <c r="H163" t="s">
        <v>643</v>
      </c>
      <c r="I163" s="32"/>
      <c r="J163" t="s">
        <v>654</v>
      </c>
      <c r="K163" s="32">
        <v>45518</v>
      </c>
      <c r="L163" s="32">
        <v>46376</v>
      </c>
      <c r="M163" t="s">
        <v>639</v>
      </c>
      <c r="N163" t="s">
        <v>1047</v>
      </c>
      <c r="O163" t="s">
        <v>656</v>
      </c>
      <c r="P163" t="s">
        <v>643</v>
      </c>
      <c r="Q163" t="s">
        <v>643</v>
      </c>
      <c r="R163" t="s">
        <v>643</v>
      </c>
      <c r="S163" t="s">
        <v>643</v>
      </c>
      <c r="T163" s="32" t="s">
        <v>1784</v>
      </c>
    </row>
    <row r="164" spans="1:20" x14ac:dyDescent="0.2">
      <c r="A164" t="s">
        <v>1006</v>
      </c>
      <c r="B164" t="s">
        <v>643</v>
      </c>
      <c r="C164" t="s">
        <v>247</v>
      </c>
      <c r="D164" t="s">
        <v>1048</v>
      </c>
      <c r="E164" t="s">
        <v>636</v>
      </c>
      <c r="F164" t="s">
        <v>16</v>
      </c>
      <c r="G164" s="32">
        <v>45246</v>
      </c>
      <c r="H164" t="s">
        <v>643</v>
      </c>
      <c r="I164" s="32"/>
      <c r="J164" t="s">
        <v>654</v>
      </c>
      <c r="K164" s="32">
        <v>45517</v>
      </c>
      <c r="L164" s="32">
        <v>46342</v>
      </c>
      <c r="M164" t="s">
        <v>639</v>
      </c>
      <c r="N164" t="s">
        <v>1047</v>
      </c>
      <c r="O164" t="s">
        <v>656</v>
      </c>
      <c r="P164" t="s">
        <v>643</v>
      </c>
      <c r="Q164" t="s">
        <v>643</v>
      </c>
      <c r="R164" t="s">
        <v>643</v>
      </c>
      <c r="S164" t="s">
        <v>643</v>
      </c>
      <c r="T164" s="32" t="s">
        <v>1787</v>
      </c>
    </row>
    <row r="165" spans="1:20" x14ac:dyDescent="0.2">
      <c r="A165" t="s">
        <v>1006</v>
      </c>
      <c r="B165" t="s">
        <v>643</v>
      </c>
      <c r="C165" t="s">
        <v>271</v>
      </c>
      <c r="D165" t="s">
        <v>1139</v>
      </c>
      <c r="E165" t="s">
        <v>636</v>
      </c>
      <c r="F165" t="s">
        <v>16</v>
      </c>
      <c r="G165" s="32">
        <v>45246</v>
      </c>
      <c r="H165" t="s">
        <v>643</v>
      </c>
      <c r="I165" s="32"/>
      <c r="J165" t="s">
        <v>654</v>
      </c>
      <c r="K165" s="32">
        <v>45517</v>
      </c>
      <c r="L165" s="32">
        <v>46342</v>
      </c>
      <c r="M165" t="s">
        <v>639</v>
      </c>
      <c r="N165" t="s">
        <v>1013</v>
      </c>
      <c r="O165" t="s">
        <v>656</v>
      </c>
      <c r="P165" t="s">
        <v>643</v>
      </c>
      <c r="Q165" t="s">
        <v>643</v>
      </c>
      <c r="R165" t="s">
        <v>643</v>
      </c>
      <c r="S165" t="s">
        <v>643</v>
      </c>
      <c r="T165" s="32" t="s">
        <v>1787</v>
      </c>
    </row>
    <row r="166" spans="1:20" x14ac:dyDescent="0.2">
      <c r="A166" t="s">
        <v>1006</v>
      </c>
      <c r="B166" t="s">
        <v>643</v>
      </c>
      <c r="C166" t="s">
        <v>313</v>
      </c>
      <c r="D166" t="s">
        <v>1141</v>
      </c>
      <c r="E166" t="s">
        <v>636</v>
      </c>
      <c r="F166" t="s">
        <v>16</v>
      </c>
      <c r="G166" s="32">
        <v>45265</v>
      </c>
      <c r="H166" t="s">
        <v>643</v>
      </c>
      <c r="I166" s="32"/>
      <c r="J166" t="s">
        <v>654</v>
      </c>
      <c r="K166" s="32">
        <v>45517</v>
      </c>
      <c r="L166" s="32">
        <v>46361</v>
      </c>
      <c r="M166" t="s">
        <v>639</v>
      </c>
      <c r="N166" t="s">
        <v>1047</v>
      </c>
      <c r="O166" t="s">
        <v>656</v>
      </c>
      <c r="P166" t="s">
        <v>643</v>
      </c>
      <c r="Q166" t="s">
        <v>643</v>
      </c>
      <c r="R166" t="s">
        <v>643</v>
      </c>
      <c r="S166" t="s">
        <v>643</v>
      </c>
      <c r="T166" s="32" t="s">
        <v>1943</v>
      </c>
    </row>
    <row r="167" spans="1:20" x14ac:dyDescent="0.2">
      <c r="A167" t="s">
        <v>1006</v>
      </c>
      <c r="B167" t="s">
        <v>643</v>
      </c>
      <c r="C167" t="s">
        <v>329</v>
      </c>
      <c r="D167" t="s">
        <v>1142</v>
      </c>
      <c r="E167" t="s">
        <v>636</v>
      </c>
      <c r="F167" t="s">
        <v>16</v>
      </c>
      <c r="G167" s="32">
        <v>45315</v>
      </c>
      <c r="H167" t="s">
        <v>643</v>
      </c>
      <c r="I167" s="32"/>
      <c r="J167" t="s">
        <v>654</v>
      </c>
      <c r="K167" s="32">
        <v>45517</v>
      </c>
      <c r="L167" s="32">
        <v>46411</v>
      </c>
      <c r="M167" t="s">
        <v>639</v>
      </c>
      <c r="N167" t="s">
        <v>1047</v>
      </c>
      <c r="O167" t="s">
        <v>656</v>
      </c>
      <c r="P167" t="s">
        <v>643</v>
      </c>
      <c r="Q167" t="s">
        <v>643</v>
      </c>
      <c r="R167" t="s">
        <v>643</v>
      </c>
      <c r="S167" t="s">
        <v>643</v>
      </c>
      <c r="T167" s="32" t="s">
        <v>1946</v>
      </c>
    </row>
    <row r="168" spans="1:20" x14ac:dyDescent="0.2">
      <c r="A168" t="s">
        <v>1006</v>
      </c>
      <c r="B168" t="s">
        <v>643</v>
      </c>
      <c r="C168" t="s">
        <v>388</v>
      </c>
      <c r="D168" t="s">
        <v>1144</v>
      </c>
      <c r="E168" t="s">
        <v>636</v>
      </c>
      <c r="F168" t="s">
        <v>664</v>
      </c>
      <c r="G168" s="32">
        <v>45222</v>
      </c>
      <c r="H168" t="s">
        <v>643</v>
      </c>
      <c r="I168" s="32"/>
      <c r="J168" t="s">
        <v>654</v>
      </c>
      <c r="K168" s="32">
        <v>45517</v>
      </c>
      <c r="L168" s="32">
        <v>46318</v>
      </c>
      <c r="M168" t="s">
        <v>639</v>
      </c>
      <c r="N168" t="s">
        <v>1047</v>
      </c>
      <c r="O168" t="s">
        <v>656</v>
      </c>
      <c r="P168" t="s">
        <v>643</v>
      </c>
      <c r="Q168" t="s">
        <v>714</v>
      </c>
      <c r="R168" t="s">
        <v>714</v>
      </c>
      <c r="S168" t="s">
        <v>654</v>
      </c>
      <c r="T168" s="32" t="s">
        <v>1368</v>
      </c>
    </row>
    <row r="169" spans="1:20" x14ac:dyDescent="0.2">
      <c r="A169" t="s">
        <v>1006</v>
      </c>
      <c r="B169" t="s">
        <v>643</v>
      </c>
      <c r="C169" t="s">
        <v>273</v>
      </c>
      <c r="D169" t="s">
        <v>1190</v>
      </c>
      <c r="E169" t="s">
        <v>649</v>
      </c>
      <c r="F169" t="s">
        <v>34</v>
      </c>
      <c r="G169" s="32">
        <v>44725</v>
      </c>
      <c r="H169" t="s">
        <v>643</v>
      </c>
      <c r="I169" s="32"/>
      <c r="J169" t="s">
        <v>654</v>
      </c>
      <c r="K169" s="32">
        <v>45517</v>
      </c>
      <c r="L169" s="32">
        <v>46363</v>
      </c>
      <c r="M169" t="s">
        <v>639</v>
      </c>
      <c r="N169" t="s">
        <v>1047</v>
      </c>
      <c r="O169" t="s">
        <v>656</v>
      </c>
      <c r="P169" t="s">
        <v>643</v>
      </c>
      <c r="Q169" t="s">
        <v>714</v>
      </c>
      <c r="R169" t="s">
        <v>714</v>
      </c>
      <c r="S169" t="s">
        <v>654</v>
      </c>
      <c r="T169" s="32" t="s">
        <v>1725</v>
      </c>
    </row>
    <row r="170" spans="1:20" x14ac:dyDescent="0.2">
      <c r="A170" t="s">
        <v>1006</v>
      </c>
      <c r="B170" t="s">
        <v>643</v>
      </c>
      <c r="C170" t="s">
        <v>293</v>
      </c>
      <c r="D170" t="s">
        <v>1274</v>
      </c>
      <c r="E170" t="s">
        <v>636</v>
      </c>
      <c r="F170" t="s">
        <v>34</v>
      </c>
      <c r="G170" s="32">
        <v>44725</v>
      </c>
      <c r="H170" t="s">
        <v>643</v>
      </c>
      <c r="I170" s="32"/>
      <c r="J170" t="s">
        <v>654</v>
      </c>
      <c r="K170" s="32">
        <v>45517</v>
      </c>
      <c r="L170" s="32">
        <v>45821</v>
      </c>
      <c r="M170" t="s">
        <v>639</v>
      </c>
      <c r="N170" t="s">
        <v>1047</v>
      </c>
      <c r="O170" t="s">
        <v>656</v>
      </c>
      <c r="P170" t="s">
        <v>643</v>
      </c>
      <c r="Q170" t="s">
        <v>714</v>
      </c>
      <c r="R170" t="s">
        <v>714</v>
      </c>
      <c r="S170" t="s">
        <v>654</v>
      </c>
      <c r="T170" s="32" t="s">
        <v>1725</v>
      </c>
    </row>
    <row r="171" spans="1:20" x14ac:dyDescent="0.2">
      <c r="A171" t="s">
        <v>774</v>
      </c>
      <c r="B171" t="s">
        <v>26</v>
      </c>
      <c r="C171" t="s">
        <v>257</v>
      </c>
      <c r="D171" t="s">
        <v>1043</v>
      </c>
      <c r="E171" t="s">
        <v>636</v>
      </c>
      <c r="F171" t="s">
        <v>925</v>
      </c>
      <c r="G171" s="32">
        <v>45537</v>
      </c>
      <c r="H171" t="s">
        <v>643</v>
      </c>
      <c r="I171" s="32"/>
      <c r="J171" t="s">
        <v>654</v>
      </c>
      <c r="K171" s="32">
        <v>45554</v>
      </c>
      <c r="L171" s="32">
        <v>46632</v>
      </c>
      <c r="M171" t="s">
        <v>639</v>
      </c>
      <c r="N171" t="s">
        <v>1044</v>
      </c>
      <c r="O171" t="s">
        <v>656</v>
      </c>
      <c r="P171" t="s">
        <v>643</v>
      </c>
      <c r="Q171" t="s">
        <v>643</v>
      </c>
      <c r="R171" t="s">
        <v>643</v>
      </c>
      <c r="S171" t="s">
        <v>643</v>
      </c>
      <c r="T171" s="32" t="s">
        <v>1777</v>
      </c>
    </row>
    <row r="172" spans="1:20" x14ac:dyDescent="0.2">
      <c r="A172" t="s">
        <v>634</v>
      </c>
      <c r="B172" t="s">
        <v>56</v>
      </c>
      <c r="C172" t="s">
        <v>324</v>
      </c>
      <c r="D172" t="s">
        <v>1024</v>
      </c>
      <c r="E172" t="s">
        <v>636</v>
      </c>
      <c r="F172" t="s">
        <v>664</v>
      </c>
      <c r="G172" s="32">
        <v>45488</v>
      </c>
      <c r="H172" t="s">
        <v>785</v>
      </c>
      <c r="I172" s="32">
        <v>45944</v>
      </c>
      <c r="J172" t="s">
        <v>637</v>
      </c>
      <c r="K172" s="32">
        <v>46154</v>
      </c>
      <c r="L172" s="32">
        <v>46519</v>
      </c>
      <c r="M172" t="s">
        <v>639</v>
      </c>
      <c r="N172" t="s">
        <v>785</v>
      </c>
      <c r="O172" t="s">
        <v>637</v>
      </c>
      <c r="P172" t="s">
        <v>786</v>
      </c>
      <c r="Q172" t="s">
        <v>721</v>
      </c>
      <c r="R172" t="s">
        <v>1025</v>
      </c>
      <c r="S172" t="s">
        <v>676</v>
      </c>
      <c r="T172" s="32" t="s">
        <v>1746</v>
      </c>
    </row>
    <row r="173" spans="1:20" x14ac:dyDescent="0.2">
      <c r="A173" t="s">
        <v>634</v>
      </c>
      <c r="B173" t="s">
        <v>61</v>
      </c>
      <c r="C173" t="s">
        <v>516</v>
      </c>
      <c r="D173" t="s">
        <v>1052</v>
      </c>
      <c r="E173" t="s">
        <v>636</v>
      </c>
      <c r="F173" t="s">
        <v>16</v>
      </c>
      <c r="G173" s="32">
        <v>45132</v>
      </c>
      <c r="H173" t="s">
        <v>646</v>
      </c>
      <c r="I173" s="32">
        <v>45936</v>
      </c>
      <c r="J173" t="s">
        <v>637</v>
      </c>
      <c r="K173" s="32">
        <v>46154</v>
      </c>
      <c r="L173" s="32">
        <v>46519</v>
      </c>
      <c r="M173" t="s">
        <v>639</v>
      </c>
      <c r="N173" t="s">
        <v>646</v>
      </c>
      <c r="O173" t="s">
        <v>637</v>
      </c>
      <c r="P173" t="s">
        <v>647</v>
      </c>
      <c r="Q173" t="s">
        <v>721</v>
      </c>
      <c r="R173" t="s">
        <v>929</v>
      </c>
      <c r="S173" t="s">
        <v>676</v>
      </c>
      <c r="T173" s="32" t="s">
        <v>1792</v>
      </c>
    </row>
    <row r="174" spans="1:20" x14ac:dyDescent="0.2">
      <c r="A174" t="s">
        <v>787</v>
      </c>
      <c r="B174" t="s">
        <v>36</v>
      </c>
      <c r="C174" t="s">
        <v>174</v>
      </c>
      <c r="D174" t="s">
        <v>1031</v>
      </c>
      <c r="E174" t="s">
        <v>649</v>
      </c>
      <c r="F174" t="s">
        <v>16</v>
      </c>
      <c r="G174" s="32">
        <v>45334</v>
      </c>
      <c r="H174" t="s">
        <v>643</v>
      </c>
      <c r="I174" s="32"/>
      <c r="J174" t="s">
        <v>703</v>
      </c>
      <c r="K174" s="32">
        <v>45853</v>
      </c>
      <c r="L174" s="32">
        <v>46218</v>
      </c>
      <c r="M174" t="s">
        <v>639</v>
      </c>
      <c r="N174" t="s">
        <v>855</v>
      </c>
      <c r="O174" t="s">
        <v>790</v>
      </c>
      <c r="P174" t="s">
        <v>643</v>
      </c>
      <c r="Q174" t="s">
        <v>881</v>
      </c>
      <c r="R174" t="s">
        <v>882</v>
      </c>
      <c r="S174" t="s">
        <v>703</v>
      </c>
      <c r="T174" s="32" t="s">
        <v>1753</v>
      </c>
    </row>
    <row r="175" spans="1:20" x14ac:dyDescent="0.2">
      <c r="A175" t="s">
        <v>787</v>
      </c>
      <c r="B175" t="s">
        <v>36</v>
      </c>
      <c r="C175" t="s">
        <v>1033</v>
      </c>
      <c r="D175" t="s">
        <v>1032</v>
      </c>
      <c r="E175" t="s">
        <v>636</v>
      </c>
      <c r="F175" t="s">
        <v>16</v>
      </c>
      <c r="G175" s="32">
        <v>45527</v>
      </c>
      <c r="H175" t="s">
        <v>855</v>
      </c>
      <c r="I175" s="32">
        <v>45558</v>
      </c>
      <c r="J175" t="s">
        <v>790</v>
      </c>
      <c r="K175" s="32">
        <v>45561</v>
      </c>
      <c r="L175" s="32">
        <v>46653</v>
      </c>
      <c r="M175" t="s">
        <v>639</v>
      </c>
      <c r="N175" t="s">
        <v>855</v>
      </c>
      <c r="O175" t="s">
        <v>790</v>
      </c>
      <c r="P175" t="s">
        <v>857</v>
      </c>
      <c r="Q175" t="s">
        <v>643</v>
      </c>
      <c r="R175" t="s">
        <v>643</v>
      </c>
      <c r="S175" t="s">
        <v>643</v>
      </c>
      <c r="T175" s="32" t="s">
        <v>1755</v>
      </c>
    </row>
    <row r="176" spans="1:20" x14ac:dyDescent="0.2">
      <c r="A176" t="s">
        <v>787</v>
      </c>
      <c r="B176" t="s">
        <v>36</v>
      </c>
      <c r="C176" t="s">
        <v>258</v>
      </c>
      <c r="D176" t="s">
        <v>1034</v>
      </c>
      <c r="E176" t="s">
        <v>636</v>
      </c>
      <c r="F176" t="s">
        <v>16</v>
      </c>
      <c r="G176" s="32">
        <v>45527</v>
      </c>
      <c r="H176" t="s">
        <v>855</v>
      </c>
      <c r="I176" s="32">
        <v>45558</v>
      </c>
      <c r="J176" t="s">
        <v>790</v>
      </c>
      <c r="K176" s="32">
        <v>45630</v>
      </c>
      <c r="L176" s="32">
        <v>46653</v>
      </c>
      <c r="M176" t="s">
        <v>639</v>
      </c>
      <c r="N176" t="s">
        <v>855</v>
      </c>
      <c r="O176" t="s">
        <v>790</v>
      </c>
      <c r="P176" t="s">
        <v>857</v>
      </c>
      <c r="Q176" t="s">
        <v>643</v>
      </c>
      <c r="R176" t="s">
        <v>643</v>
      </c>
      <c r="S176" t="s">
        <v>643</v>
      </c>
      <c r="T176" s="32" t="s">
        <v>1755</v>
      </c>
    </row>
    <row r="177" spans="1:20" x14ac:dyDescent="0.2">
      <c r="A177" t="s">
        <v>787</v>
      </c>
      <c r="B177" t="s">
        <v>36</v>
      </c>
      <c r="C177" t="s">
        <v>282</v>
      </c>
      <c r="D177" t="s">
        <v>1035</v>
      </c>
      <c r="E177" t="s">
        <v>636</v>
      </c>
      <c r="F177" t="s">
        <v>16</v>
      </c>
      <c r="G177" s="32">
        <v>45496</v>
      </c>
      <c r="H177" t="s">
        <v>855</v>
      </c>
      <c r="I177" s="32">
        <v>45558</v>
      </c>
      <c r="J177" t="s">
        <v>790</v>
      </c>
      <c r="K177" s="32">
        <v>45561</v>
      </c>
      <c r="L177" s="32">
        <v>47019</v>
      </c>
      <c r="M177" t="s">
        <v>639</v>
      </c>
      <c r="N177" t="s">
        <v>855</v>
      </c>
      <c r="O177" t="s">
        <v>790</v>
      </c>
      <c r="P177" t="s">
        <v>857</v>
      </c>
      <c r="Q177" t="s">
        <v>643</v>
      </c>
      <c r="R177" t="s">
        <v>643</v>
      </c>
      <c r="S177" t="s">
        <v>643</v>
      </c>
      <c r="T177" s="32" t="s">
        <v>1761</v>
      </c>
    </row>
    <row r="178" spans="1:20" x14ac:dyDescent="0.2">
      <c r="A178" t="s">
        <v>787</v>
      </c>
      <c r="B178" t="s">
        <v>36</v>
      </c>
      <c r="C178" t="s">
        <v>234</v>
      </c>
      <c r="D178" t="s">
        <v>1036</v>
      </c>
      <c r="E178" t="s">
        <v>636</v>
      </c>
      <c r="F178" t="s">
        <v>16</v>
      </c>
      <c r="G178" s="32">
        <v>45527</v>
      </c>
      <c r="H178" t="s">
        <v>855</v>
      </c>
      <c r="I178" s="32">
        <v>45558</v>
      </c>
      <c r="J178" t="s">
        <v>790</v>
      </c>
      <c r="K178" s="32">
        <v>45561</v>
      </c>
      <c r="L178" s="32">
        <v>46653</v>
      </c>
      <c r="M178" t="s">
        <v>639</v>
      </c>
      <c r="N178" t="s">
        <v>855</v>
      </c>
      <c r="O178" t="s">
        <v>790</v>
      </c>
      <c r="P178" t="s">
        <v>857</v>
      </c>
      <c r="Q178" t="s">
        <v>1037</v>
      </c>
      <c r="R178" t="s">
        <v>1038</v>
      </c>
      <c r="S178" t="s">
        <v>703</v>
      </c>
      <c r="T178" s="32" t="s">
        <v>1755</v>
      </c>
    </row>
    <row r="179" spans="1:20" x14ac:dyDescent="0.2">
      <c r="A179" t="s">
        <v>690</v>
      </c>
      <c r="B179" t="s">
        <v>710</v>
      </c>
      <c r="C179" t="s">
        <v>539</v>
      </c>
      <c r="D179" t="s">
        <v>932</v>
      </c>
      <c r="E179" t="s">
        <v>636</v>
      </c>
      <c r="F179" t="s">
        <v>16</v>
      </c>
      <c r="G179" s="32">
        <v>45442</v>
      </c>
      <c r="H179" t="s">
        <v>692</v>
      </c>
      <c r="I179" s="32">
        <v>45701</v>
      </c>
      <c r="J179" t="s">
        <v>673</v>
      </c>
      <c r="K179" s="32">
        <v>45762</v>
      </c>
      <c r="L179" s="32">
        <v>46127</v>
      </c>
      <c r="M179" t="s">
        <v>639</v>
      </c>
      <c r="N179" t="s">
        <v>724</v>
      </c>
      <c r="O179" t="s">
        <v>673</v>
      </c>
      <c r="P179" t="s">
        <v>713</v>
      </c>
      <c r="Q179" t="s">
        <v>933</v>
      </c>
      <c r="R179" t="s">
        <v>934</v>
      </c>
      <c r="S179" t="s">
        <v>654</v>
      </c>
      <c r="T179" s="32" t="s">
        <v>1636</v>
      </c>
    </row>
    <row r="180" spans="1:20" x14ac:dyDescent="0.2">
      <c r="A180" t="s">
        <v>690</v>
      </c>
      <c r="B180" t="s">
        <v>710</v>
      </c>
      <c r="C180" t="s">
        <v>540</v>
      </c>
      <c r="D180" t="s">
        <v>955</v>
      </c>
      <c r="E180" t="s">
        <v>636</v>
      </c>
      <c r="F180" t="s">
        <v>16</v>
      </c>
      <c r="G180" s="32">
        <v>45442</v>
      </c>
      <c r="H180" t="s">
        <v>692</v>
      </c>
      <c r="I180" s="32">
        <v>45701</v>
      </c>
      <c r="J180" t="s">
        <v>673</v>
      </c>
      <c r="K180" s="32">
        <v>45762</v>
      </c>
      <c r="L180" s="32">
        <v>46127</v>
      </c>
      <c r="M180" t="s">
        <v>639</v>
      </c>
      <c r="N180" t="s">
        <v>724</v>
      </c>
      <c r="O180" t="s">
        <v>673</v>
      </c>
      <c r="P180" t="s">
        <v>713</v>
      </c>
      <c r="Q180" t="s">
        <v>643</v>
      </c>
      <c r="R180" t="s">
        <v>643</v>
      </c>
      <c r="S180" t="s">
        <v>643</v>
      </c>
      <c r="T180" s="32" t="s">
        <v>1636</v>
      </c>
    </row>
    <row r="181" spans="1:20" x14ac:dyDescent="0.2">
      <c r="A181" t="s">
        <v>690</v>
      </c>
      <c r="B181" t="s">
        <v>710</v>
      </c>
      <c r="C181" t="s">
        <v>541</v>
      </c>
      <c r="D181" t="s">
        <v>956</v>
      </c>
      <c r="E181" t="s">
        <v>636</v>
      </c>
      <c r="F181" t="s">
        <v>16</v>
      </c>
      <c r="G181" s="32">
        <v>45442</v>
      </c>
      <c r="H181" t="s">
        <v>692</v>
      </c>
      <c r="I181" s="32">
        <v>45701</v>
      </c>
      <c r="J181" t="s">
        <v>673</v>
      </c>
      <c r="K181" s="32">
        <v>45762</v>
      </c>
      <c r="L181" s="32">
        <v>46127</v>
      </c>
      <c r="M181" t="s">
        <v>639</v>
      </c>
      <c r="N181" t="s">
        <v>724</v>
      </c>
      <c r="O181" t="s">
        <v>673</v>
      </c>
      <c r="P181" t="s">
        <v>713</v>
      </c>
      <c r="Q181" t="s">
        <v>643</v>
      </c>
      <c r="R181" t="s">
        <v>643</v>
      </c>
      <c r="S181" t="s">
        <v>643</v>
      </c>
      <c r="T181" s="32" t="s">
        <v>1636</v>
      </c>
    </row>
    <row r="182" spans="1:20" x14ac:dyDescent="0.2">
      <c r="A182" t="s">
        <v>774</v>
      </c>
      <c r="B182" t="s">
        <v>26</v>
      </c>
      <c r="C182" t="s">
        <v>127</v>
      </c>
      <c r="D182" t="s">
        <v>1127</v>
      </c>
      <c r="E182" t="s">
        <v>649</v>
      </c>
      <c r="F182" t="s">
        <v>37</v>
      </c>
      <c r="G182" s="32">
        <v>45495</v>
      </c>
      <c r="H182" t="s">
        <v>643</v>
      </c>
      <c r="I182" s="32"/>
      <c r="J182" t="s">
        <v>698</v>
      </c>
      <c r="K182" s="32">
        <v>45538</v>
      </c>
      <c r="L182" s="32">
        <v>46590</v>
      </c>
      <c r="M182" t="s">
        <v>639</v>
      </c>
      <c r="N182" t="s">
        <v>673</v>
      </c>
      <c r="O182" t="s">
        <v>656</v>
      </c>
      <c r="P182" t="s">
        <v>643</v>
      </c>
      <c r="Q182" t="s">
        <v>1128</v>
      </c>
      <c r="R182" t="s">
        <v>1129</v>
      </c>
      <c r="S182" t="s">
        <v>698</v>
      </c>
      <c r="T182" s="32" t="s">
        <v>1928</v>
      </c>
    </row>
    <row r="183" spans="1:20" x14ac:dyDescent="0.2">
      <c r="A183" t="s">
        <v>1006</v>
      </c>
      <c r="B183" t="s">
        <v>643</v>
      </c>
      <c r="C183" t="s">
        <v>106</v>
      </c>
      <c r="D183" t="s">
        <v>1157</v>
      </c>
      <c r="E183" t="s">
        <v>649</v>
      </c>
      <c r="F183" t="s">
        <v>37</v>
      </c>
      <c r="G183" s="32">
        <v>45415</v>
      </c>
      <c r="H183" t="s">
        <v>643</v>
      </c>
      <c r="I183" s="32"/>
      <c r="J183" t="s">
        <v>676</v>
      </c>
      <c r="K183" s="32">
        <v>45744</v>
      </c>
      <c r="L183" s="32">
        <v>46510</v>
      </c>
      <c r="M183" t="s">
        <v>639</v>
      </c>
      <c r="N183" t="s">
        <v>1047</v>
      </c>
      <c r="O183" t="s">
        <v>656</v>
      </c>
      <c r="P183" t="s">
        <v>643</v>
      </c>
      <c r="Q183" t="s">
        <v>714</v>
      </c>
      <c r="R183" t="s">
        <v>714</v>
      </c>
      <c r="S183" t="s">
        <v>654</v>
      </c>
      <c r="T183" s="32" t="s">
        <v>1729</v>
      </c>
    </row>
    <row r="184" spans="1:20" x14ac:dyDescent="0.2">
      <c r="A184" t="s">
        <v>1006</v>
      </c>
      <c r="B184" t="s">
        <v>643</v>
      </c>
      <c r="C184" t="s">
        <v>154</v>
      </c>
      <c r="D184" t="s">
        <v>1158</v>
      </c>
      <c r="E184" t="s">
        <v>636</v>
      </c>
      <c r="F184" t="s">
        <v>37</v>
      </c>
      <c r="G184" s="32">
        <v>45456</v>
      </c>
      <c r="H184" t="s">
        <v>643</v>
      </c>
      <c r="I184" s="32"/>
      <c r="J184" t="s">
        <v>676</v>
      </c>
      <c r="K184" s="32">
        <v>45744</v>
      </c>
      <c r="L184" s="32">
        <v>46551</v>
      </c>
      <c r="M184" t="s">
        <v>639</v>
      </c>
      <c r="N184" t="s">
        <v>1013</v>
      </c>
      <c r="O184" t="s">
        <v>656</v>
      </c>
      <c r="P184" t="s">
        <v>643</v>
      </c>
      <c r="Q184" t="s">
        <v>1159</v>
      </c>
      <c r="R184" t="s">
        <v>657</v>
      </c>
      <c r="S184" t="s">
        <v>676</v>
      </c>
      <c r="T184" s="32" t="s">
        <v>1741</v>
      </c>
    </row>
    <row r="185" spans="1:20" x14ac:dyDescent="0.2">
      <c r="A185" t="s">
        <v>634</v>
      </c>
      <c r="B185" t="s">
        <v>15</v>
      </c>
      <c r="C185" t="s">
        <v>325</v>
      </c>
      <c r="D185" t="s">
        <v>1049</v>
      </c>
      <c r="E185" t="s">
        <v>649</v>
      </c>
      <c r="F185" t="s">
        <v>27</v>
      </c>
      <c r="G185" s="32">
        <v>45483</v>
      </c>
      <c r="H185" t="s">
        <v>643</v>
      </c>
      <c r="I185" s="32"/>
      <c r="J185" t="s">
        <v>643</v>
      </c>
      <c r="K185" s="32"/>
      <c r="L185" s="32">
        <v>47126</v>
      </c>
      <c r="M185" t="s">
        <v>687</v>
      </c>
      <c r="N185" t="s">
        <v>844</v>
      </c>
      <c r="O185" t="s">
        <v>637</v>
      </c>
      <c r="P185" t="s">
        <v>643</v>
      </c>
      <c r="Q185" t="s">
        <v>1050</v>
      </c>
      <c r="R185" t="s">
        <v>1051</v>
      </c>
      <c r="S185" t="s">
        <v>703</v>
      </c>
      <c r="T185" s="32" t="s">
        <v>1790</v>
      </c>
    </row>
    <row r="186" spans="1:20" x14ac:dyDescent="0.2">
      <c r="A186" t="s">
        <v>634</v>
      </c>
      <c r="B186" t="s">
        <v>61</v>
      </c>
      <c r="C186" t="s">
        <v>1242</v>
      </c>
      <c r="D186" t="s">
        <v>1241</v>
      </c>
      <c r="E186" t="s">
        <v>636</v>
      </c>
      <c r="F186" t="s">
        <v>16</v>
      </c>
      <c r="G186" s="32">
        <v>44494</v>
      </c>
      <c r="H186" t="s">
        <v>646</v>
      </c>
      <c r="I186" s="32">
        <v>45813</v>
      </c>
      <c r="J186" t="s">
        <v>637</v>
      </c>
      <c r="K186" s="32">
        <v>45925</v>
      </c>
      <c r="L186" s="32">
        <v>45590</v>
      </c>
      <c r="M186" t="s">
        <v>681</v>
      </c>
      <c r="N186" t="s">
        <v>646</v>
      </c>
      <c r="O186" t="s">
        <v>637</v>
      </c>
      <c r="P186" t="s">
        <v>647</v>
      </c>
      <c r="Q186" t="s">
        <v>721</v>
      </c>
      <c r="R186" t="s">
        <v>1243</v>
      </c>
      <c r="S186" t="s">
        <v>676</v>
      </c>
      <c r="T186" s="32" t="s">
        <v>2117</v>
      </c>
    </row>
    <row r="187" spans="1:20" x14ac:dyDescent="0.2">
      <c r="A187" t="s">
        <v>634</v>
      </c>
      <c r="B187" t="s">
        <v>61</v>
      </c>
      <c r="C187" t="s">
        <v>666</v>
      </c>
      <c r="D187" t="s">
        <v>665</v>
      </c>
      <c r="E187" t="s">
        <v>636</v>
      </c>
      <c r="F187" t="s">
        <v>16</v>
      </c>
      <c r="G187" s="32">
        <v>45051</v>
      </c>
      <c r="H187" t="s">
        <v>643</v>
      </c>
      <c r="I187" s="32"/>
      <c r="J187" t="s">
        <v>643</v>
      </c>
      <c r="K187" s="32"/>
      <c r="L187" s="32">
        <v>46147</v>
      </c>
      <c r="M187" t="s">
        <v>639</v>
      </c>
      <c r="N187" t="s">
        <v>646</v>
      </c>
      <c r="O187" t="s">
        <v>637</v>
      </c>
      <c r="P187" t="s">
        <v>643</v>
      </c>
      <c r="Q187" t="s">
        <v>643</v>
      </c>
      <c r="R187" t="s">
        <v>643</v>
      </c>
      <c r="S187" t="s">
        <v>643</v>
      </c>
      <c r="T187" s="32" t="s">
        <v>1318</v>
      </c>
    </row>
    <row r="188" spans="1:20" x14ac:dyDescent="0.2">
      <c r="A188" t="s">
        <v>634</v>
      </c>
      <c r="B188" t="s">
        <v>61</v>
      </c>
      <c r="C188" t="s">
        <v>513</v>
      </c>
      <c r="D188" t="s">
        <v>1028</v>
      </c>
      <c r="E188" t="s">
        <v>636</v>
      </c>
      <c r="F188" t="s">
        <v>16</v>
      </c>
      <c r="G188" s="32">
        <v>45051</v>
      </c>
      <c r="H188" t="s">
        <v>646</v>
      </c>
      <c r="I188" s="32">
        <v>45551</v>
      </c>
      <c r="J188" t="s">
        <v>637</v>
      </c>
      <c r="K188" s="32">
        <v>45630</v>
      </c>
      <c r="L188" s="32">
        <v>46646</v>
      </c>
      <c r="M188" t="s">
        <v>639</v>
      </c>
      <c r="N188" t="s">
        <v>646</v>
      </c>
      <c r="O188" t="s">
        <v>637</v>
      </c>
      <c r="P188" t="s">
        <v>647</v>
      </c>
      <c r="Q188" t="s">
        <v>1029</v>
      </c>
      <c r="R188" t="s">
        <v>1030</v>
      </c>
      <c r="S188" t="s">
        <v>698</v>
      </c>
      <c r="T188" s="32" t="s">
        <v>1318</v>
      </c>
    </row>
    <row r="189" spans="1:20" x14ac:dyDescent="0.2">
      <c r="A189" t="s">
        <v>787</v>
      </c>
      <c r="B189" t="s">
        <v>30</v>
      </c>
      <c r="C189" t="s">
        <v>319</v>
      </c>
      <c r="D189" t="s">
        <v>1054</v>
      </c>
      <c r="E189" t="s">
        <v>649</v>
      </c>
      <c r="F189" t="s">
        <v>16</v>
      </c>
      <c r="G189" s="32">
        <v>45467</v>
      </c>
      <c r="H189" t="s">
        <v>789</v>
      </c>
      <c r="I189" s="32">
        <v>45565</v>
      </c>
      <c r="J189" t="s">
        <v>790</v>
      </c>
      <c r="K189" s="32">
        <v>45581</v>
      </c>
      <c r="L189" s="32">
        <v>46562</v>
      </c>
      <c r="M189" t="s">
        <v>639</v>
      </c>
      <c r="N189" t="s">
        <v>789</v>
      </c>
      <c r="O189" t="s">
        <v>790</v>
      </c>
      <c r="P189" t="s">
        <v>796</v>
      </c>
      <c r="Q189" t="s">
        <v>721</v>
      </c>
      <c r="R189" t="s">
        <v>776</v>
      </c>
      <c r="S189" t="s">
        <v>676</v>
      </c>
      <c r="T189" s="32" t="s">
        <v>1736</v>
      </c>
    </row>
    <row r="190" spans="1:20" x14ac:dyDescent="0.2">
      <c r="A190" t="s">
        <v>634</v>
      </c>
      <c r="B190" t="s">
        <v>52</v>
      </c>
      <c r="C190" t="s">
        <v>1056</v>
      </c>
      <c r="D190" t="s">
        <v>1055</v>
      </c>
      <c r="E190" t="s">
        <v>636</v>
      </c>
      <c r="F190" t="s">
        <v>664</v>
      </c>
      <c r="G190" s="32">
        <v>45558</v>
      </c>
      <c r="H190" t="s">
        <v>981</v>
      </c>
      <c r="I190" s="32">
        <v>45566</v>
      </c>
      <c r="J190" t="s">
        <v>846</v>
      </c>
      <c r="K190" s="32">
        <v>45589</v>
      </c>
      <c r="L190" s="32">
        <v>46653</v>
      </c>
      <c r="M190" t="s">
        <v>639</v>
      </c>
      <c r="N190" t="s">
        <v>981</v>
      </c>
      <c r="O190" t="s">
        <v>846</v>
      </c>
      <c r="P190" t="s">
        <v>1057</v>
      </c>
      <c r="Q190" t="s">
        <v>643</v>
      </c>
      <c r="R190" t="s">
        <v>643</v>
      </c>
      <c r="S190" t="s">
        <v>643</v>
      </c>
      <c r="T190" s="32" t="s">
        <v>1799</v>
      </c>
    </row>
    <row r="191" spans="1:20" x14ac:dyDescent="0.2">
      <c r="A191" t="s">
        <v>634</v>
      </c>
      <c r="B191" t="s">
        <v>52</v>
      </c>
      <c r="C191" t="s">
        <v>645</v>
      </c>
      <c r="D191" t="s">
        <v>1058</v>
      </c>
      <c r="E191" t="s">
        <v>636</v>
      </c>
      <c r="F191" t="s">
        <v>10</v>
      </c>
      <c r="G191" s="32">
        <v>45677</v>
      </c>
      <c r="H191" t="s">
        <v>981</v>
      </c>
      <c r="I191" s="32">
        <v>45740</v>
      </c>
      <c r="J191" t="s">
        <v>846</v>
      </c>
      <c r="K191" s="32">
        <v>45742</v>
      </c>
      <c r="L191" s="32">
        <v>46107</v>
      </c>
      <c r="M191" t="s">
        <v>639</v>
      </c>
      <c r="N191" t="s">
        <v>981</v>
      </c>
      <c r="O191" t="s">
        <v>846</v>
      </c>
      <c r="P191" t="s">
        <v>1057</v>
      </c>
      <c r="Q191" t="s">
        <v>1059</v>
      </c>
      <c r="R191" t="s">
        <v>1060</v>
      </c>
      <c r="S191" t="s">
        <v>703</v>
      </c>
      <c r="T191" s="32" t="s">
        <v>1802</v>
      </c>
    </row>
    <row r="192" spans="1:20" x14ac:dyDescent="0.2">
      <c r="A192" t="s">
        <v>634</v>
      </c>
      <c r="B192" t="s">
        <v>52</v>
      </c>
      <c r="C192" t="s">
        <v>184</v>
      </c>
      <c r="D192" t="s">
        <v>1061</v>
      </c>
      <c r="E192" t="s">
        <v>636</v>
      </c>
      <c r="F192" t="s">
        <v>664</v>
      </c>
      <c r="G192" s="32">
        <v>45541</v>
      </c>
      <c r="H192" t="s">
        <v>981</v>
      </c>
      <c r="I192" s="32">
        <v>45585</v>
      </c>
      <c r="J192" t="s">
        <v>846</v>
      </c>
      <c r="K192" s="32">
        <v>45589</v>
      </c>
      <c r="L192" s="32">
        <v>46636</v>
      </c>
      <c r="M192" t="s">
        <v>639</v>
      </c>
      <c r="N192" t="s">
        <v>981</v>
      </c>
      <c r="O192" t="s">
        <v>846</v>
      </c>
      <c r="P192" t="s">
        <v>1057</v>
      </c>
      <c r="Q192" t="s">
        <v>643</v>
      </c>
      <c r="R192" t="s">
        <v>643</v>
      </c>
      <c r="S192" t="s">
        <v>643</v>
      </c>
      <c r="T192" s="32" t="s">
        <v>1806</v>
      </c>
    </row>
    <row r="193" spans="1:20" x14ac:dyDescent="0.2">
      <c r="A193" t="s">
        <v>634</v>
      </c>
      <c r="B193" t="s">
        <v>52</v>
      </c>
      <c r="C193" t="s">
        <v>1063</v>
      </c>
      <c r="D193" t="s">
        <v>1062</v>
      </c>
      <c r="E193" t="s">
        <v>636</v>
      </c>
      <c r="F193" t="s">
        <v>664</v>
      </c>
      <c r="G193" s="32">
        <v>45541</v>
      </c>
      <c r="H193" t="s">
        <v>981</v>
      </c>
      <c r="I193" s="32">
        <v>45585</v>
      </c>
      <c r="J193" t="s">
        <v>846</v>
      </c>
      <c r="K193" s="32">
        <v>45589</v>
      </c>
      <c r="L193" s="32">
        <v>46636</v>
      </c>
      <c r="M193" t="s">
        <v>639</v>
      </c>
      <c r="N193" t="s">
        <v>981</v>
      </c>
      <c r="O193" t="s">
        <v>846</v>
      </c>
      <c r="P193" t="s">
        <v>1057</v>
      </c>
      <c r="Q193" t="s">
        <v>643</v>
      </c>
      <c r="R193" t="s">
        <v>643</v>
      </c>
      <c r="S193" t="s">
        <v>643</v>
      </c>
      <c r="T193" s="32" t="s">
        <v>1806</v>
      </c>
    </row>
    <row r="194" spans="1:20" x14ac:dyDescent="0.2">
      <c r="A194" t="s">
        <v>634</v>
      </c>
      <c r="B194" t="s">
        <v>52</v>
      </c>
      <c r="C194" t="s">
        <v>145</v>
      </c>
      <c r="D194" t="s">
        <v>1064</v>
      </c>
      <c r="E194" t="s">
        <v>636</v>
      </c>
      <c r="F194" t="s">
        <v>27</v>
      </c>
      <c r="G194" s="32">
        <v>45525</v>
      </c>
      <c r="H194" t="s">
        <v>981</v>
      </c>
      <c r="I194" s="32">
        <v>45585</v>
      </c>
      <c r="J194" t="s">
        <v>846</v>
      </c>
      <c r="K194" s="32">
        <v>45589</v>
      </c>
      <c r="L194" s="32">
        <v>46620</v>
      </c>
      <c r="M194" t="s">
        <v>639</v>
      </c>
      <c r="N194" t="s">
        <v>981</v>
      </c>
      <c r="O194" t="s">
        <v>846</v>
      </c>
      <c r="P194" t="s">
        <v>1057</v>
      </c>
      <c r="Q194" t="s">
        <v>643</v>
      </c>
      <c r="R194" t="s">
        <v>643</v>
      </c>
      <c r="S194" t="s">
        <v>643</v>
      </c>
      <c r="T194" s="32" t="s">
        <v>1812</v>
      </c>
    </row>
    <row r="195" spans="1:20" x14ac:dyDescent="0.2">
      <c r="A195" t="s">
        <v>634</v>
      </c>
      <c r="B195" t="s">
        <v>52</v>
      </c>
      <c r="C195" t="s">
        <v>185</v>
      </c>
      <c r="D195" t="s">
        <v>1065</v>
      </c>
      <c r="E195" t="s">
        <v>636</v>
      </c>
      <c r="F195" t="s">
        <v>27</v>
      </c>
      <c r="G195" s="32">
        <v>45567</v>
      </c>
      <c r="H195" t="s">
        <v>981</v>
      </c>
      <c r="I195" s="32">
        <v>45585</v>
      </c>
      <c r="J195" t="s">
        <v>846</v>
      </c>
      <c r="K195" s="32">
        <v>45589</v>
      </c>
      <c r="L195" s="32">
        <v>46680</v>
      </c>
      <c r="M195" t="s">
        <v>639</v>
      </c>
      <c r="N195" t="s">
        <v>981</v>
      </c>
      <c r="O195" t="s">
        <v>846</v>
      </c>
      <c r="P195" t="s">
        <v>1057</v>
      </c>
      <c r="Q195" t="s">
        <v>643</v>
      </c>
      <c r="R195" t="s">
        <v>643</v>
      </c>
      <c r="S195" t="s">
        <v>643</v>
      </c>
      <c r="T195" s="32" t="s">
        <v>1816</v>
      </c>
    </row>
    <row r="196" spans="1:20" x14ac:dyDescent="0.2">
      <c r="A196" t="s">
        <v>634</v>
      </c>
      <c r="B196" t="s">
        <v>52</v>
      </c>
      <c r="C196" t="s">
        <v>215</v>
      </c>
      <c r="D196" t="s">
        <v>1066</v>
      </c>
      <c r="E196" t="s">
        <v>636</v>
      </c>
      <c r="F196" t="s">
        <v>27</v>
      </c>
      <c r="G196" s="32">
        <v>45567</v>
      </c>
      <c r="H196" t="s">
        <v>981</v>
      </c>
      <c r="I196" s="32">
        <v>45585</v>
      </c>
      <c r="J196" t="s">
        <v>846</v>
      </c>
      <c r="K196" s="32">
        <v>45589</v>
      </c>
      <c r="L196" s="32">
        <v>47143</v>
      </c>
      <c r="M196" t="s">
        <v>639</v>
      </c>
      <c r="N196" t="s">
        <v>981</v>
      </c>
      <c r="O196" t="s">
        <v>846</v>
      </c>
      <c r="P196" t="s">
        <v>1057</v>
      </c>
      <c r="Q196" t="s">
        <v>945</v>
      </c>
      <c r="R196" t="s">
        <v>1067</v>
      </c>
      <c r="S196" t="s">
        <v>703</v>
      </c>
      <c r="T196" s="32" t="s">
        <v>1816</v>
      </c>
    </row>
    <row r="197" spans="1:20" x14ac:dyDescent="0.2">
      <c r="A197" t="s">
        <v>634</v>
      </c>
      <c r="B197" t="s">
        <v>52</v>
      </c>
      <c r="C197" t="s">
        <v>242</v>
      </c>
      <c r="D197" t="s">
        <v>1068</v>
      </c>
      <c r="E197" t="s">
        <v>636</v>
      </c>
      <c r="F197" t="s">
        <v>27</v>
      </c>
      <c r="G197" s="32">
        <v>45560</v>
      </c>
      <c r="H197" t="s">
        <v>981</v>
      </c>
      <c r="I197" s="32">
        <v>45585</v>
      </c>
      <c r="J197" t="s">
        <v>846</v>
      </c>
      <c r="K197" s="32">
        <v>45589</v>
      </c>
      <c r="L197" s="32">
        <v>46655</v>
      </c>
      <c r="M197" t="s">
        <v>639</v>
      </c>
      <c r="N197" t="s">
        <v>981</v>
      </c>
      <c r="O197" t="s">
        <v>846</v>
      </c>
      <c r="P197" t="s">
        <v>1057</v>
      </c>
      <c r="Q197" t="s">
        <v>643</v>
      </c>
      <c r="R197" t="s">
        <v>643</v>
      </c>
      <c r="S197" t="s">
        <v>643</v>
      </c>
      <c r="T197" s="32" t="s">
        <v>1823</v>
      </c>
    </row>
    <row r="198" spans="1:20" x14ac:dyDescent="0.2">
      <c r="A198" t="s">
        <v>634</v>
      </c>
      <c r="B198" t="s">
        <v>52</v>
      </c>
      <c r="C198" t="s">
        <v>265</v>
      </c>
      <c r="D198" t="s">
        <v>1069</v>
      </c>
      <c r="E198" t="s">
        <v>636</v>
      </c>
      <c r="F198" t="s">
        <v>27</v>
      </c>
      <c r="G198" s="32">
        <v>45560</v>
      </c>
      <c r="H198" t="s">
        <v>981</v>
      </c>
      <c r="I198" s="32">
        <v>45585</v>
      </c>
      <c r="J198" t="s">
        <v>846</v>
      </c>
      <c r="K198" s="32">
        <v>45589</v>
      </c>
      <c r="L198" s="32">
        <v>47143</v>
      </c>
      <c r="M198" t="s">
        <v>639</v>
      </c>
      <c r="N198" t="s">
        <v>981</v>
      </c>
      <c r="O198" t="s">
        <v>846</v>
      </c>
      <c r="P198" t="s">
        <v>1057</v>
      </c>
      <c r="Q198" t="s">
        <v>945</v>
      </c>
      <c r="R198" t="s">
        <v>1067</v>
      </c>
      <c r="S198" t="s">
        <v>703</v>
      </c>
      <c r="T198" s="32" t="s">
        <v>1823</v>
      </c>
    </row>
    <row r="199" spans="1:20" x14ac:dyDescent="0.2">
      <c r="A199" t="s">
        <v>690</v>
      </c>
      <c r="B199" t="s">
        <v>710</v>
      </c>
      <c r="C199" t="s">
        <v>501</v>
      </c>
      <c r="D199" t="s">
        <v>1167</v>
      </c>
      <c r="E199" t="s">
        <v>636</v>
      </c>
      <c r="F199" t="s">
        <v>37</v>
      </c>
      <c r="G199" s="32">
        <v>45448</v>
      </c>
      <c r="H199" t="s">
        <v>643</v>
      </c>
      <c r="I199" s="32"/>
      <c r="J199" t="s">
        <v>654</v>
      </c>
      <c r="K199" s="32">
        <v>45574</v>
      </c>
      <c r="L199" s="32">
        <v>46543</v>
      </c>
      <c r="M199" t="s">
        <v>639</v>
      </c>
      <c r="N199" t="s">
        <v>712</v>
      </c>
      <c r="O199" t="s">
        <v>656</v>
      </c>
      <c r="P199" t="s">
        <v>643</v>
      </c>
      <c r="Q199" t="s">
        <v>643</v>
      </c>
      <c r="R199" t="s">
        <v>643</v>
      </c>
      <c r="S199" t="s">
        <v>643</v>
      </c>
      <c r="T199" s="32" t="s">
        <v>1991</v>
      </c>
    </row>
    <row r="200" spans="1:20" x14ac:dyDescent="0.2">
      <c r="A200" t="s">
        <v>690</v>
      </c>
      <c r="B200" t="s">
        <v>710</v>
      </c>
      <c r="C200" t="s">
        <v>391</v>
      </c>
      <c r="D200" t="s">
        <v>1039</v>
      </c>
      <c r="E200" t="s">
        <v>636</v>
      </c>
      <c r="F200" t="s">
        <v>16</v>
      </c>
      <c r="G200" s="32">
        <v>45539</v>
      </c>
      <c r="H200" t="s">
        <v>692</v>
      </c>
      <c r="I200" s="32">
        <v>45701</v>
      </c>
      <c r="J200" t="s">
        <v>643</v>
      </c>
      <c r="K200" s="32"/>
      <c r="L200" s="32">
        <v>46634</v>
      </c>
      <c r="M200" t="s">
        <v>693</v>
      </c>
      <c r="N200" t="s">
        <v>724</v>
      </c>
      <c r="O200" t="s">
        <v>673</v>
      </c>
      <c r="P200" t="s">
        <v>713</v>
      </c>
      <c r="Q200" t="s">
        <v>643</v>
      </c>
      <c r="R200" t="s">
        <v>643</v>
      </c>
      <c r="S200" t="s">
        <v>643</v>
      </c>
      <c r="T200" s="32" t="s">
        <v>1767</v>
      </c>
    </row>
    <row r="201" spans="1:20" x14ac:dyDescent="0.2">
      <c r="A201" t="s">
        <v>787</v>
      </c>
      <c r="B201" t="s">
        <v>63</v>
      </c>
      <c r="C201" t="s">
        <v>1073</v>
      </c>
      <c r="D201" t="s">
        <v>1072</v>
      </c>
      <c r="E201" t="s">
        <v>636</v>
      </c>
      <c r="F201" t="s">
        <v>34</v>
      </c>
      <c r="G201" s="32">
        <v>45547</v>
      </c>
      <c r="H201" t="s">
        <v>790</v>
      </c>
      <c r="I201" s="32">
        <v>45581</v>
      </c>
      <c r="J201" t="s">
        <v>790</v>
      </c>
      <c r="K201" s="32">
        <v>45581</v>
      </c>
      <c r="L201" s="32">
        <v>46642</v>
      </c>
      <c r="M201" t="s">
        <v>639</v>
      </c>
      <c r="N201" t="s">
        <v>790</v>
      </c>
      <c r="O201" t="s">
        <v>790</v>
      </c>
      <c r="P201" t="s">
        <v>895</v>
      </c>
      <c r="Q201" t="s">
        <v>643</v>
      </c>
      <c r="R201" t="s">
        <v>643</v>
      </c>
      <c r="S201" t="s">
        <v>643</v>
      </c>
      <c r="T201" s="32" t="s">
        <v>1834</v>
      </c>
    </row>
    <row r="202" spans="1:20" x14ac:dyDescent="0.2">
      <c r="A202" t="s">
        <v>787</v>
      </c>
      <c r="B202" t="s">
        <v>54</v>
      </c>
      <c r="C202" t="s">
        <v>176</v>
      </c>
      <c r="D202" t="s">
        <v>1074</v>
      </c>
      <c r="E202" t="s">
        <v>649</v>
      </c>
      <c r="F202" t="s">
        <v>27</v>
      </c>
      <c r="G202" s="32">
        <v>45432</v>
      </c>
      <c r="H202" t="s">
        <v>878</v>
      </c>
      <c r="I202" s="32">
        <v>46177</v>
      </c>
      <c r="J202" t="s">
        <v>790</v>
      </c>
      <c r="K202" s="32">
        <v>46218</v>
      </c>
      <c r="L202" s="32">
        <v>46583</v>
      </c>
      <c r="M202" t="s">
        <v>639</v>
      </c>
      <c r="N202" t="s">
        <v>878</v>
      </c>
      <c r="O202" t="s">
        <v>790</v>
      </c>
      <c r="P202" t="s">
        <v>1075</v>
      </c>
      <c r="Q202" t="s">
        <v>2564</v>
      </c>
      <c r="R202" t="s">
        <v>2565</v>
      </c>
      <c r="S202" t="s">
        <v>2554</v>
      </c>
      <c r="T202" s="32" t="s">
        <v>1838</v>
      </c>
    </row>
    <row r="203" spans="1:20" x14ac:dyDescent="0.2">
      <c r="A203" t="s">
        <v>787</v>
      </c>
      <c r="B203" t="s">
        <v>54</v>
      </c>
      <c r="C203" t="s">
        <v>236</v>
      </c>
      <c r="D203" t="s">
        <v>1076</v>
      </c>
      <c r="E203" t="s">
        <v>636</v>
      </c>
      <c r="F203" t="s">
        <v>27</v>
      </c>
      <c r="G203" s="32">
        <v>45463</v>
      </c>
      <c r="H203" t="s">
        <v>878</v>
      </c>
      <c r="I203" s="32">
        <v>45581</v>
      </c>
      <c r="J203" t="s">
        <v>790</v>
      </c>
      <c r="K203" s="32">
        <v>45630</v>
      </c>
      <c r="L203" s="32">
        <v>46558</v>
      </c>
      <c r="M203" t="s">
        <v>639</v>
      </c>
      <c r="N203" t="s">
        <v>878</v>
      </c>
      <c r="O203" t="s">
        <v>790</v>
      </c>
      <c r="P203" t="s">
        <v>1075</v>
      </c>
      <c r="Q203" t="s">
        <v>721</v>
      </c>
      <c r="R203" t="s">
        <v>776</v>
      </c>
      <c r="S203" t="s">
        <v>676</v>
      </c>
      <c r="T203" s="32" t="s">
        <v>1839</v>
      </c>
    </row>
    <row r="204" spans="1:20" x14ac:dyDescent="0.2">
      <c r="A204" t="s">
        <v>787</v>
      </c>
      <c r="B204" t="s">
        <v>54</v>
      </c>
      <c r="C204" t="s">
        <v>259</v>
      </c>
      <c r="D204" t="s">
        <v>1077</v>
      </c>
      <c r="E204" t="s">
        <v>636</v>
      </c>
      <c r="F204" t="s">
        <v>27</v>
      </c>
      <c r="G204" s="32">
        <v>45467</v>
      </c>
      <c r="H204" t="s">
        <v>878</v>
      </c>
      <c r="I204" s="32">
        <v>45581</v>
      </c>
      <c r="J204" t="s">
        <v>790</v>
      </c>
      <c r="K204" s="32">
        <v>45630</v>
      </c>
      <c r="L204" s="32">
        <v>46562</v>
      </c>
      <c r="M204" t="s">
        <v>639</v>
      </c>
      <c r="N204" t="s">
        <v>878</v>
      </c>
      <c r="O204" t="s">
        <v>790</v>
      </c>
      <c r="P204" t="s">
        <v>1075</v>
      </c>
      <c r="Q204" t="s">
        <v>911</v>
      </c>
      <c r="R204" t="s">
        <v>776</v>
      </c>
      <c r="S204" t="s">
        <v>676</v>
      </c>
      <c r="T204" s="32" t="s">
        <v>1736</v>
      </c>
    </row>
    <row r="205" spans="1:20" x14ac:dyDescent="0.2">
      <c r="A205" t="s">
        <v>787</v>
      </c>
      <c r="B205" t="s">
        <v>54</v>
      </c>
      <c r="C205" t="s">
        <v>302</v>
      </c>
      <c r="D205" t="s">
        <v>1078</v>
      </c>
      <c r="E205" t="s">
        <v>636</v>
      </c>
      <c r="F205" t="s">
        <v>27</v>
      </c>
      <c r="G205" s="32">
        <v>45429</v>
      </c>
      <c r="H205" t="s">
        <v>878</v>
      </c>
      <c r="I205" s="32">
        <v>45581</v>
      </c>
      <c r="J205" t="s">
        <v>790</v>
      </c>
      <c r="K205" s="32">
        <v>45630</v>
      </c>
      <c r="L205" s="32">
        <v>46524</v>
      </c>
      <c r="M205" t="s">
        <v>639</v>
      </c>
      <c r="N205" t="s">
        <v>878</v>
      </c>
      <c r="O205" t="s">
        <v>790</v>
      </c>
      <c r="P205" t="s">
        <v>1075</v>
      </c>
      <c r="Q205" t="s">
        <v>643</v>
      </c>
      <c r="R205" t="s">
        <v>643</v>
      </c>
      <c r="S205" t="s">
        <v>643</v>
      </c>
      <c r="T205" s="32" t="s">
        <v>1844</v>
      </c>
    </row>
    <row r="206" spans="1:20" x14ac:dyDescent="0.2">
      <c r="A206" t="s">
        <v>787</v>
      </c>
      <c r="B206" t="s">
        <v>54</v>
      </c>
      <c r="C206" t="s">
        <v>363</v>
      </c>
      <c r="D206" t="s">
        <v>1079</v>
      </c>
      <c r="E206" t="s">
        <v>636</v>
      </c>
      <c r="F206" t="s">
        <v>27</v>
      </c>
      <c r="G206" s="32">
        <v>45464</v>
      </c>
      <c r="H206" t="s">
        <v>878</v>
      </c>
      <c r="I206" s="32">
        <v>45581</v>
      </c>
      <c r="J206" t="s">
        <v>790</v>
      </c>
      <c r="K206" s="32">
        <v>45630</v>
      </c>
      <c r="L206" s="32">
        <v>46725</v>
      </c>
      <c r="M206" t="s">
        <v>639</v>
      </c>
      <c r="N206" t="s">
        <v>878</v>
      </c>
      <c r="O206" t="s">
        <v>790</v>
      </c>
      <c r="P206" t="s">
        <v>1075</v>
      </c>
      <c r="Q206" t="s">
        <v>643</v>
      </c>
      <c r="R206" t="s">
        <v>643</v>
      </c>
      <c r="S206" t="s">
        <v>643</v>
      </c>
      <c r="T206" s="32" t="s">
        <v>1848</v>
      </c>
    </row>
    <row r="207" spans="1:20" x14ac:dyDescent="0.2">
      <c r="A207" t="s">
        <v>787</v>
      </c>
      <c r="B207" t="s">
        <v>54</v>
      </c>
      <c r="C207" t="s">
        <v>376</v>
      </c>
      <c r="D207" t="s">
        <v>1080</v>
      </c>
      <c r="E207" t="s">
        <v>636</v>
      </c>
      <c r="F207" t="s">
        <v>27</v>
      </c>
      <c r="G207" s="32">
        <v>45464</v>
      </c>
      <c r="H207" t="s">
        <v>878</v>
      </c>
      <c r="I207" s="32">
        <v>45581</v>
      </c>
      <c r="J207" t="s">
        <v>790</v>
      </c>
      <c r="K207" s="32">
        <v>45630</v>
      </c>
      <c r="L207" s="32">
        <v>46725</v>
      </c>
      <c r="M207" t="s">
        <v>639</v>
      </c>
      <c r="N207" t="s">
        <v>878</v>
      </c>
      <c r="O207" t="s">
        <v>790</v>
      </c>
      <c r="P207" t="s">
        <v>1075</v>
      </c>
      <c r="Q207" t="s">
        <v>643</v>
      </c>
      <c r="R207" t="s">
        <v>643</v>
      </c>
      <c r="S207" t="s">
        <v>643</v>
      </c>
      <c r="T207" s="32" t="s">
        <v>1848</v>
      </c>
    </row>
    <row r="208" spans="1:20" x14ac:dyDescent="0.2">
      <c r="A208" t="s">
        <v>787</v>
      </c>
      <c r="B208" t="s">
        <v>54</v>
      </c>
      <c r="C208" t="s">
        <v>393</v>
      </c>
      <c r="D208" t="s">
        <v>1081</v>
      </c>
      <c r="E208" t="s">
        <v>636</v>
      </c>
      <c r="F208" t="s">
        <v>27</v>
      </c>
      <c r="G208" s="32">
        <v>45541</v>
      </c>
      <c r="H208" t="s">
        <v>878</v>
      </c>
      <c r="I208" s="32">
        <v>45581</v>
      </c>
      <c r="J208" t="s">
        <v>790</v>
      </c>
      <c r="K208" s="32">
        <v>45630</v>
      </c>
      <c r="L208" s="32">
        <v>46636</v>
      </c>
      <c r="M208" t="s">
        <v>639</v>
      </c>
      <c r="N208" t="s">
        <v>878</v>
      </c>
      <c r="O208" t="s">
        <v>790</v>
      </c>
      <c r="P208" t="s">
        <v>1075</v>
      </c>
      <c r="Q208" t="s">
        <v>643</v>
      </c>
      <c r="R208" t="s">
        <v>643</v>
      </c>
      <c r="S208" t="s">
        <v>643</v>
      </c>
      <c r="T208" s="32" t="s">
        <v>1806</v>
      </c>
    </row>
    <row r="209" spans="1:20" x14ac:dyDescent="0.2">
      <c r="A209" t="s">
        <v>787</v>
      </c>
      <c r="B209" t="s">
        <v>30</v>
      </c>
      <c r="C209" t="s">
        <v>336</v>
      </c>
      <c r="D209" t="s">
        <v>1082</v>
      </c>
      <c r="E209" t="s">
        <v>709</v>
      </c>
      <c r="F209" t="s">
        <v>16</v>
      </c>
      <c r="G209" s="32">
        <v>45478</v>
      </c>
      <c r="H209" t="s">
        <v>789</v>
      </c>
      <c r="I209" s="32">
        <v>45868</v>
      </c>
      <c r="J209" t="s">
        <v>790</v>
      </c>
      <c r="K209" s="32">
        <v>45882</v>
      </c>
      <c r="L209" s="32">
        <v>46247</v>
      </c>
      <c r="M209" t="s">
        <v>639</v>
      </c>
      <c r="N209" t="s">
        <v>789</v>
      </c>
      <c r="O209" t="s">
        <v>790</v>
      </c>
      <c r="P209" t="s">
        <v>796</v>
      </c>
      <c r="Q209" t="s">
        <v>911</v>
      </c>
      <c r="R209" t="s">
        <v>776</v>
      </c>
      <c r="S209" t="s">
        <v>676</v>
      </c>
      <c r="T209" s="32" t="s">
        <v>1856</v>
      </c>
    </row>
    <row r="210" spans="1:20" x14ac:dyDescent="0.2">
      <c r="A210" t="s">
        <v>690</v>
      </c>
      <c r="B210" t="s">
        <v>57</v>
      </c>
      <c r="C210" t="s">
        <v>390</v>
      </c>
      <c r="D210" t="s">
        <v>1083</v>
      </c>
      <c r="E210" t="s">
        <v>649</v>
      </c>
      <c r="F210" t="s">
        <v>34</v>
      </c>
      <c r="G210" s="32">
        <v>43850</v>
      </c>
      <c r="H210" t="s">
        <v>692</v>
      </c>
      <c r="I210" s="32">
        <v>45842</v>
      </c>
      <c r="J210" t="s">
        <v>673</v>
      </c>
      <c r="K210" s="32">
        <v>45877</v>
      </c>
      <c r="L210" s="32">
        <v>46242</v>
      </c>
      <c r="M210" t="s">
        <v>639</v>
      </c>
      <c r="N210" t="s">
        <v>971</v>
      </c>
      <c r="O210" t="s">
        <v>673</v>
      </c>
      <c r="P210" t="s">
        <v>972</v>
      </c>
      <c r="Q210" t="s">
        <v>643</v>
      </c>
      <c r="R210" t="s">
        <v>643</v>
      </c>
      <c r="S210" t="s">
        <v>643</v>
      </c>
      <c r="T210" s="32" t="s">
        <v>1416</v>
      </c>
    </row>
    <row r="211" spans="1:20" x14ac:dyDescent="0.2">
      <c r="A211" t="s">
        <v>787</v>
      </c>
      <c r="B211" t="s">
        <v>30</v>
      </c>
      <c r="C211" t="s">
        <v>404</v>
      </c>
      <c r="D211" t="s">
        <v>1084</v>
      </c>
      <c r="E211" t="s">
        <v>636</v>
      </c>
      <c r="F211" t="s">
        <v>27</v>
      </c>
      <c r="G211" s="32">
        <v>45573</v>
      </c>
      <c r="H211" t="s">
        <v>789</v>
      </c>
      <c r="I211" s="32">
        <v>45583</v>
      </c>
      <c r="J211" t="s">
        <v>790</v>
      </c>
      <c r="K211" s="32">
        <v>45630</v>
      </c>
      <c r="L211" s="32">
        <v>46678</v>
      </c>
      <c r="M211" t="s">
        <v>639</v>
      </c>
      <c r="N211" t="s">
        <v>789</v>
      </c>
      <c r="O211" t="s">
        <v>790</v>
      </c>
      <c r="P211" t="s">
        <v>796</v>
      </c>
      <c r="Q211" t="s">
        <v>643</v>
      </c>
      <c r="R211" t="s">
        <v>643</v>
      </c>
      <c r="S211" t="s">
        <v>643</v>
      </c>
      <c r="T211" s="32" t="s">
        <v>1861</v>
      </c>
    </row>
    <row r="212" spans="1:20" x14ac:dyDescent="0.2">
      <c r="A212" t="s">
        <v>787</v>
      </c>
      <c r="B212" t="s">
        <v>30</v>
      </c>
      <c r="C212" t="s">
        <v>415</v>
      </c>
      <c r="D212" t="s">
        <v>1085</v>
      </c>
      <c r="E212" t="s">
        <v>636</v>
      </c>
      <c r="F212" t="s">
        <v>27</v>
      </c>
      <c r="G212" s="32">
        <v>45573</v>
      </c>
      <c r="H212" t="s">
        <v>789</v>
      </c>
      <c r="I212" s="32">
        <v>45583</v>
      </c>
      <c r="J212" t="s">
        <v>790</v>
      </c>
      <c r="K212" s="32">
        <v>45630</v>
      </c>
      <c r="L212" s="32">
        <v>46678</v>
      </c>
      <c r="M212" t="s">
        <v>639</v>
      </c>
      <c r="N212" t="s">
        <v>789</v>
      </c>
      <c r="O212" t="s">
        <v>790</v>
      </c>
      <c r="P212" t="s">
        <v>796</v>
      </c>
      <c r="Q212" t="s">
        <v>643</v>
      </c>
      <c r="R212" t="s">
        <v>643</v>
      </c>
      <c r="S212" t="s">
        <v>643</v>
      </c>
      <c r="T212" s="32" t="s">
        <v>1861</v>
      </c>
    </row>
    <row r="213" spans="1:20" x14ac:dyDescent="0.2">
      <c r="A213" t="s">
        <v>787</v>
      </c>
      <c r="B213" t="s">
        <v>30</v>
      </c>
      <c r="C213" t="s">
        <v>283</v>
      </c>
      <c r="D213" t="s">
        <v>1086</v>
      </c>
      <c r="E213" t="s">
        <v>636</v>
      </c>
      <c r="F213" t="s">
        <v>27</v>
      </c>
      <c r="G213" s="32">
        <v>45573</v>
      </c>
      <c r="H213" t="s">
        <v>789</v>
      </c>
      <c r="I213" s="32">
        <v>45583</v>
      </c>
      <c r="J213" t="s">
        <v>790</v>
      </c>
      <c r="K213" s="32">
        <v>45630</v>
      </c>
      <c r="L213" s="32">
        <v>46678</v>
      </c>
      <c r="M213" t="s">
        <v>639</v>
      </c>
      <c r="N213" t="s">
        <v>789</v>
      </c>
      <c r="O213" t="s">
        <v>790</v>
      </c>
      <c r="P213" t="s">
        <v>796</v>
      </c>
      <c r="Q213" t="s">
        <v>643</v>
      </c>
      <c r="R213" t="s">
        <v>643</v>
      </c>
      <c r="S213" t="s">
        <v>643</v>
      </c>
      <c r="T213" s="32" t="s">
        <v>1861</v>
      </c>
    </row>
    <row r="214" spans="1:20" x14ac:dyDescent="0.2">
      <c r="A214" t="s">
        <v>787</v>
      </c>
      <c r="B214" t="s">
        <v>30</v>
      </c>
      <c r="C214" t="s">
        <v>454</v>
      </c>
      <c r="D214" t="s">
        <v>1087</v>
      </c>
      <c r="E214" t="s">
        <v>2566</v>
      </c>
      <c r="F214" t="s">
        <v>16</v>
      </c>
      <c r="G214" s="32">
        <v>45533</v>
      </c>
      <c r="H214" t="s">
        <v>789</v>
      </c>
      <c r="I214" s="32">
        <v>46218</v>
      </c>
      <c r="J214" t="s">
        <v>790</v>
      </c>
      <c r="K214" s="32">
        <v>46218</v>
      </c>
      <c r="L214" s="32">
        <v>46583</v>
      </c>
      <c r="M214" t="s">
        <v>639</v>
      </c>
      <c r="N214" t="s">
        <v>789</v>
      </c>
      <c r="O214" t="s">
        <v>790</v>
      </c>
      <c r="P214" t="s">
        <v>796</v>
      </c>
      <c r="Q214" t="s">
        <v>721</v>
      </c>
      <c r="R214" t="s">
        <v>776</v>
      </c>
      <c r="S214" t="s">
        <v>676</v>
      </c>
      <c r="T214" s="32" t="s">
        <v>1869</v>
      </c>
    </row>
    <row r="215" spans="1:20" x14ac:dyDescent="0.2">
      <c r="A215" t="s">
        <v>787</v>
      </c>
      <c r="B215" t="s">
        <v>30</v>
      </c>
      <c r="C215" t="s">
        <v>645</v>
      </c>
      <c r="D215" t="s">
        <v>1088</v>
      </c>
      <c r="E215" t="s">
        <v>649</v>
      </c>
      <c r="F215" t="s">
        <v>10</v>
      </c>
      <c r="G215" s="32">
        <v>45517</v>
      </c>
      <c r="H215" t="s">
        <v>789</v>
      </c>
      <c r="I215" s="32">
        <v>46098</v>
      </c>
      <c r="J215" t="s">
        <v>790</v>
      </c>
      <c r="K215" s="32">
        <v>46098</v>
      </c>
      <c r="L215" s="32">
        <v>46463</v>
      </c>
      <c r="M215" t="s">
        <v>639</v>
      </c>
      <c r="N215" t="s">
        <v>789</v>
      </c>
      <c r="O215" t="s">
        <v>790</v>
      </c>
      <c r="P215" t="s">
        <v>796</v>
      </c>
      <c r="Q215" t="s">
        <v>2490</v>
      </c>
      <c r="R215" t="s">
        <v>2491</v>
      </c>
      <c r="S215" t="s">
        <v>2380</v>
      </c>
      <c r="T215" s="32" t="s">
        <v>1870</v>
      </c>
    </row>
    <row r="216" spans="1:20" x14ac:dyDescent="0.2">
      <c r="A216" t="s">
        <v>906</v>
      </c>
      <c r="B216" t="s">
        <v>643</v>
      </c>
      <c r="C216" t="s">
        <v>268</v>
      </c>
      <c r="D216" t="s">
        <v>1089</v>
      </c>
      <c r="E216" t="s">
        <v>649</v>
      </c>
      <c r="F216" t="s">
        <v>16</v>
      </c>
      <c r="G216" s="32">
        <v>45348</v>
      </c>
      <c r="H216" t="s">
        <v>643</v>
      </c>
      <c r="I216" s="32"/>
      <c r="J216" t="s">
        <v>703</v>
      </c>
      <c r="K216" s="32">
        <v>45630</v>
      </c>
      <c r="L216" s="32">
        <v>46444</v>
      </c>
      <c r="M216" t="s">
        <v>639</v>
      </c>
      <c r="N216" t="s">
        <v>909</v>
      </c>
      <c r="O216" t="s">
        <v>910</v>
      </c>
      <c r="P216" t="s">
        <v>643</v>
      </c>
      <c r="Q216" t="s">
        <v>911</v>
      </c>
      <c r="R216" t="s">
        <v>776</v>
      </c>
      <c r="S216" t="s">
        <v>676</v>
      </c>
      <c r="T216" s="32" t="s">
        <v>1871</v>
      </c>
    </row>
    <row r="217" spans="1:20" x14ac:dyDescent="0.2">
      <c r="A217" t="s">
        <v>634</v>
      </c>
      <c r="B217" t="s">
        <v>52</v>
      </c>
      <c r="C217" t="s">
        <v>287</v>
      </c>
      <c r="D217" t="s">
        <v>1090</v>
      </c>
      <c r="E217" t="s">
        <v>636</v>
      </c>
      <c r="F217" t="s">
        <v>27</v>
      </c>
      <c r="G217" s="32">
        <v>45628</v>
      </c>
      <c r="H217" t="s">
        <v>981</v>
      </c>
      <c r="I217" s="32">
        <v>45646</v>
      </c>
      <c r="J217" t="s">
        <v>846</v>
      </c>
      <c r="K217" s="32">
        <v>45670</v>
      </c>
      <c r="L217" s="32">
        <v>47144</v>
      </c>
      <c r="M217" t="s">
        <v>639</v>
      </c>
      <c r="N217" t="s">
        <v>981</v>
      </c>
      <c r="O217" t="s">
        <v>846</v>
      </c>
      <c r="P217" t="s">
        <v>1057</v>
      </c>
      <c r="Q217" t="s">
        <v>945</v>
      </c>
      <c r="R217" t="s">
        <v>1067</v>
      </c>
      <c r="S217" t="s">
        <v>703</v>
      </c>
      <c r="T217" s="32" t="s">
        <v>1874</v>
      </c>
    </row>
    <row r="218" spans="1:20" x14ac:dyDescent="0.2">
      <c r="A218" t="s">
        <v>774</v>
      </c>
      <c r="B218" t="s">
        <v>26</v>
      </c>
      <c r="C218" t="s">
        <v>124</v>
      </c>
      <c r="D218" t="s">
        <v>996</v>
      </c>
      <c r="E218" t="s">
        <v>636</v>
      </c>
      <c r="F218" t="s">
        <v>27</v>
      </c>
      <c r="G218" s="32">
        <v>45652</v>
      </c>
      <c r="H218" t="s">
        <v>698</v>
      </c>
      <c r="I218" s="32">
        <v>45680</v>
      </c>
      <c r="J218" t="s">
        <v>673</v>
      </c>
      <c r="K218" s="32">
        <v>45762</v>
      </c>
      <c r="L218" s="32">
        <v>46127</v>
      </c>
      <c r="M218" t="s">
        <v>639</v>
      </c>
      <c r="N218" t="s">
        <v>698</v>
      </c>
      <c r="O218" t="s">
        <v>673</v>
      </c>
      <c r="P218" t="s">
        <v>778</v>
      </c>
      <c r="Q218" t="s">
        <v>643</v>
      </c>
      <c r="R218" t="s">
        <v>643</v>
      </c>
      <c r="S218" t="s">
        <v>643</v>
      </c>
      <c r="T218" s="32" t="s">
        <v>1705</v>
      </c>
    </row>
    <row r="219" spans="1:20" x14ac:dyDescent="0.2">
      <c r="A219" t="s">
        <v>787</v>
      </c>
      <c r="B219" t="s">
        <v>54</v>
      </c>
      <c r="C219" t="s">
        <v>87</v>
      </c>
      <c r="D219" t="s">
        <v>1092</v>
      </c>
      <c r="E219" t="s">
        <v>649</v>
      </c>
      <c r="F219" t="s">
        <v>10</v>
      </c>
      <c r="G219" s="32">
        <v>45509</v>
      </c>
      <c r="H219" t="s">
        <v>878</v>
      </c>
      <c r="I219" s="32">
        <v>46177</v>
      </c>
      <c r="J219" t="s">
        <v>790</v>
      </c>
      <c r="K219" s="32">
        <v>46218</v>
      </c>
      <c r="L219" s="32">
        <v>46583</v>
      </c>
      <c r="M219" t="s">
        <v>639</v>
      </c>
      <c r="N219" t="s">
        <v>878</v>
      </c>
      <c r="O219" t="s">
        <v>790</v>
      </c>
      <c r="P219" t="s">
        <v>1075</v>
      </c>
      <c r="Q219" t="s">
        <v>2573</v>
      </c>
      <c r="R219" t="s">
        <v>2574</v>
      </c>
      <c r="S219" t="s">
        <v>2554</v>
      </c>
      <c r="T219" s="32" t="s">
        <v>1881</v>
      </c>
    </row>
    <row r="220" spans="1:20" x14ac:dyDescent="0.2">
      <c r="A220" t="s">
        <v>787</v>
      </c>
      <c r="B220" t="s">
        <v>54</v>
      </c>
      <c r="C220" t="s">
        <v>301</v>
      </c>
      <c r="D220" t="s">
        <v>1093</v>
      </c>
      <c r="E220" t="s">
        <v>636</v>
      </c>
      <c r="F220" t="s">
        <v>16</v>
      </c>
      <c r="G220" s="32">
        <v>45643</v>
      </c>
      <c r="H220" t="s">
        <v>878</v>
      </c>
      <c r="I220" s="32">
        <v>45736</v>
      </c>
      <c r="J220" t="s">
        <v>790</v>
      </c>
      <c r="K220" s="32">
        <v>45882</v>
      </c>
      <c r="L220" s="32">
        <v>46247</v>
      </c>
      <c r="M220" t="s">
        <v>639</v>
      </c>
      <c r="N220" t="s">
        <v>878</v>
      </c>
      <c r="O220" t="s">
        <v>790</v>
      </c>
      <c r="P220" t="s">
        <v>1075</v>
      </c>
      <c r="Q220" t="s">
        <v>643</v>
      </c>
      <c r="R220" t="s">
        <v>643</v>
      </c>
      <c r="S220" t="s">
        <v>643</v>
      </c>
      <c r="T220" s="32" t="s">
        <v>1883</v>
      </c>
    </row>
    <row r="221" spans="1:20" x14ac:dyDescent="0.2">
      <c r="A221" t="s">
        <v>787</v>
      </c>
      <c r="B221" t="s">
        <v>54</v>
      </c>
      <c r="C221" t="s">
        <v>510</v>
      </c>
      <c r="D221" t="s">
        <v>1094</v>
      </c>
      <c r="E221" t="s">
        <v>636</v>
      </c>
      <c r="F221" t="s">
        <v>16</v>
      </c>
      <c r="G221" s="32">
        <v>45670</v>
      </c>
      <c r="H221" t="s">
        <v>878</v>
      </c>
      <c r="I221" s="32">
        <v>45736</v>
      </c>
      <c r="J221" t="s">
        <v>790</v>
      </c>
      <c r="K221" s="32">
        <v>45882</v>
      </c>
      <c r="L221" s="32">
        <v>46247</v>
      </c>
      <c r="M221" t="s">
        <v>639</v>
      </c>
      <c r="N221" t="s">
        <v>878</v>
      </c>
      <c r="O221" t="s">
        <v>790</v>
      </c>
      <c r="P221" t="s">
        <v>1075</v>
      </c>
      <c r="Q221" t="s">
        <v>643</v>
      </c>
      <c r="R221" t="s">
        <v>643</v>
      </c>
      <c r="S221" t="s">
        <v>643</v>
      </c>
      <c r="T221" s="32" t="s">
        <v>1886</v>
      </c>
    </row>
    <row r="222" spans="1:20" x14ac:dyDescent="0.2">
      <c r="A222" t="s">
        <v>690</v>
      </c>
      <c r="B222" t="s">
        <v>57</v>
      </c>
      <c r="C222" t="s">
        <v>298</v>
      </c>
      <c r="D222" t="s">
        <v>1095</v>
      </c>
      <c r="E222" t="s">
        <v>636</v>
      </c>
      <c r="F222" t="s">
        <v>37</v>
      </c>
      <c r="G222" s="32">
        <v>45680</v>
      </c>
      <c r="H222" t="s">
        <v>692</v>
      </c>
      <c r="I222" s="32">
        <v>45714</v>
      </c>
      <c r="J222" t="s">
        <v>643</v>
      </c>
      <c r="K222" s="32"/>
      <c r="L222" s="32">
        <v>46775</v>
      </c>
      <c r="M222" t="s">
        <v>693</v>
      </c>
      <c r="N222" t="s">
        <v>692</v>
      </c>
      <c r="O222" t="s">
        <v>673</v>
      </c>
      <c r="P222" t="s">
        <v>643</v>
      </c>
      <c r="Q222" t="s">
        <v>643</v>
      </c>
      <c r="R222" t="s">
        <v>643</v>
      </c>
      <c r="S222" t="s">
        <v>643</v>
      </c>
      <c r="T222" s="32" t="s">
        <v>1346</v>
      </c>
    </row>
    <row r="223" spans="1:20" x14ac:dyDescent="0.2">
      <c r="A223" t="s">
        <v>690</v>
      </c>
      <c r="B223" t="s">
        <v>57</v>
      </c>
      <c r="C223" t="s">
        <v>317</v>
      </c>
      <c r="D223" t="s">
        <v>1096</v>
      </c>
      <c r="E223" t="s">
        <v>636</v>
      </c>
      <c r="F223" t="s">
        <v>37</v>
      </c>
      <c r="G223" s="32">
        <v>45680</v>
      </c>
      <c r="H223" t="s">
        <v>643</v>
      </c>
      <c r="I223" s="32"/>
      <c r="J223" t="s">
        <v>643</v>
      </c>
      <c r="K223" s="32"/>
      <c r="L223" s="32">
        <v>46775</v>
      </c>
      <c r="M223" t="s">
        <v>687</v>
      </c>
      <c r="N223" t="s">
        <v>692</v>
      </c>
      <c r="O223" t="s">
        <v>673</v>
      </c>
      <c r="P223" t="s">
        <v>643</v>
      </c>
      <c r="Q223" t="s">
        <v>643</v>
      </c>
      <c r="R223" t="s">
        <v>643</v>
      </c>
      <c r="S223" t="s">
        <v>643</v>
      </c>
      <c r="T223" s="32" t="s">
        <v>1346</v>
      </c>
    </row>
    <row r="224" spans="1:20" x14ac:dyDescent="0.2">
      <c r="A224" t="s">
        <v>787</v>
      </c>
      <c r="B224" t="s">
        <v>54</v>
      </c>
      <c r="C224" t="s">
        <v>134</v>
      </c>
      <c r="D224" t="s">
        <v>1097</v>
      </c>
      <c r="E224" t="s">
        <v>636</v>
      </c>
      <c r="F224" t="s">
        <v>37</v>
      </c>
      <c r="G224" s="32">
        <v>46176</v>
      </c>
      <c r="H224" t="s">
        <v>878</v>
      </c>
      <c r="I224" s="32">
        <v>46177</v>
      </c>
      <c r="J224" t="s">
        <v>790</v>
      </c>
      <c r="K224" s="32">
        <v>46218</v>
      </c>
      <c r="L224" s="32">
        <v>46583</v>
      </c>
      <c r="M224" t="s">
        <v>639</v>
      </c>
      <c r="N224" t="s">
        <v>878</v>
      </c>
      <c r="O224" t="s">
        <v>790</v>
      </c>
      <c r="P224" t="s">
        <v>1075</v>
      </c>
      <c r="Q224" t="s">
        <v>2578</v>
      </c>
      <c r="R224" t="s">
        <v>2579</v>
      </c>
      <c r="S224" t="s">
        <v>2554</v>
      </c>
      <c r="T224" s="32" t="s">
        <v>2575</v>
      </c>
    </row>
    <row r="225" spans="1:20" x14ac:dyDescent="0.2">
      <c r="A225" t="s">
        <v>787</v>
      </c>
      <c r="B225" t="s">
        <v>54</v>
      </c>
      <c r="C225" t="s">
        <v>177</v>
      </c>
      <c r="D225" t="s">
        <v>1099</v>
      </c>
      <c r="E225" t="s">
        <v>649</v>
      </c>
      <c r="F225" t="s">
        <v>37</v>
      </c>
      <c r="G225" s="32">
        <v>45677</v>
      </c>
      <c r="H225" t="s">
        <v>878</v>
      </c>
      <c r="I225" s="32">
        <v>46177</v>
      </c>
      <c r="J225" t="s">
        <v>790</v>
      </c>
      <c r="K225" s="32">
        <v>46218</v>
      </c>
      <c r="L225" s="32">
        <v>46583</v>
      </c>
      <c r="M225" t="s">
        <v>639</v>
      </c>
      <c r="N225" t="s">
        <v>878</v>
      </c>
      <c r="O225" t="s">
        <v>790</v>
      </c>
      <c r="P225" t="s">
        <v>1075</v>
      </c>
      <c r="Q225" t="s">
        <v>2494</v>
      </c>
      <c r="R225" t="s">
        <v>2495</v>
      </c>
      <c r="S225" t="s">
        <v>2496</v>
      </c>
      <c r="T225" s="32" t="s">
        <v>1802</v>
      </c>
    </row>
    <row r="226" spans="1:20" x14ac:dyDescent="0.2">
      <c r="A226" t="s">
        <v>787</v>
      </c>
      <c r="B226" t="s">
        <v>54</v>
      </c>
      <c r="C226" t="s">
        <v>209</v>
      </c>
      <c r="D226" t="s">
        <v>1100</v>
      </c>
      <c r="E226" t="s">
        <v>649</v>
      </c>
      <c r="F226" t="s">
        <v>37</v>
      </c>
      <c r="G226" s="32">
        <v>45677</v>
      </c>
      <c r="H226" t="s">
        <v>878</v>
      </c>
      <c r="I226" s="32">
        <v>46177</v>
      </c>
      <c r="J226" t="s">
        <v>790</v>
      </c>
      <c r="K226" s="32">
        <v>46218</v>
      </c>
      <c r="L226" s="32">
        <v>46583</v>
      </c>
      <c r="M226" t="s">
        <v>639</v>
      </c>
      <c r="N226" t="s">
        <v>878</v>
      </c>
      <c r="O226" t="s">
        <v>790</v>
      </c>
      <c r="P226" t="s">
        <v>1075</v>
      </c>
      <c r="Q226" t="s">
        <v>1101</v>
      </c>
      <c r="R226" t="s">
        <v>1101</v>
      </c>
      <c r="S226" t="s">
        <v>703</v>
      </c>
      <c r="T226" s="32" t="s">
        <v>1802</v>
      </c>
    </row>
    <row r="227" spans="1:20" x14ac:dyDescent="0.2">
      <c r="A227" t="s">
        <v>787</v>
      </c>
      <c r="B227" t="s">
        <v>54</v>
      </c>
      <c r="C227" t="s">
        <v>405</v>
      </c>
      <c r="D227" t="s">
        <v>1102</v>
      </c>
      <c r="E227" t="s">
        <v>636</v>
      </c>
      <c r="F227" t="s">
        <v>34</v>
      </c>
      <c r="G227" s="32">
        <v>45539</v>
      </c>
      <c r="H227" t="s">
        <v>878</v>
      </c>
      <c r="I227" s="32">
        <v>45681</v>
      </c>
      <c r="J227" t="s">
        <v>790</v>
      </c>
      <c r="K227" s="32">
        <v>45700</v>
      </c>
      <c r="L227" s="32">
        <v>46065</v>
      </c>
      <c r="M227" t="s">
        <v>639</v>
      </c>
      <c r="N227" t="s">
        <v>878</v>
      </c>
      <c r="O227" t="s">
        <v>790</v>
      </c>
      <c r="P227" t="s">
        <v>1075</v>
      </c>
      <c r="Q227" t="s">
        <v>1103</v>
      </c>
      <c r="R227" t="s">
        <v>1104</v>
      </c>
      <c r="S227" t="s">
        <v>703</v>
      </c>
      <c r="T227" s="32" t="s">
        <v>1767</v>
      </c>
    </row>
    <row r="228" spans="1:20" x14ac:dyDescent="0.2">
      <c r="A228" t="s">
        <v>787</v>
      </c>
      <c r="B228" t="s">
        <v>54</v>
      </c>
      <c r="C228" t="s">
        <v>304</v>
      </c>
      <c r="D228" t="s">
        <v>1105</v>
      </c>
      <c r="E228" t="s">
        <v>636</v>
      </c>
      <c r="F228" t="s">
        <v>34</v>
      </c>
      <c r="G228" s="32">
        <v>45656</v>
      </c>
      <c r="H228" t="s">
        <v>878</v>
      </c>
      <c r="I228" s="32">
        <v>45681</v>
      </c>
      <c r="J228" t="s">
        <v>790</v>
      </c>
      <c r="K228" s="32">
        <v>45700</v>
      </c>
      <c r="L228" s="32">
        <v>46065</v>
      </c>
      <c r="M228" t="s">
        <v>639</v>
      </c>
      <c r="N228" t="s">
        <v>878</v>
      </c>
      <c r="O228" t="s">
        <v>790</v>
      </c>
      <c r="P228" t="s">
        <v>1075</v>
      </c>
      <c r="Q228" t="s">
        <v>643</v>
      </c>
      <c r="R228" t="s">
        <v>643</v>
      </c>
      <c r="S228" t="s">
        <v>643</v>
      </c>
      <c r="T228" s="32" t="s">
        <v>1892</v>
      </c>
    </row>
    <row r="229" spans="1:20" x14ac:dyDescent="0.2">
      <c r="A229" t="s">
        <v>787</v>
      </c>
      <c r="B229" t="s">
        <v>54</v>
      </c>
      <c r="C229" t="s">
        <v>321</v>
      </c>
      <c r="D229" t="s">
        <v>1106</v>
      </c>
      <c r="E229" t="s">
        <v>649</v>
      </c>
      <c r="F229" t="s">
        <v>34</v>
      </c>
      <c r="G229" s="32">
        <v>45638</v>
      </c>
      <c r="H229" t="s">
        <v>878</v>
      </c>
      <c r="I229" s="32">
        <v>46177</v>
      </c>
      <c r="J229" t="s">
        <v>790</v>
      </c>
      <c r="K229" s="32">
        <v>46218</v>
      </c>
      <c r="L229" s="32">
        <v>46583</v>
      </c>
      <c r="M229" t="s">
        <v>639</v>
      </c>
      <c r="N229" t="s">
        <v>878</v>
      </c>
      <c r="O229" t="s">
        <v>790</v>
      </c>
      <c r="P229" t="s">
        <v>1075</v>
      </c>
      <c r="Q229" t="s">
        <v>652</v>
      </c>
      <c r="R229" t="s">
        <v>2578</v>
      </c>
      <c r="S229" t="s">
        <v>2554</v>
      </c>
      <c r="T229" s="32" t="s">
        <v>1895</v>
      </c>
    </row>
    <row r="230" spans="1:20" x14ac:dyDescent="0.2">
      <c r="A230" t="s">
        <v>634</v>
      </c>
      <c r="B230" t="s">
        <v>56</v>
      </c>
      <c r="C230" t="s">
        <v>343</v>
      </c>
      <c r="D230" t="s">
        <v>1107</v>
      </c>
      <c r="E230" t="s">
        <v>636</v>
      </c>
      <c r="F230" t="s">
        <v>925</v>
      </c>
      <c r="G230" s="32">
        <v>45680</v>
      </c>
      <c r="H230" t="s">
        <v>698</v>
      </c>
      <c r="I230" s="32">
        <v>45681</v>
      </c>
      <c r="J230" t="s">
        <v>673</v>
      </c>
      <c r="K230" s="32">
        <v>45702</v>
      </c>
      <c r="L230" s="32">
        <v>46775</v>
      </c>
      <c r="M230" t="s">
        <v>639</v>
      </c>
      <c r="N230" t="s">
        <v>835</v>
      </c>
      <c r="O230" t="s">
        <v>673</v>
      </c>
      <c r="P230" t="s">
        <v>786</v>
      </c>
      <c r="Q230" t="s">
        <v>1108</v>
      </c>
      <c r="R230" t="s">
        <v>1109</v>
      </c>
      <c r="S230" t="s">
        <v>676</v>
      </c>
      <c r="T230" s="32" t="s">
        <v>1346</v>
      </c>
    </row>
    <row r="231" spans="1:20" x14ac:dyDescent="0.2">
      <c r="A231" t="s">
        <v>787</v>
      </c>
      <c r="B231" t="s">
        <v>54</v>
      </c>
      <c r="C231" t="s">
        <v>2589</v>
      </c>
      <c r="D231" t="s">
        <v>1110</v>
      </c>
      <c r="E231" t="s">
        <v>709</v>
      </c>
      <c r="F231" t="s">
        <v>34</v>
      </c>
      <c r="G231" s="32">
        <v>45680</v>
      </c>
      <c r="H231" t="s">
        <v>878</v>
      </c>
      <c r="I231" s="32">
        <v>46177</v>
      </c>
      <c r="J231" t="s">
        <v>790</v>
      </c>
      <c r="K231" s="32">
        <v>46218</v>
      </c>
      <c r="L231" s="32">
        <v>46583</v>
      </c>
      <c r="M231" t="s">
        <v>639</v>
      </c>
      <c r="N231" t="s">
        <v>878</v>
      </c>
      <c r="O231" t="s">
        <v>790</v>
      </c>
      <c r="P231" t="s">
        <v>1075</v>
      </c>
      <c r="Q231" t="s">
        <v>652</v>
      </c>
      <c r="R231" t="s">
        <v>2592</v>
      </c>
      <c r="S231" t="s">
        <v>2554</v>
      </c>
      <c r="T231" s="32" t="s">
        <v>1346</v>
      </c>
    </row>
    <row r="232" spans="1:20" x14ac:dyDescent="0.2">
      <c r="A232" t="s">
        <v>690</v>
      </c>
      <c r="B232" t="s">
        <v>710</v>
      </c>
      <c r="C232" t="s">
        <v>348</v>
      </c>
      <c r="D232" t="s">
        <v>958</v>
      </c>
      <c r="E232" t="s">
        <v>636</v>
      </c>
      <c r="F232" t="s">
        <v>16</v>
      </c>
      <c r="G232" s="32">
        <v>45680</v>
      </c>
      <c r="H232" t="s">
        <v>727</v>
      </c>
      <c r="I232" s="32">
        <v>45846</v>
      </c>
      <c r="J232" t="s">
        <v>673</v>
      </c>
      <c r="K232" s="32">
        <v>45877</v>
      </c>
      <c r="L232" s="32">
        <v>46242</v>
      </c>
      <c r="M232" t="s">
        <v>639</v>
      </c>
      <c r="N232" t="s">
        <v>720</v>
      </c>
      <c r="O232" t="s">
        <v>673</v>
      </c>
      <c r="P232" t="s">
        <v>713</v>
      </c>
      <c r="Q232" t="s">
        <v>959</v>
      </c>
      <c r="R232" t="s">
        <v>960</v>
      </c>
      <c r="S232" t="s">
        <v>676</v>
      </c>
      <c r="T232" s="32" t="s">
        <v>1346</v>
      </c>
    </row>
    <row r="233" spans="1:20" x14ac:dyDescent="0.2">
      <c r="A233" t="s">
        <v>690</v>
      </c>
      <c r="B233" t="s">
        <v>710</v>
      </c>
      <c r="C233" t="s">
        <v>546</v>
      </c>
      <c r="D233" t="s">
        <v>976</v>
      </c>
      <c r="E233" t="s">
        <v>636</v>
      </c>
      <c r="F233" t="s">
        <v>16</v>
      </c>
      <c r="G233" s="32">
        <v>45680</v>
      </c>
      <c r="H233" t="s">
        <v>727</v>
      </c>
      <c r="I233" s="32">
        <v>45846</v>
      </c>
      <c r="J233" t="s">
        <v>673</v>
      </c>
      <c r="K233" s="32">
        <v>45734</v>
      </c>
      <c r="L233" s="32">
        <v>46775</v>
      </c>
      <c r="M233" t="s">
        <v>693</v>
      </c>
      <c r="N233" t="s">
        <v>731</v>
      </c>
      <c r="O233" t="s">
        <v>673</v>
      </c>
      <c r="P233" t="s">
        <v>713</v>
      </c>
      <c r="Q233" t="s">
        <v>959</v>
      </c>
      <c r="R233" t="s">
        <v>960</v>
      </c>
      <c r="S233" t="s">
        <v>676</v>
      </c>
      <c r="T233" s="32" t="s">
        <v>1346</v>
      </c>
    </row>
    <row r="234" spans="1:20" x14ac:dyDescent="0.2">
      <c r="A234" t="s">
        <v>690</v>
      </c>
      <c r="B234" t="s">
        <v>710</v>
      </c>
      <c r="C234" t="s">
        <v>547</v>
      </c>
      <c r="D234" t="s">
        <v>977</v>
      </c>
      <c r="E234" t="s">
        <v>636</v>
      </c>
      <c r="F234" t="s">
        <v>16</v>
      </c>
      <c r="G234" s="32">
        <v>45680</v>
      </c>
      <c r="H234" t="s">
        <v>727</v>
      </c>
      <c r="I234" s="32">
        <v>45846</v>
      </c>
      <c r="J234" t="s">
        <v>673</v>
      </c>
      <c r="K234" s="32">
        <v>45734</v>
      </c>
      <c r="L234" s="32">
        <v>46775</v>
      </c>
      <c r="M234" t="s">
        <v>693</v>
      </c>
      <c r="N234" t="s">
        <v>755</v>
      </c>
      <c r="O234" t="s">
        <v>673</v>
      </c>
      <c r="P234" t="s">
        <v>713</v>
      </c>
      <c r="Q234" t="s">
        <v>959</v>
      </c>
      <c r="R234" t="s">
        <v>960</v>
      </c>
      <c r="S234" t="s">
        <v>676</v>
      </c>
      <c r="T234" s="32" t="s">
        <v>1346</v>
      </c>
    </row>
    <row r="235" spans="1:20" x14ac:dyDescent="0.2">
      <c r="A235" t="s">
        <v>690</v>
      </c>
      <c r="B235" t="s">
        <v>710</v>
      </c>
      <c r="C235" t="s">
        <v>549</v>
      </c>
      <c r="D235" t="s">
        <v>1040</v>
      </c>
      <c r="E235" t="s">
        <v>636</v>
      </c>
      <c r="F235" t="s">
        <v>16</v>
      </c>
      <c r="G235" s="32">
        <v>45680</v>
      </c>
      <c r="H235" t="s">
        <v>727</v>
      </c>
      <c r="I235" s="32">
        <v>45863</v>
      </c>
      <c r="J235" t="s">
        <v>673</v>
      </c>
      <c r="K235" s="32">
        <v>45877</v>
      </c>
      <c r="L235" s="32">
        <v>46242</v>
      </c>
      <c r="M235" t="s">
        <v>639</v>
      </c>
      <c r="N235" t="s">
        <v>720</v>
      </c>
      <c r="O235" t="s">
        <v>673</v>
      </c>
      <c r="P235" t="s">
        <v>713</v>
      </c>
      <c r="Q235" t="s">
        <v>959</v>
      </c>
      <c r="R235" t="s">
        <v>960</v>
      </c>
      <c r="S235" t="s">
        <v>676</v>
      </c>
      <c r="T235" s="32" t="s">
        <v>1346</v>
      </c>
    </row>
    <row r="236" spans="1:20" x14ac:dyDescent="0.2">
      <c r="A236" t="s">
        <v>787</v>
      </c>
      <c r="B236" t="s">
        <v>36</v>
      </c>
      <c r="C236" t="s">
        <v>87</v>
      </c>
      <c r="D236" t="s">
        <v>1115</v>
      </c>
      <c r="E236" t="s">
        <v>636</v>
      </c>
      <c r="F236" t="s">
        <v>10</v>
      </c>
      <c r="G236" s="32">
        <v>45593</v>
      </c>
      <c r="H236" t="s">
        <v>643</v>
      </c>
      <c r="I236" s="32"/>
      <c r="J236" t="s">
        <v>643</v>
      </c>
      <c r="K236" s="32"/>
      <c r="L236" s="32">
        <v>46688</v>
      </c>
      <c r="M236" t="s">
        <v>687</v>
      </c>
      <c r="N236" t="s">
        <v>855</v>
      </c>
      <c r="O236" t="s">
        <v>790</v>
      </c>
      <c r="P236" t="s">
        <v>643</v>
      </c>
      <c r="Q236" t="s">
        <v>643</v>
      </c>
      <c r="R236" t="s">
        <v>643</v>
      </c>
      <c r="S236" t="s">
        <v>643</v>
      </c>
      <c r="T236" s="32" t="s">
        <v>1910</v>
      </c>
    </row>
    <row r="237" spans="1:20" x14ac:dyDescent="0.2">
      <c r="A237" t="s">
        <v>690</v>
      </c>
      <c r="B237" t="s">
        <v>710</v>
      </c>
      <c r="C237" t="s">
        <v>554</v>
      </c>
      <c r="D237" t="s">
        <v>1236</v>
      </c>
      <c r="E237" t="s">
        <v>636</v>
      </c>
      <c r="F237" t="s">
        <v>34</v>
      </c>
      <c r="G237" s="32">
        <v>45679</v>
      </c>
      <c r="H237" t="s">
        <v>692</v>
      </c>
      <c r="I237" s="32">
        <v>45842</v>
      </c>
      <c r="J237" t="s">
        <v>673</v>
      </c>
      <c r="K237" s="32">
        <v>45877</v>
      </c>
      <c r="L237" s="32">
        <v>46242</v>
      </c>
      <c r="M237" t="s">
        <v>639</v>
      </c>
      <c r="N237" t="s">
        <v>724</v>
      </c>
      <c r="O237" t="s">
        <v>673</v>
      </c>
      <c r="P237" t="s">
        <v>713</v>
      </c>
      <c r="Q237" t="s">
        <v>643</v>
      </c>
      <c r="R237" t="s">
        <v>643</v>
      </c>
      <c r="S237" t="s">
        <v>643</v>
      </c>
      <c r="T237" s="32" t="s">
        <v>2011</v>
      </c>
    </row>
    <row r="238" spans="1:20" x14ac:dyDescent="0.2">
      <c r="A238" t="s">
        <v>690</v>
      </c>
      <c r="B238" t="s">
        <v>710</v>
      </c>
      <c r="C238" t="s">
        <v>543</v>
      </c>
      <c r="D238" t="s">
        <v>1182</v>
      </c>
      <c r="E238" t="s">
        <v>636</v>
      </c>
      <c r="F238" t="s">
        <v>34</v>
      </c>
      <c r="G238" s="32">
        <v>45679</v>
      </c>
      <c r="H238" t="s">
        <v>692</v>
      </c>
      <c r="I238" s="32">
        <v>45714</v>
      </c>
      <c r="J238" t="s">
        <v>673</v>
      </c>
      <c r="K238" s="32">
        <v>45762</v>
      </c>
      <c r="L238" s="32">
        <v>46127</v>
      </c>
      <c r="M238" t="s">
        <v>639</v>
      </c>
      <c r="N238" t="s">
        <v>712</v>
      </c>
      <c r="O238" t="s">
        <v>673</v>
      </c>
      <c r="P238" t="s">
        <v>713</v>
      </c>
      <c r="Q238" t="s">
        <v>721</v>
      </c>
      <c r="R238" t="s">
        <v>1183</v>
      </c>
      <c r="S238" t="s">
        <v>676</v>
      </c>
      <c r="T238" s="32" t="s">
        <v>2011</v>
      </c>
    </row>
    <row r="239" spans="1:20" x14ac:dyDescent="0.2">
      <c r="A239" t="s">
        <v>774</v>
      </c>
      <c r="B239" t="s">
        <v>1119</v>
      </c>
      <c r="C239" t="s">
        <v>465</v>
      </c>
      <c r="D239" t="s">
        <v>1120</v>
      </c>
      <c r="E239" t="s">
        <v>649</v>
      </c>
      <c r="F239" t="s">
        <v>16</v>
      </c>
      <c r="G239" s="32">
        <v>45695</v>
      </c>
      <c r="H239" t="s">
        <v>839</v>
      </c>
      <c r="I239" s="32">
        <v>46020</v>
      </c>
      <c r="J239" t="s">
        <v>673</v>
      </c>
      <c r="K239" s="32">
        <v>46083</v>
      </c>
      <c r="L239" s="32">
        <v>46448</v>
      </c>
      <c r="M239" t="s">
        <v>639</v>
      </c>
      <c r="N239" t="s">
        <v>839</v>
      </c>
      <c r="O239" t="s">
        <v>673</v>
      </c>
      <c r="P239" t="s">
        <v>840</v>
      </c>
      <c r="Q239" t="s">
        <v>1121</v>
      </c>
      <c r="R239" t="s">
        <v>1122</v>
      </c>
      <c r="S239" t="s">
        <v>703</v>
      </c>
      <c r="T239" s="32" t="s">
        <v>1919</v>
      </c>
    </row>
    <row r="240" spans="1:20" x14ac:dyDescent="0.2">
      <c r="A240" t="s">
        <v>774</v>
      </c>
      <c r="B240" t="s">
        <v>1119</v>
      </c>
      <c r="C240" t="s">
        <v>472</v>
      </c>
      <c r="D240" t="s">
        <v>1123</v>
      </c>
      <c r="E240" t="s">
        <v>636</v>
      </c>
      <c r="F240" t="s">
        <v>16</v>
      </c>
      <c r="G240" s="32">
        <v>45694</v>
      </c>
      <c r="H240" t="s">
        <v>643</v>
      </c>
      <c r="I240" s="32"/>
      <c r="J240" t="s">
        <v>703</v>
      </c>
      <c r="K240" s="32">
        <v>45695</v>
      </c>
      <c r="L240" s="32">
        <v>46060</v>
      </c>
      <c r="M240" t="s">
        <v>639</v>
      </c>
      <c r="N240" t="s">
        <v>839</v>
      </c>
      <c r="O240" t="s">
        <v>673</v>
      </c>
      <c r="P240" t="s">
        <v>643</v>
      </c>
      <c r="Q240" t="s">
        <v>939</v>
      </c>
      <c r="R240" t="s">
        <v>2192</v>
      </c>
      <c r="S240" t="s">
        <v>703</v>
      </c>
      <c r="T240" s="32" t="s">
        <v>1921</v>
      </c>
    </row>
    <row r="241" spans="1:20" x14ac:dyDescent="0.2">
      <c r="A241" t="s">
        <v>774</v>
      </c>
      <c r="B241" t="s">
        <v>26</v>
      </c>
      <c r="C241" t="s">
        <v>231</v>
      </c>
      <c r="D241" t="s">
        <v>989</v>
      </c>
      <c r="E241" t="s">
        <v>636</v>
      </c>
      <c r="F241" t="s">
        <v>27</v>
      </c>
      <c r="G241" s="32">
        <v>45653</v>
      </c>
      <c r="H241" t="s">
        <v>698</v>
      </c>
      <c r="I241" s="32">
        <v>45708</v>
      </c>
      <c r="J241" t="s">
        <v>673</v>
      </c>
      <c r="K241" s="32">
        <v>45762</v>
      </c>
      <c r="L241" s="32">
        <v>46127</v>
      </c>
      <c r="M241" t="s">
        <v>639</v>
      </c>
      <c r="N241" t="s">
        <v>698</v>
      </c>
      <c r="O241" t="s">
        <v>673</v>
      </c>
      <c r="P241" t="s">
        <v>778</v>
      </c>
      <c r="Q241" t="s">
        <v>643</v>
      </c>
      <c r="R241" t="s">
        <v>643</v>
      </c>
      <c r="S241" t="s">
        <v>643</v>
      </c>
      <c r="T241" s="32" t="s">
        <v>1698</v>
      </c>
    </row>
    <row r="242" spans="1:20" x14ac:dyDescent="0.2">
      <c r="A242" t="s">
        <v>667</v>
      </c>
      <c r="B242" t="s">
        <v>55</v>
      </c>
      <c r="C242" t="s">
        <v>468</v>
      </c>
      <c r="D242" t="s">
        <v>686</v>
      </c>
      <c r="E242" t="s">
        <v>636</v>
      </c>
      <c r="F242" t="s">
        <v>16</v>
      </c>
      <c r="G242" s="32">
        <v>45680</v>
      </c>
      <c r="H242" t="s">
        <v>727</v>
      </c>
      <c r="I242" s="32">
        <v>46142</v>
      </c>
      <c r="J242" t="s">
        <v>673</v>
      </c>
      <c r="K242" s="32">
        <v>46183</v>
      </c>
      <c r="L242" s="32">
        <v>46548</v>
      </c>
      <c r="M242" t="s">
        <v>639</v>
      </c>
      <c r="N242" t="s">
        <v>688</v>
      </c>
      <c r="O242" t="s">
        <v>673</v>
      </c>
      <c r="P242" t="s">
        <v>683</v>
      </c>
      <c r="Q242" t="s">
        <v>643</v>
      </c>
      <c r="R242" t="s">
        <v>643</v>
      </c>
      <c r="S242" t="s">
        <v>643</v>
      </c>
      <c r="T242" s="32" t="s">
        <v>1346</v>
      </c>
    </row>
    <row r="243" spans="1:20" x14ac:dyDescent="0.2">
      <c r="A243" t="s">
        <v>774</v>
      </c>
      <c r="B243" t="s">
        <v>26</v>
      </c>
      <c r="C243" t="s">
        <v>838</v>
      </c>
      <c r="D243" t="s">
        <v>837</v>
      </c>
      <c r="E243" t="s">
        <v>709</v>
      </c>
      <c r="F243" t="s">
        <v>16</v>
      </c>
      <c r="G243" s="32">
        <v>43805</v>
      </c>
      <c r="H243" t="s">
        <v>839</v>
      </c>
      <c r="I243" s="32">
        <v>45799</v>
      </c>
      <c r="J243" t="s">
        <v>673</v>
      </c>
      <c r="K243" s="32">
        <v>45877</v>
      </c>
      <c r="L243" s="32">
        <v>46242</v>
      </c>
      <c r="M243" t="s">
        <v>639</v>
      </c>
      <c r="N243" t="s">
        <v>839</v>
      </c>
      <c r="O243" t="s">
        <v>673</v>
      </c>
      <c r="P243" t="s">
        <v>840</v>
      </c>
      <c r="Q243" t="s">
        <v>721</v>
      </c>
      <c r="R243" t="s">
        <v>841</v>
      </c>
      <c r="S243" t="s">
        <v>676</v>
      </c>
      <c r="T243" s="32" t="s">
        <v>1516</v>
      </c>
    </row>
    <row r="244" spans="1:20" x14ac:dyDescent="0.2">
      <c r="A244" t="s">
        <v>787</v>
      </c>
      <c r="B244" t="s">
        <v>36</v>
      </c>
      <c r="C244" t="s">
        <v>504</v>
      </c>
      <c r="D244" t="s">
        <v>1130</v>
      </c>
      <c r="E244" t="s">
        <v>636</v>
      </c>
      <c r="F244" t="s">
        <v>16</v>
      </c>
      <c r="G244" s="32">
        <v>45693</v>
      </c>
      <c r="H244" t="s">
        <v>727</v>
      </c>
      <c r="I244" s="32">
        <v>45905</v>
      </c>
      <c r="J244" t="s">
        <v>790</v>
      </c>
      <c r="K244" s="32">
        <v>45917</v>
      </c>
      <c r="L244" s="32">
        <v>46282</v>
      </c>
      <c r="M244" t="s">
        <v>639</v>
      </c>
      <c r="N244" t="s">
        <v>1131</v>
      </c>
      <c r="O244" t="s">
        <v>790</v>
      </c>
      <c r="P244" t="s">
        <v>857</v>
      </c>
      <c r="Q244" t="s">
        <v>721</v>
      </c>
      <c r="R244" t="s">
        <v>760</v>
      </c>
      <c r="S244" t="s">
        <v>676</v>
      </c>
      <c r="T244" s="32" t="s">
        <v>1930</v>
      </c>
    </row>
    <row r="245" spans="1:20" x14ac:dyDescent="0.2">
      <c r="A245" t="s">
        <v>787</v>
      </c>
      <c r="B245" t="s">
        <v>36</v>
      </c>
      <c r="C245" t="s">
        <v>506</v>
      </c>
      <c r="D245" t="s">
        <v>1132</v>
      </c>
      <c r="E245" t="s">
        <v>636</v>
      </c>
      <c r="F245" t="s">
        <v>16</v>
      </c>
      <c r="G245" s="32">
        <v>45693</v>
      </c>
      <c r="H245" t="s">
        <v>727</v>
      </c>
      <c r="I245" s="32">
        <v>45905</v>
      </c>
      <c r="J245" t="s">
        <v>790</v>
      </c>
      <c r="K245" s="32">
        <v>45917</v>
      </c>
      <c r="L245" s="32">
        <v>46282</v>
      </c>
      <c r="M245" t="s">
        <v>639</v>
      </c>
      <c r="N245" t="s">
        <v>1133</v>
      </c>
      <c r="O245" t="s">
        <v>790</v>
      </c>
      <c r="P245" t="s">
        <v>857</v>
      </c>
      <c r="Q245" t="s">
        <v>721</v>
      </c>
      <c r="R245" t="s">
        <v>760</v>
      </c>
      <c r="S245" t="s">
        <v>676</v>
      </c>
      <c r="T245" s="32" t="s">
        <v>1930</v>
      </c>
    </row>
    <row r="246" spans="1:20" x14ac:dyDescent="0.2">
      <c r="A246" t="s">
        <v>787</v>
      </c>
      <c r="B246" t="s">
        <v>63</v>
      </c>
      <c r="C246" t="s">
        <v>473</v>
      </c>
      <c r="D246" t="s">
        <v>1134</v>
      </c>
      <c r="E246" t="s">
        <v>636</v>
      </c>
      <c r="F246" t="s">
        <v>16</v>
      </c>
      <c r="G246" s="32">
        <v>45693</v>
      </c>
      <c r="H246" t="s">
        <v>727</v>
      </c>
      <c r="I246" s="32">
        <v>45905</v>
      </c>
      <c r="J246" t="s">
        <v>790</v>
      </c>
      <c r="K246" s="32">
        <v>45917</v>
      </c>
      <c r="L246" s="32">
        <v>46282</v>
      </c>
      <c r="M246" t="s">
        <v>639</v>
      </c>
      <c r="N246" t="s">
        <v>727</v>
      </c>
      <c r="O246" t="s">
        <v>790</v>
      </c>
      <c r="P246" t="s">
        <v>1135</v>
      </c>
      <c r="Q246" t="s">
        <v>911</v>
      </c>
      <c r="R246" t="s">
        <v>1136</v>
      </c>
      <c r="S246" t="s">
        <v>676</v>
      </c>
      <c r="T246" s="32" t="s">
        <v>1930</v>
      </c>
    </row>
    <row r="247" spans="1:20" x14ac:dyDescent="0.2">
      <c r="A247" t="s">
        <v>787</v>
      </c>
      <c r="B247" t="s">
        <v>63</v>
      </c>
      <c r="C247" t="s">
        <v>467</v>
      </c>
      <c r="D247" t="s">
        <v>1137</v>
      </c>
      <c r="E247" t="s">
        <v>636</v>
      </c>
      <c r="F247" t="s">
        <v>16</v>
      </c>
      <c r="G247" s="32">
        <v>45693</v>
      </c>
      <c r="H247" t="s">
        <v>727</v>
      </c>
      <c r="I247" s="32">
        <v>45905</v>
      </c>
      <c r="J247" t="s">
        <v>790</v>
      </c>
      <c r="K247" s="32">
        <v>45917</v>
      </c>
      <c r="L247" s="32">
        <v>46282</v>
      </c>
      <c r="M247" t="s">
        <v>639</v>
      </c>
      <c r="N247" t="s">
        <v>727</v>
      </c>
      <c r="O247" t="s">
        <v>790</v>
      </c>
      <c r="P247" t="s">
        <v>1135</v>
      </c>
      <c r="Q247" t="s">
        <v>721</v>
      </c>
      <c r="R247" t="s">
        <v>1138</v>
      </c>
      <c r="S247" t="s">
        <v>676</v>
      </c>
      <c r="T247" s="32" t="s">
        <v>1930</v>
      </c>
    </row>
    <row r="248" spans="1:20" x14ac:dyDescent="0.2">
      <c r="A248" t="s">
        <v>1006</v>
      </c>
      <c r="B248" t="s">
        <v>643</v>
      </c>
      <c r="C248" t="s">
        <v>645</v>
      </c>
      <c r="D248" t="s">
        <v>1007</v>
      </c>
      <c r="E248" t="s">
        <v>636</v>
      </c>
      <c r="F248" t="s">
        <v>10</v>
      </c>
      <c r="G248" s="32">
        <v>45406</v>
      </c>
      <c r="H248" t="s">
        <v>727</v>
      </c>
      <c r="I248" s="32">
        <v>45723</v>
      </c>
      <c r="J248" t="s">
        <v>643</v>
      </c>
      <c r="K248" s="32"/>
      <c r="L248" s="32">
        <v>46501</v>
      </c>
      <c r="M248" t="s">
        <v>693</v>
      </c>
      <c r="N248" t="s">
        <v>1008</v>
      </c>
      <c r="O248" t="s">
        <v>656</v>
      </c>
      <c r="P248" t="s">
        <v>1009</v>
      </c>
      <c r="Q248" t="s">
        <v>643</v>
      </c>
      <c r="R248" t="s">
        <v>643</v>
      </c>
      <c r="S248" t="s">
        <v>643</v>
      </c>
      <c r="T248" s="32" t="s">
        <v>1722</v>
      </c>
    </row>
    <row r="249" spans="1:20" x14ac:dyDescent="0.2">
      <c r="A249" t="s">
        <v>1006</v>
      </c>
      <c r="B249" t="s">
        <v>643</v>
      </c>
      <c r="C249" t="s">
        <v>152</v>
      </c>
      <c r="D249" t="s">
        <v>1018</v>
      </c>
      <c r="E249" t="s">
        <v>636</v>
      </c>
      <c r="F249" t="s">
        <v>16</v>
      </c>
      <c r="G249" s="32">
        <v>45222</v>
      </c>
      <c r="H249" t="s">
        <v>643</v>
      </c>
      <c r="I249" s="32"/>
      <c r="J249" t="s">
        <v>676</v>
      </c>
      <c r="K249" s="32">
        <v>45715</v>
      </c>
      <c r="L249" s="32">
        <v>46318</v>
      </c>
      <c r="M249" t="s">
        <v>639</v>
      </c>
      <c r="N249" t="s">
        <v>1011</v>
      </c>
      <c r="O249" t="s">
        <v>656</v>
      </c>
      <c r="P249" t="s">
        <v>643</v>
      </c>
      <c r="Q249" t="s">
        <v>643</v>
      </c>
      <c r="R249" t="s">
        <v>643</v>
      </c>
      <c r="S249" t="s">
        <v>643</v>
      </c>
      <c r="T249" s="32" t="s">
        <v>1368</v>
      </c>
    </row>
    <row r="250" spans="1:20" x14ac:dyDescent="0.2">
      <c r="A250" t="s">
        <v>1006</v>
      </c>
      <c r="B250" t="s">
        <v>643</v>
      </c>
      <c r="C250" t="s">
        <v>369</v>
      </c>
      <c r="D250" t="s">
        <v>1017</v>
      </c>
      <c r="E250" t="s">
        <v>649</v>
      </c>
      <c r="F250" t="s">
        <v>16</v>
      </c>
      <c r="G250" s="32">
        <v>45467</v>
      </c>
      <c r="H250" t="s">
        <v>1011</v>
      </c>
      <c r="I250" s="32">
        <v>45894</v>
      </c>
      <c r="J250" t="s">
        <v>727</v>
      </c>
      <c r="K250" s="32">
        <v>45894</v>
      </c>
      <c r="L250" s="32">
        <v>46259</v>
      </c>
      <c r="M250" t="s">
        <v>639</v>
      </c>
      <c r="N250" t="s">
        <v>1011</v>
      </c>
      <c r="O250" t="s">
        <v>727</v>
      </c>
      <c r="P250" t="s">
        <v>1009</v>
      </c>
      <c r="Q250" t="s">
        <v>721</v>
      </c>
      <c r="R250" t="s">
        <v>815</v>
      </c>
      <c r="S250" t="s">
        <v>676</v>
      </c>
      <c r="T250" s="32" t="s">
        <v>1736</v>
      </c>
    </row>
    <row r="251" spans="1:20" x14ac:dyDescent="0.2">
      <c r="A251" t="s">
        <v>1006</v>
      </c>
      <c r="B251" t="s">
        <v>643</v>
      </c>
      <c r="C251" t="s">
        <v>191</v>
      </c>
      <c r="D251" t="s">
        <v>1145</v>
      </c>
      <c r="E251" t="s">
        <v>649</v>
      </c>
      <c r="F251" t="s">
        <v>664</v>
      </c>
      <c r="G251" s="32">
        <v>45258</v>
      </c>
      <c r="H251" t="s">
        <v>727</v>
      </c>
      <c r="I251" s="32">
        <v>45733</v>
      </c>
      <c r="J251" t="s">
        <v>676</v>
      </c>
      <c r="K251" s="32">
        <v>45754</v>
      </c>
      <c r="L251" s="32">
        <v>46850</v>
      </c>
      <c r="M251" t="s">
        <v>639</v>
      </c>
      <c r="N251" t="s">
        <v>1011</v>
      </c>
      <c r="O251" t="s">
        <v>727</v>
      </c>
      <c r="P251" t="s">
        <v>1009</v>
      </c>
      <c r="Q251" t="s">
        <v>1015</v>
      </c>
      <c r="R251" t="s">
        <v>1020</v>
      </c>
      <c r="S251" t="s">
        <v>676</v>
      </c>
      <c r="T251" s="32" t="s">
        <v>1956</v>
      </c>
    </row>
    <row r="252" spans="1:20" x14ac:dyDescent="0.2">
      <c r="A252" t="s">
        <v>1006</v>
      </c>
      <c r="B252" t="s">
        <v>643</v>
      </c>
      <c r="C252" t="s">
        <v>222</v>
      </c>
      <c r="D252" t="s">
        <v>1146</v>
      </c>
      <c r="E252" t="s">
        <v>636</v>
      </c>
      <c r="F252" t="s">
        <v>664</v>
      </c>
      <c r="G252" s="32">
        <v>45460</v>
      </c>
      <c r="H252" t="s">
        <v>727</v>
      </c>
      <c r="I252" s="32">
        <v>45743</v>
      </c>
      <c r="J252" t="s">
        <v>676</v>
      </c>
      <c r="K252" s="32">
        <v>45754</v>
      </c>
      <c r="L252" s="32">
        <v>46555</v>
      </c>
      <c r="M252" t="s">
        <v>639</v>
      </c>
      <c r="N252" t="s">
        <v>1011</v>
      </c>
      <c r="O252" t="s">
        <v>727</v>
      </c>
      <c r="P252" t="s">
        <v>1009</v>
      </c>
      <c r="Q252" t="s">
        <v>721</v>
      </c>
      <c r="R252" t="s">
        <v>1147</v>
      </c>
      <c r="S252" t="s">
        <v>676</v>
      </c>
      <c r="T252" s="32" t="s">
        <v>1959</v>
      </c>
    </row>
    <row r="253" spans="1:20" x14ac:dyDescent="0.2">
      <c r="A253" t="s">
        <v>1006</v>
      </c>
      <c r="B253" t="s">
        <v>643</v>
      </c>
      <c r="C253" t="s">
        <v>155</v>
      </c>
      <c r="D253" t="s">
        <v>1176</v>
      </c>
      <c r="E253" t="s">
        <v>636</v>
      </c>
      <c r="F253" t="s">
        <v>34</v>
      </c>
      <c r="G253" s="32">
        <v>45461</v>
      </c>
      <c r="H253" t="s">
        <v>727</v>
      </c>
      <c r="I253" s="32">
        <v>45743</v>
      </c>
      <c r="J253" t="s">
        <v>676</v>
      </c>
      <c r="K253" s="32">
        <v>45754</v>
      </c>
      <c r="L253" s="32">
        <v>46556</v>
      </c>
      <c r="M253" t="s">
        <v>639</v>
      </c>
      <c r="N253" t="s">
        <v>1011</v>
      </c>
      <c r="O253" t="s">
        <v>727</v>
      </c>
      <c r="P253" t="s">
        <v>1009</v>
      </c>
      <c r="Q253" t="s">
        <v>721</v>
      </c>
      <c r="R253" t="s">
        <v>1177</v>
      </c>
      <c r="S253" t="s">
        <v>676</v>
      </c>
      <c r="T253" s="32" t="s">
        <v>2000</v>
      </c>
    </row>
    <row r="254" spans="1:20" x14ac:dyDescent="0.2">
      <c r="A254" t="s">
        <v>667</v>
      </c>
      <c r="B254" t="s">
        <v>60</v>
      </c>
      <c r="C254" t="s">
        <v>449</v>
      </c>
      <c r="D254" t="s">
        <v>1148</v>
      </c>
      <c r="E254" t="s">
        <v>649</v>
      </c>
      <c r="F254" t="s">
        <v>16</v>
      </c>
      <c r="G254" s="32">
        <v>45334</v>
      </c>
      <c r="H254" t="s">
        <v>727</v>
      </c>
      <c r="I254" s="32">
        <v>45800</v>
      </c>
      <c r="J254" t="s">
        <v>673</v>
      </c>
      <c r="K254" s="32">
        <v>45833</v>
      </c>
      <c r="L254" s="32">
        <v>46198</v>
      </c>
      <c r="M254" t="s">
        <v>639</v>
      </c>
      <c r="N254" t="s">
        <v>874</v>
      </c>
      <c r="O254" t="s">
        <v>673</v>
      </c>
      <c r="P254" t="s">
        <v>670</v>
      </c>
      <c r="Q254" t="s">
        <v>643</v>
      </c>
      <c r="R254" t="s">
        <v>643</v>
      </c>
      <c r="S254" t="s">
        <v>643</v>
      </c>
      <c r="T254" s="32" t="s">
        <v>1753</v>
      </c>
    </row>
    <row r="255" spans="1:20" x14ac:dyDescent="0.2">
      <c r="A255" t="s">
        <v>787</v>
      </c>
      <c r="B255" t="s">
        <v>30</v>
      </c>
      <c r="C255" t="s">
        <v>436</v>
      </c>
      <c r="D255" t="s">
        <v>1149</v>
      </c>
      <c r="E255" t="s">
        <v>636</v>
      </c>
      <c r="F255" t="s">
        <v>27</v>
      </c>
      <c r="G255" s="32">
        <v>45726</v>
      </c>
      <c r="H255" t="s">
        <v>789</v>
      </c>
      <c r="I255" s="32">
        <v>45728</v>
      </c>
      <c r="J255" t="s">
        <v>790</v>
      </c>
      <c r="K255" s="32">
        <v>45783</v>
      </c>
      <c r="L255" s="32">
        <v>46148</v>
      </c>
      <c r="M255" t="s">
        <v>639</v>
      </c>
      <c r="N255" t="s">
        <v>789</v>
      </c>
      <c r="O255" t="s">
        <v>790</v>
      </c>
      <c r="P255" t="s">
        <v>796</v>
      </c>
      <c r="Q255" t="s">
        <v>643</v>
      </c>
      <c r="R255" t="s">
        <v>643</v>
      </c>
      <c r="S255" t="s">
        <v>643</v>
      </c>
      <c r="T255" s="32" t="s">
        <v>1965</v>
      </c>
    </row>
    <row r="256" spans="1:20" x14ac:dyDescent="0.2">
      <c r="A256" t="s">
        <v>1006</v>
      </c>
      <c r="B256" t="s">
        <v>643</v>
      </c>
      <c r="C256" t="s">
        <v>356</v>
      </c>
      <c r="D256" t="s">
        <v>1014</v>
      </c>
      <c r="E256" t="s">
        <v>649</v>
      </c>
      <c r="F256" t="s">
        <v>16</v>
      </c>
      <c r="G256" s="32">
        <v>45455</v>
      </c>
      <c r="H256" t="s">
        <v>727</v>
      </c>
      <c r="I256" s="32">
        <v>45733</v>
      </c>
      <c r="J256" t="s">
        <v>676</v>
      </c>
      <c r="K256" s="32">
        <v>45754</v>
      </c>
      <c r="L256" s="32">
        <v>46824</v>
      </c>
      <c r="M256" t="s">
        <v>639</v>
      </c>
      <c r="N256" t="s">
        <v>1011</v>
      </c>
      <c r="O256" t="s">
        <v>727</v>
      </c>
      <c r="P256" t="s">
        <v>1009</v>
      </c>
      <c r="Q256" t="s">
        <v>1015</v>
      </c>
      <c r="R256" t="s">
        <v>1016</v>
      </c>
      <c r="S256" t="s">
        <v>676</v>
      </c>
      <c r="T256" s="32" t="s">
        <v>1732</v>
      </c>
    </row>
    <row r="257" spans="1:20" x14ac:dyDescent="0.2">
      <c r="A257" t="s">
        <v>787</v>
      </c>
      <c r="B257" t="s">
        <v>36</v>
      </c>
      <c r="C257" t="s">
        <v>135</v>
      </c>
      <c r="D257" t="s">
        <v>1151</v>
      </c>
      <c r="E257" t="s">
        <v>636</v>
      </c>
      <c r="F257" t="s">
        <v>34</v>
      </c>
      <c r="G257" s="32">
        <v>45702</v>
      </c>
      <c r="H257" t="s">
        <v>727</v>
      </c>
      <c r="I257" s="32">
        <v>45733</v>
      </c>
      <c r="J257" t="s">
        <v>643</v>
      </c>
      <c r="K257" s="32"/>
      <c r="L257" s="32">
        <v>46797</v>
      </c>
      <c r="M257" t="s">
        <v>681</v>
      </c>
      <c r="N257" t="s">
        <v>1131</v>
      </c>
      <c r="O257" t="s">
        <v>790</v>
      </c>
      <c r="P257" t="s">
        <v>857</v>
      </c>
      <c r="Q257" t="s">
        <v>643</v>
      </c>
      <c r="R257" t="s">
        <v>643</v>
      </c>
      <c r="S257" t="s">
        <v>643</v>
      </c>
      <c r="T257" s="32" t="s">
        <v>1829</v>
      </c>
    </row>
    <row r="258" spans="1:20" x14ac:dyDescent="0.2">
      <c r="A258" t="s">
        <v>1006</v>
      </c>
      <c r="B258" t="s">
        <v>643</v>
      </c>
      <c r="C258" t="s">
        <v>190</v>
      </c>
      <c r="D258" t="s">
        <v>1019</v>
      </c>
      <c r="E258" t="s">
        <v>649</v>
      </c>
      <c r="F258" t="s">
        <v>16</v>
      </c>
      <c r="G258" s="32">
        <v>45456</v>
      </c>
      <c r="H258" t="s">
        <v>1011</v>
      </c>
      <c r="I258" s="32">
        <v>45974</v>
      </c>
      <c r="J258" t="s">
        <v>727</v>
      </c>
      <c r="K258" s="32">
        <v>45974</v>
      </c>
      <c r="L258" s="32">
        <v>46339</v>
      </c>
      <c r="M258" t="s">
        <v>639</v>
      </c>
      <c r="N258" t="s">
        <v>1011</v>
      </c>
      <c r="O258" t="s">
        <v>727</v>
      </c>
      <c r="P258" t="s">
        <v>1009</v>
      </c>
      <c r="Q258" t="s">
        <v>1015</v>
      </c>
      <c r="R258" t="s">
        <v>1020</v>
      </c>
      <c r="S258" t="s">
        <v>676</v>
      </c>
      <c r="T258" s="32" t="s">
        <v>1741</v>
      </c>
    </row>
    <row r="259" spans="1:20" x14ac:dyDescent="0.2">
      <c r="A259" t="s">
        <v>787</v>
      </c>
      <c r="B259" t="s">
        <v>30</v>
      </c>
      <c r="C259" t="s">
        <v>442</v>
      </c>
      <c r="D259" t="s">
        <v>1154</v>
      </c>
      <c r="E259" t="s">
        <v>636</v>
      </c>
      <c r="F259" t="s">
        <v>27</v>
      </c>
      <c r="G259" s="32">
        <v>45726</v>
      </c>
      <c r="H259" t="s">
        <v>789</v>
      </c>
      <c r="I259" s="32">
        <v>45728</v>
      </c>
      <c r="J259" t="s">
        <v>790</v>
      </c>
      <c r="K259" s="32">
        <v>45783</v>
      </c>
      <c r="L259" s="32">
        <v>46148</v>
      </c>
      <c r="M259" t="s">
        <v>639</v>
      </c>
      <c r="N259" t="s">
        <v>789</v>
      </c>
      <c r="O259" t="s">
        <v>790</v>
      </c>
      <c r="P259" t="s">
        <v>796</v>
      </c>
      <c r="Q259" t="s">
        <v>643</v>
      </c>
      <c r="R259" t="s">
        <v>643</v>
      </c>
      <c r="S259" t="s">
        <v>643</v>
      </c>
      <c r="T259" s="32" t="s">
        <v>1965</v>
      </c>
    </row>
    <row r="260" spans="1:20" x14ac:dyDescent="0.2">
      <c r="A260" t="s">
        <v>787</v>
      </c>
      <c r="B260" t="s">
        <v>30</v>
      </c>
      <c r="C260" t="s">
        <v>448</v>
      </c>
      <c r="D260" t="s">
        <v>1155</v>
      </c>
      <c r="E260" t="s">
        <v>636</v>
      </c>
      <c r="F260" t="s">
        <v>27</v>
      </c>
      <c r="G260" s="32">
        <v>45726</v>
      </c>
      <c r="H260" t="s">
        <v>789</v>
      </c>
      <c r="I260" s="32">
        <v>45728</v>
      </c>
      <c r="J260" t="s">
        <v>790</v>
      </c>
      <c r="K260" s="32">
        <v>45783</v>
      </c>
      <c r="L260" s="32">
        <v>46148</v>
      </c>
      <c r="M260" t="s">
        <v>639</v>
      </c>
      <c r="N260" t="s">
        <v>789</v>
      </c>
      <c r="O260" t="s">
        <v>790</v>
      </c>
      <c r="P260" t="s">
        <v>796</v>
      </c>
      <c r="Q260" t="s">
        <v>643</v>
      </c>
      <c r="R260" t="s">
        <v>643</v>
      </c>
      <c r="S260" t="s">
        <v>643</v>
      </c>
      <c r="T260" s="32" t="s">
        <v>1965</v>
      </c>
    </row>
    <row r="261" spans="1:20" x14ac:dyDescent="0.2">
      <c r="A261" t="s">
        <v>1006</v>
      </c>
      <c r="B261" t="s">
        <v>643</v>
      </c>
      <c r="C261" t="s">
        <v>249</v>
      </c>
      <c r="D261" t="s">
        <v>1181</v>
      </c>
      <c r="E261" t="s">
        <v>649</v>
      </c>
      <c r="F261" t="s">
        <v>34</v>
      </c>
      <c r="G261" s="32">
        <v>45267</v>
      </c>
      <c r="H261" t="s">
        <v>727</v>
      </c>
      <c r="I261" s="32">
        <v>45743</v>
      </c>
      <c r="J261" t="s">
        <v>676</v>
      </c>
      <c r="K261" s="32">
        <v>45754</v>
      </c>
      <c r="L261" s="32">
        <v>46824</v>
      </c>
      <c r="M261" t="s">
        <v>639</v>
      </c>
      <c r="N261" t="s">
        <v>1011</v>
      </c>
      <c r="O261" t="s">
        <v>727</v>
      </c>
      <c r="P261" t="s">
        <v>1009</v>
      </c>
      <c r="Q261" t="s">
        <v>721</v>
      </c>
      <c r="R261" t="s">
        <v>1180</v>
      </c>
      <c r="S261" t="s">
        <v>676</v>
      </c>
      <c r="T261" s="32" t="s">
        <v>2008</v>
      </c>
    </row>
    <row r="262" spans="1:20" x14ac:dyDescent="0.2">
      <c r="A262" t="s">
        <v>1006</v>
      </c>
      <c r="B262" t="s">
        <v>643</v>
      </c>
      <c r="C262" t="s">
        <v>107</v>
      </c>
      <c r="D262" t="s">
        <v>1160</v>
      </c>
      <c r="E262" t="s">
        <v>649</v>
      </c>
      <c r="F262" t="s">
        <v>34</v>
      </c>
      <c r="G262" s="32">
        <v>44725</v>
      </c>
      <c r="H262" t="s">
        <v>727</v>
      </c>
      <c r="I262" s="32">
        <v>45905</v>
      </c>
      <c r="J262" t="s">
        <v>643</v>
      </c>
      <c r="K262" s="32"/>
      <c r="L262" s="32">
        <v>46824</v>
      </c>
      <c r="M262" t="s">
        <v>693</v>
      </c>
      <c r="N262" t="s">
        <v>1161</v>
      </c>
      <c r="O262" t="s">
        <v>656</v>
      </c>
      <c r="P262" t="s">
        <v>1009</v>
      </c>
      <c r="Q262" t="s">
        <v>721</v>
      </c>
      <c r="R262" t="s">
        <v>1162</v>
      </c>
      <c r="S262" t="s">
        <v>676</v>
      </c>
      <c r="T262" s="32" t="s">
        <v>1725</v>
      </c>
    </row>
    <row r="263" spans="1:20" x14ac:dyDescent="0.2">
      <c r="A263" t="s">
        <v>1006</v>
      </c>
      <c r="B263" t="s">
        <v>643</v>
      </c>
      <c r="C263" t="s">
        <v>1179</v>
      </c>
      <c r="D263" t="s">
        <v>1178</v>
      </c>
      <c r="E263" t="s">
        <v>636</v>
      </c>
      <c r="F263" t="s">
        <v>34</v>
      </c>
      <c r="G263" s="32">
        <v>45719</v>
      </c>
      <c r="H263" t="s">
        <v>727</v>
      </c>
      <c r="I263" s="32">
        <v>45743</v>
      </c>
      <c r="J263" t="s">
        <v>676</v>
      </c>
      <c r="K263" s="32">
        <v>45754</v>
      </c>
      <c r="L263" s="32">
        <v>46825</v>
      </c>
      <c r="M263" t="s">
        <v>639</v>
      </c>
      <c r="N263" t="s">
        <v>1011</v>
      </c>
      <c r="O263" t="s">
        <v>727</v>
      </c>
      <c r="P263" t="s">
        <v>1009</v>
      </c>
      <c r="Q263" t="s">
        <v>721</v>
      </c>
      <c r="R263" t="s">
        <v>1180</v>
      </c>
      <c r="S263" t="s">
        <v>676</v>
      </c>
      <c r="T263" s="32" t="s">
        <v>2004</v>
      </c>
    </row>
    <row r="264" spans="1:20" x14ac:dyDescent="0.2">
      <c r="A264" t="s">
        <v>690</v>
      </c>
      <c r="B264" t="s">
        <v>710</v>
      </c>
      <c r="C264" t="s">
        <v>544</v>
      </c>
      <c r="D264" t="s">
        <v>975</v>
      </c>
      <c r="E264" t="s">
        <v>636</v>
      </c>
      <c r="F264" t="s">
        <v>16</v>
      </c>
      <c r="G264" s="32">
        <v>45734</v>
      </c>
      <c r="H264" t="s">
        <v>727</v>
      </c>
      <c r="I264" s="32">
        <v>45863</v>
      </c>
      <c r="J264" t="s">
        <v>673</v>
      </c>
      <c r="K264" s="32">
        <v>45877</v>
      </c>
      <c r="L264" s="32">
        <v>46242</v>
      </c>
      <c r="M264" t="s">
        <v>639</v>
      </c>
      <c r="N264" t="s">
        <v>759</v>
      </c>
      <c r="O264" t="s">
        <v>673</v>
      </c>
      <c r="P264" t="s">
        <v>713</v>
      </c>
      <c r="Q264" t="s">
        <v>643</v>
      </c>
      <c r="R264" t="s">
        <v>643</v>
      </c>
      <c r="S264" t="s">
        <v>643</v>
      </c>
      <c r="T264" s="32" t="s">
        <v>1677</v>
      </c>
    </row>
    <row r="265" spans="1:20" x14ac:dyDescent="0.2">
      <c r="A265" t="s">
        <v>690</v>
      </c>
      <c r="B265" t="s">
        <v>710</v>
      </c>
      <c r="C265" t="s">
        <v>551</v>
      </c>
      <c r="D265" t="s">
        <v>1041</v>
      </c>
      <c r="E265" t="s">
        <v>636</v>
      </c>
      <c r="F265" t="s">
        <v>16</v>
      </c>
      <c r="G265" s="32">
        <v>45680</v>
      </c>
      <c r="H265" t="s">
        <v>727</v>
      </c>
      <c r="I265" s="32">
        <v>45863</v>
      </c>
      <c r="J265" t="s">
        <v>673</v>
      </c>
      <c r="K265" s="32">
        <v>45877</v>
      </c>
      <c r="L265" s="32">
        <v>46242</v>
      </c>
      <c r="M265" t="s">
        <v>639</v>
      </c>
      <c r="N265" t="s">
        <v>728</v>
      </c>
      <c r="O265" t="s">
        <v>673</v>
      </c>
      <c r="P265" t="s">
        <v>713</v>
      </c>
      <c r="Q265" t="s">
        <v>643</v>
      </c>
      <c r="R265" t="s">
        <v>643</v>
      </c>
      <c r="S265" t="s">
        <v>643</v>
      </c>
      <c r="T265" s="32" t="s">
        <v>1346</v>
      </c>
    </row>
    <row r="266" spans="1:20" x14ac:dyDescent="0.2">
      <c r="A266" t="s">
        <v>690</v>
      </c>
      <c r="B266" t="s">
        <v>710</v>
      </c>
      <c r="C266" t="s">
        <v>418</v>
      </c>
      <c r="D266" t="s">
        <v>1071</v>
      </c>
      <c r="E266" t="s">
        <v>636</v>
      </c>
      <c r="F266" t="s">
        <v>16</v>
      </c>
      <c r="G266" s="32">
        <v>45734</v>
      </c>
      <c r="H266" t="s">
        <v>727</v>
      </c>
      <c r="I266" s="32">
        <v>45863</v>
      </c>
      <c r="J266" t="s">
        <v>643</v>
      </c>
      <c r="K266" s="32"/>
      <c r="L266" s="32">
        <v>46830</v>
      </c>
      <c r="M266" t="s">
        <v>693</v>
      </c>
      <c r="N266" t="s">
        <v>720</v>
      </c>
      <c r="O266" t="s">
        <v>673</v>
      </c>
      <c r="P266" t="s">
        <v>713</v>
      </c>
      <c r="Q266" t="s">
        <v>643</v>
      </c>
      <c r="R266" t="s">
        <v>643</v>
      </c>
      <c r="S266" t="s">
        <v>643</v>
      </c>
      <c r="T266" s="32" t="s">
        <v>1677</v>
      </c>
    </row>
    <row r="267" spans="1:20" x14ac:dyDescent="0.2">
      <c r="A267" t="s">
        <v>690</v>
      </c>
      <c r="B267" t="s">
        <v>710</v>
      </c>
      <c r="C267" t="s">
        <v>424</v>
      </c>
      <c r="D267" t="s">
        <v>1111</v>
      </c>
      <c r="E267" t="s">
        <v>636</v>
      </c>
      <c r="F267" t="s">
        <v>16</v>
      </c>
      <c r="G267" s="32">
        <v>45730</v>
      </c>
      <c r="H267" t="s">
        <v>727</v>
      </c>
      <c r="I267" s="32">
        <v>45866</v>
      </c>
      <c r="J267" t="s">
        <v>643</v>
      </c>
      <c r="K267" s="32"/>
      <c r="L267" s="32">
        <v>46830</v>
      </c>
      <c r="M267" t="s">
        <v>693</v>
      </c>
      <c r="N267" t="s">
        <v>720</v>
      </c>
      <c r="O267" t="s">
        <v>673</v>
      </c>
      <c r="P267" t="s">
        <v>713</v>
      </c>
      <c r="Q267" t="s">
        <v>643</v>
      </c>
      <c r="R267" t="s">
        <v>643</v>
      </c>
      <c r="S267" t="s">
        <v>643</v>
      </c>
      <c r="T267" s="32" t="s">
        <v>1898</v>
      </c>
    </row>
    <row r="268" spans="1:20" x14ac:dyDescent="0.2">
      <c r="A268" t="s">
        <v>690</v>
      </c>
      <c r="B268" t="s">
        <v>710</v>
      </c>
      <c r="C268" t="s">
        <v>401</v>
      </c>
      <c r="D268" t="s">
        <v>1070</v>
      </c>
      <c r="E268" t="s">
        <v>636</v>
      </c>
      <c r="F268" t="s">
        <v>16</v>
      </c>
      <c r="G268" s="32">
        <v>45702</v>
      </c>
      <c r="H268" t="s">
        <v>727</v>
      </c>
      <c r="I268" s="32">
        <v>45863</v>
      </c>
      <c r="J268" t="s">
        <v>673</v>
      </c>
      <c r="K268" s="32">
        <v>45877</v>
      </c>
      <c r="L268" s="32">
        <v>46242</v>
      </c>
      <c r="M268" t="s">
        <v>639</v>
      </c>
      <c r="N268" t="s">
        <v>748</v>
      </c>
      <c r="O268" t="s">
        <v>673</v>
      </c>
      <c r="P268" t="s">
        <v>713</v>
      </c>
      <c r="Q268" t="s">
        <v>643</v>
      </c>
      <c r="R268" t="s">
        <v>643</v>
      </c>
      <c r="S268" t="s">
        <v>643</v>
      </c>
      <c r="T268" s="32" t="s">
        <v>1829</v>
      </c>
    </row>
    <row r="269" spans="1:20" x14ac:dyDescent="0.2">
      <c r="A269" t="s">
        <v>634</v>
      </c>
      <c r="B269" t="s">
        <v>15</v>
      </c>
      <c r="C269" t="s">
        <v>344</v>
      </c>
      <c r="D269" t="s">
        <v>1168</v>
      </c>
      <c r="E269" t="s">
        <v>636</v>
      </c>
      <c r="F269" t="s">
        <v>34</v>
      </c>
      <c r="G269" s="32">
        <v>45692</v>
      </c>
      <c r="H269" t="s">
        <v>844</v>
      </c>
      <c r="I269" s="32">
        <v>45875</v>
      </c>
      <c r="J269" t="s">
        <v>637</v>
      </c>
      <c r="K269" s="32">
        <v>45925</v>
      </c>
      <c r="L269" s="32">
        <v>46290</v>
      </c>
      <c r="M269" t="s">
        <v>639</v>
      </c>
      <c r="N269" t="s">
        <v>1169</v>
      </c>
      <c r="O269" t="s">
        <v>637</v>
      </c>
      <c r="P269" t="s">
        <v>1170</v>
      </c>
      <c r="Q269" t="s">
        <v>1171</v>
      </c>
      <c r="R269" t="s">
        <v>1172</v>
      </c>
      <c r="S269" t="s">
        <v>676</v>
      </c>
      <c r="T269" s="32" t="s">
        <v>1994</v>
      </c>
    </row>
    <row r="270" spans="1:20" x14ac:dyDescent="0.2">
      <c r="A270" t="s">
        <v>634</v>
      </c>
      <c r="B270" t="s">
        <v>15</v>
      </c>
      <c r="C270" t="s">
        <v>326</v>
      </c>
      <c r="D270" t="s">
        <v>1173</v>
      </c>
      <c r="E270" t="s">
        <v>636</v>
      </c>
      <c r="F270" t="s">
        <v>925</v>
      </c>
      <c r="G270" s="32">
        <v>45595</v>
      </c>
      <c r="H270" t="s">
        <v>844</v>
      </c>
      <c r="I270" s="32">
        <v>45875</v>
      </c>
      <c r="J270" t="s">
        <v>637</v>
      </c>
      <c r="K270" s="32">
        <v>45925</v>
      </c>
      <c r="L270" s="32">
        <v>46290</v>
      </c>
      <c r="M270" t="s">
        <v>639</v>
      </c>
      <c r="N270" t="s">
        <v>1174</v>
      </c>
      <c r="O270" t="s">
        <v>637</v>
      </c>
      <c r="P270" t="s">
        <v>1170</v>
      </c>
      <c r="Q270" t="s">
        <v>721</v>
      </c>
      <c r="R270" t="s">
        <v>1175</v>
      </c>
      <c r="S270" t="s">
        <v>676</v>
      </c>
      <c r="T270" s="32" t="s">
        <v>1997</v>
      </c>
    </row>
    <row r="271" spans="1:20" x14ac:dyDescent="0.2">
      <c r="A271" t="s">
        <v>1006</v>
      </c>
      <c r="B271" t="s">
        <v>643</v>
      </c>
      <c r="C271" t="s">
        <v>105</v>
      </c>
      <c r="D271" t="s">
        <v>1156</v>
      </c>
      <c r="E271" t="s">
        <v>649</v>
      </c>
      <c r="F271" t="s">
        <v>48</v>
      </c>
      <c r="G271" s="32">
        <v>45258</v>
      </c>
      <c r="H271" t="s">
        <v>643</v>
      </c>
      <c r="I271" s="32"/>
      <c r="J271" t="s">
        <v>2380</v>
      </c>
      <c r="K271" s="32">
        <v>46091</v>
      </c>
      <c r="L271" s="32">
        <v>47187</v>
      </c>
      <c r="M271" t="s">
        <v>639</v>
      </c>
      <c r="N271" t="s">
        <v>1011</v>
      </c>
      <c r="O271" t="s">
        <v>727</v>
      </c>
      <c r="P271" t="s">
        <v>643</v>
      </c>
      <c r="Q271" t="s">
        <v>1015</v>
      </c>
      <c r="R271" t="s">
        <v>1020</v>
      </c>
      <c r="S271" t="s">
        <v>676</v>
      </c>
      <c r="T271" s="32" t="s">
        <v>1956</v>
      </c>
    </row>
    <row r="272" spans="1:20" x14ac:dyDescent="0.2">
      <c r="A272" t="s">
        <v>1006</v>
      </c>
      <c r="B272" t="s">
        <v>643</v>
      </c>
      <c r="C272" t="s">
        <v>380</v>
      </c>
      <c r="D272" t="s">
        <v>1143</v>
      </c>
      <c r="E272" t="s">
        <v>649</v>
      </c>
      <c r="F272" t="s">
        <v>664</v>
      </c>
      <c r="G272" s="32">
        <v>45475</v>
      </c>
      <c r="H272" t="s">
        <v>1011</v>
      </c>
      <c r="I272" s="32">
        <v>46043</v>
      </c>
      <c r="J272" t="s">
        <v>727</v>
      </c>
      <c r="K272" s="32">
        <v>46083</v>
      </c>
      <c r="L272" s="32">
        <v>46448</v>
      </c>
      <c r="M272" t="s">
        <v>639</v>
      </c>
      <c r="N272" t="s">
        <v>1011</v>
      </c>
      <c r="O272" t="s">
        <v>727</v>
      </c>
      <c r="P272" t="s">
        <v>1009</v>
      </c>
      <c r="Q272" t="s">
        <v>1015</v>
      </c>
      <c r="R272" t="s">
        <v>1020</v>
      </c>
      <c r="S272" t="s">
        <v>676</v>
      </c>
      <c r="T272" s="32" t="s">
        <v>1949</v>
      </c>
    </row>
    <row r="273" spans="1:20" x14ac:dyDescent="0.2">
      <c r="A273" t="s">
        <v>1006</v>
      </c>
      <c r="B273" t="s">
        <v>643</v>
      </c>
      <c r="C273" t="s">
        <v>398</v>
      </c>
      <c r="D273" t="s">
        <v>1150</v>
      </c>
      <c r="E273" t="s">
        <v>636</v>
      </c>
      <c r="F273" t="s">
        <v>664</v>
      </c>
      <c r="G273" s="32">
        <v>45715</v>
      </c>
      <c r="H273" t="s">
        <v>1011</v>
      </c>
      <c r="I273" s="32">
        <v>45874</v>
      </c>
      <c r="J273" t="s">
        <v>727</v>
      </c>
      <c r="K273" s="32">
        <v>45881</v>
      </c>
      <c r="L273" s="32">
        <v>46246</v>
      </c>
      <c r="M273" t="s">
        <v>639</v>
      </c>
      <c r="N273" t="s">
        <v>1011</v>
      </c>
      <c r="O273" t="s">
        <v>727</v>
      </c>
      <c r="P273" t="s">
        <v>1009</v>
      </c>
      <c r="Q273" t="s">
        <v>1015</v>
      </c>
      <c r="R273" t="s">
        <v>1020</v>
      </c>
      <c r="S273" t="s">
        <v>676</v>
      </c>
      <c r="T273" s="32" t="s">
        <v>1968</v>
      </c>
    </row>
    <row r="274" spans="1:20" x14ac:dyDescent="0.2">
      <c r="A274" t="s">
        <v>690</v>
      </c>
      <c r="B274" t="s">
        <v>710</v>
      </c>
      <c r="C274" t="s">
        <v>432</v>
      </c>
      <c r="D274" t="s">
        <v>1116</v>
      </c>
      <c r="E274" t="s">
        <v>636</v>
      </c>
      <c r="F274" t="s">
        <v>27</v>
      </c>
      <c r="G274" s="32">
        <v>43811</v>
      </c>
      <c r="H274" t="s">
        <v>727</v>
      </c>
      <c r="I274" s="32">
        <v>45866</v>
      </c>
      <c r="J274" t="s">
        <v>673</v>
      </c>
      <c r="K274" s="32">
        <v>45877</v>
      </c>
      <c r="L274" s="32">
        <v>46242</v>
      </c>
      <c r="M274" t="s">
        <v>639</v>
      </c>
      <c r="N274" t="s">
        <v>755</v>
      </c>
      <c r="O274" t="s">
        <v>673</v>
      </c>
      <c r="P274" t="s">
        <v>713</v>
      </c>
      <c r="Q274" t="s">
        <v>643</v>
      </c>
      <c r="R274" t="s">
        <v>643</v>
      </c>
      <c r="S274" t="s">
        <v>643</v>
      </c>
      <c r="T274" s="32" t="s">
        <v>1912</v>
      </c>
    </row>
    <row r="275" spans="1:20" x14ac:dyDescent="0.2">
      <c r="A275" t="s">
        <v>690</v>
      </c>
      <c r="B275" t="s">
        <v>710</v>
      </c>
      <c r="C275" t="s">
        <v>518</v>
      </c>
      <c r="D275" t="s">
        <v>758</v>
      </c>
      <c r="E275" t="s">
        <v>649</v>
      </c>
      <c r="F275" t="s">
        <v>16</v>
      </c>
      <c r="G275" s="32">
        <v>44411</v>
      </c>
      <c r="H275" t="s">
        <v>727</v>
      </c>
      <c r="I275" s="32">
        <v>45863</v>
      </c>
      <c r="J275" t="s">
        <v>643</v>
      </c>
      <c r="K275" s="32"/>
      <c r="L275" s="32">
        <v>46843</v>
      </c>
      <c r="M275" t="s">
        <v>693</v>
      </c>
      <c r="N275" t="s">
        <v>759</v>
      </c>
      <c r="O275" t="s">
        <v>673</v>
      </c>
      <c r="P275" t="s">
        <v>713</v>
      </c>
      <c r="Q275" t="s">
        <v>721</v>
      </c>
      <c r="R275" t="s">
        <v>760</v>
      </c>
      <c r="S275" t="s">
        <v>676</v>
      </c>
      <c r="T275" s="32" t="s">
        <v>1427</v>
      </c>
    </row>
    <row r="276" spans="1:20" x14ac:dyDescent="0.2">
      <c r="A276" t="s">
        <v>1186</v>
      </c>
      <c r="B276" t="s">
        <v>1187</v>
      </c>
      <c r="C276" t="s">
        <v>1189</v>
      </c>
      <c r="D276" t="s">
        <v>1188</v>
      </c>
      <c r="E276" t="s">
        <v>636</v>
      </c>
      <c r="F276" t="s">
        <v>37</v>
      </c>
      <c r="G276" s="32">
        <v>45692</v>
      </c>
      <c r="H276" t="s">
        <v>643</v>
      </c>
      <c r="I276" s="32"/>
      <c r="J276" t="s">
        <v>676</v>
      </c>
      <c r="K276" s="32">
        <v>45751</v>
      </c>
      <c r="L276" s="32">
        <v>46847</v>
      </c>
      <c r="M276" t="s">
        <v>639</v>
      </c>
      <c r="N276" t="s">
        <v>1161</v>
      </c>
      <c r="O276" t="s">
        <v>656</v>
      </c>
      <c r="P276" t="s">
        <v>643</v>
      </c>
      <c r="Q276" t="s">
        <v>643</v>
      </c>
      <c r="R276" t="s">
        <v>643</v>
      </c>
      <c r="S276" t="s">
        <v>643</v>
      </c>
      <c r="T276" s="32" t="s">
        <v>1994</v>
      </c>
    </row>
    <row r="277" spans="1:20" x14ac:dyDescent="0.2">
      <c r="A277" t="s">
        <v>1006</v>
      </c>
      <c r="B277" t="s">
        <v>643</v>
      </c>
      <c r="C277" t="s">
        <v>416</v>
      </c>
      <c r="D277" t="s">
        <v>1152</v>
      </c>
      <c r="E277" t="s">
        <v>709</v>
      </c>
      <c r="F277" t="s">
        <v>925</v>
      </c>
      <c r="G277" s="32">
        <v>44725</v>
      </c>
      <c r="H277" t="s">
        <v>1011</v>
      </c>
      <c r="I277" s="32">
        <v>45898</v>
      </c>
      <c r="J277" t="s">
        <v>2380</v>
      </c>
      <c r="K277" s="32">
        <v>46091</v>
      </c>
      <c r="L277" s="32">
        <v>46456</v>
      </c>
      <c r="M277" t="s">
        <v>639</v>
      </c>
      <c r="N277" t="s">
        <v>1011</v>
      </c>
      <c r="O277" t="s">
        <v>727</v>
      </c>
      <c r="P277" t="s">
        <v>1009</v>
      </c>
      <c r="Q277" t="s">
        <v>721</v>
      </c>
      <c r="R277" t="s">
        <v>1153</v>
      </c>
      <c r="S277" t="s">
        <v>676</v>
      </c>
      <c r="T277" s="32" t="s">
        <v>1725</v>
      </c>
    </row>
    <row r="278" spans="1:20" x14ac:dyDescent="0.2">
      <c r="A278" t="s">
        <v>634</v>
      </c>
      <c r="B278" t="s">
        <v>56</v>
      </c>
      <c r="C278" t="s">
        <v>379</v>
      </c>
      <c r="D278" t="s">
        <v>1191</v>
      </c>
      <c r="E278" t="s">
        <v>649</v>
      </c>
      <c r="F278" t="s">
        <v>34</v>
      </c>
      <c r="G278" s="32">
        <v>44363</v>
      </c>
      <c r="H278" t="s">
        <v>785</v>
      </c>
      <c r="I278" s="32">
        <v>45944</v>
      </c>
      <c r="J278" t="s">
        <v>637</v>
      </c>
      <c r="K278" s="32">
        <v>46154</v>
      </c>
      <c r="L278" s="32">
        <v>46519</v>
      </c>
      <c r="M278" t="s">
        <v>639</v>
      </c>
      <c r="N278" t="s">
        <v>785</v>
      </c>
      <c r="O278" t="s">
        <v>637</v>
      </c>
      <c r="P278" t="s">
        <v>786</v>
      </c>
      <c r="Q278" t="s">
        <v>782</v>
      </c>
      <c r="R278" t="s">
        <v>783</v>
      </c>
      <c r="S278" t="s">
        <v>676</v>
      </c>
      <c r="T278" s="32" t="s">
        <v>2022</v>
      </c>
    </row>
    <row r="279" spans="1:20" x14ac:dyDescent="0.2">
      <c r="A279" t="s">
        <v>787</v>
      </c>
      <c r="B279" t="s">
        <v>36</v>
      </c>
      <c r="C279" t="s">
        <v>420</v>
      </c>
      <c r="D279" t="s">
        <v>1192</v>
      </c>
      <c r="E279" t="s">
        <v>636</v>
      </c>
      <c r="F279" t="s">
        <v>27</v>
      </c>
      <c r="G279" s="32">
        <v>45769</v>
      </c>
      <c r="H279" t="s">
        <v>855</v>
      </c>
      <c r="I279" s="32">
        <v>45904</v>
      </c>
      <c r="J279" t="s">
        <v>790</v>
      </c>
      <c r="K279" s="32">
        <v>45917</v>
      </c>
      <c r="L279" s="32">
        <v>46282</v>
      </c>
      <c r="M279" t="s">
        <v>639</v>
      </c>
      <c r="N279" t="s">
        <v>855</v>
      </c>
      <c r="O279" t="s">
        <v>790</v>
      </c>
      <c r="P279" t="s">
        <v>857</v>
      </c>
      <c r="Q279" t="s">
        <v>643</v>
      </c>
      <c r="R279" t="s">
        <v>643</v>
      </c>
      <c r="S279" t="s">
        <v>643</v>
      </c>
      <c r="T279" s="32" t="s">
        <v>2026</v>
      </c>
    </row>
    <row r="280" spans="1:20" x14ac:dyDescent="0.2">
      <c r="A280" t="s">
        <v>787</v>
      </c>
      <c r="B280" t="s">
        <v>36</v>
      </c>
      <c r="C280" t="s">
        <v>428</v>
      </c>
      <c r="D280" t="s">
        <v>1193</v>
      </c>
      <c r="E280" t="s">
        <v>636</v>
      </c>
      <c r="F280" t="s">
        <v>27</v>
      </c>
      <c r="G280" s="32">
        <v>45768</v>
      </c>
      <c r="H280" t="s">
        <v>855</v>
      </c>
      <c r="I280" s="32">
        <v>45904</v>
      </c>
      <c r="J280" t="s">
        <v>790</v>
      </c>
      <c r="K280" s="32">
        <v>45917</v>
      </c>
      <c r="L280" s="32">
        <v>46282</v>
      </c>
      <c r="M280" t="s">
        <v>639</v>
      </c>
      <c r="N280" t="s">
        <v>855</v>
      </c>
      <c r="O280" t="s">
        <v>790</v>
      </c>
      <c r="P280" t="s">
        <v>857</v>
      </c>
      <c r="Q280" t="s">
        <v>643</v>
      </c>
      <c r="R280" t="s">
        <v>643</v>
      </c>
      <c r="S280" t="s">
        <v>643</v>
      </c>
      <c r="T280" s="32" t="s">
        <v>2029</v>
      </c>
    </row>
    <row r="281" spans="1:20" x14ac:dyDescent="0.2">
      <c r="A281" t="s">
        <v>787</v>
      </c>
      <c r="B281" t="s">
        <v>30</v>
      </c>
      <c r="C281" t="s">
        <v>385</v>
      </c>
      <c r="D281" t="s">
        <v>1194</v>
      </c>
      <c r="E281" t="s">
        <v>636</v>
      </c>
      <c r="F281" t="s">
        <v>16</v>
      </c>
      <c r="G281" s="32">
        <v>45723</v>
      </c>
      <c r="H281" t="s">
        <v>789</v>
      </c>
      <c r="I281" s="32">
        <v>45800</v>
      </c>
      <c r="J281" t="s">
        <v>790</v>
      </c>
      <c r="K281" s="32">
        <v>45882</v>
      </c>
      <c r="L281" s="32">
        <v>46247</v>
      </c>
      <c r="M281" t="s">
        <v>639</v>
      </c>
      <c r="N281" t="s">
        <v>789</v>
      </c>
      <c r="O281" t="s">
        <v>790</v>
      </c>
      <c r="P281" t="s">
        <v>796</v>
      </c>
      <c r="Q281" t="s">
        <v>643</v>
      </c>
      <c r="R281" t="s">
        <v>643</v>
      </c>
      <c r="S281" t="s">
        <v>643</v>
      </c>
      <c r="T281" s="32" t="s">
        <v>2032</v>
      </c>
    </row>
    <row r="282" spans="1:20" x14ac:dyDescent="0.2">
      <c r="A282" t="s">
        <v>787</v>
      </c>
      <c r="B282" t="s">
        <v>30</v>
      </c>
      <c r="C282" t="s">
        <v>447</v>
      </c>
      <c r="D282" t="s">
        <v>1195</v>
      </c>
      <c r="E282" t="s">
        <v>636</v>
      </c>
      <c r="F282" t="s">
        <v>16</v>
      </c>
      <c r="G282" s="32">
        <v>45862</v>
      </c>
      <c r="H282" t="s">
        <v>789</v>
      </c>
      <c r="I282" s="32">
        <v>45870</v>
      </c>
      <c r="J282" t="s">
        <v>790</v>
      </c>
      <c r="K282" s="32">
        <v>45882</v>
      </c>
      <c r="L282" s="32">
        <v>46247</v>
      </c>
      <c r="M282" t="s">
        <v>639</v>
      </c>
      <c r="N282" t="s">
        <v>789</v>
      </c>
      <c r="O282" t="s">
        <v>790</v>
      </c>
      <c r="P282" t="s">
        <v>796</v>
      </c>
      <c r="Q282" t="s">
        <v>1196</v>
      </c>
      <c r="R282" t="s">
        <v>1196</v>
      </c>
      <c r="S282" t="s">
        <v>703</v>
      </c>
      <c r="T282" s="32" t="s">
        <v>2035</v>
      </c>
    </row>
    <row r="283" spans="1:20" x14ac:dyDescent="0.2">
      <c r="A283" t="s">
        <v>787</v>
      </c>
      <c r="B283" t="s">
        <v>63</v>
      </c>
      <c r="C283" t="s">
        <v>303</v>
      </c>
      <c r="D283" t="s">
        <v>1197</v>
      </c>
      <c r="E283" t="s">
        <v>636</v>
      </c>
      <c r="F283" t="s">
        <v>37</v>
      </c>
      <c r="G283" s="32">
        <v>45785</v>
      </c>
      <c r="H283" t="s">
        <v>790</v>
      </c>
      <c r="I283" s="32">
        <v>45882</v>
      </c>
      <c r="J283" t="s">
        <v>790</v>
      </c>
      <c r="K283" s="32">
        <v>45882</v>
      </c>
      <c r="L283" s="32">
        <v>46247</v>
      </c>
      <c r="M283" t="s">
        <v>639</v>
      </c>
      <c r="N283" t="s">
        <v>790</v>
      </c>
      <c r="O283" t="s">
        <v>790</v>
      </c>
      <c r="P283" t="s">
        <v>895</v>
      </c>
      <c r="Q283" t="s">
        <v>643</v>
      </c>
      <c r="R283" t="s">
        <v>643</v>
      </c>
      <c r="S283" t="s">
        <v>643</v>
      </c>
      <c r="T283" s="32" t="s">
        <v>2040</v>
      </c>
    </row>
    <row r="284" spans="1:20" x14ac:dyDescent="0.2">
      <c r="A284" t="s">
        <v>690</v>
      </c>
      <c r="B284" t="s">
        <v>57</v>
      </c>
      <c r="C284" t="s">
        <v>550</v>
      </c>
      <c r="D284" t="s">
        <v>1198</v>
      </c>
      <c r="E284" t="s">
        <v>636</v>
      </c>
      <c r="F284" t="s">
        <v>16</v>
      </c>
      <c r="G284" s="32">
        <v>45786</v>
      </c>
      <c r="H284" t="s">
        <v>727</v>
      </c>
      <c r="I284" s="32">
        <v>45863</v>
      </c>
      <c r="J284" t="s">
        <v>673</v>
      </c>
      <c r="K284" s="32">
        <v>45877</v>
      </c>
      <c r="L284" s="32">
        <v>46242</v>
      </c>
      <c r="M284" t="s">
        <v>639</v>
      </c>
      <c r="N284" t="s">
        <v>1199</v>
      </c>
      <c r="O284" t="s">
        <v>673</v>
      </c>
      <c r="P284" t="s">
        <v>972</v>
      </c>
      <c r="Q284" t="s">
        <v>643</v>
      </c>
      <c r="R284" t="s">
        <v>643</v>
      </c>
      <c r="S284" t="s">
        <v>643</v>
      </c>
      <c r="T284" s="32" t="s">
        <v>1342</v>
      </c>
    </row>
    <row r="285" spans="1:20" x14ac:dyDescent="0.2">
      <c r="A285" t="s">
        <v>634</v>
      </c>
      <c r="B285" t="s">
        <v>56</v>
      </c>
      <c r="C285" t="s">
        <v>408</v>
      </c>
      <c r="D285" t="s">
        <v>1200</v>
      </c>
      <c r="E285" t="s">
        <v>649</v>
      </c>
      <c r="F285" t="s">
        <v>34</v>
      </c>
      <c r="G285" s="32">
        <v>44790</v>
      </c>
      <c r="H285" t="s">
        <v>785</v>
      </c>
      <c r="I285" s="32">
        <v>45944</v>
      </c>
      <c r="J285" t="s">
        <v>637</v>
      </c>
      <c r="K285" s="32">
        <v>46154</v>
      </c>
      <c r="L285" s="32">
        <v>46519</v>
      </c>
      <c r="M285" t="s">
        <v>639</v>
      </c>
      <c r="N285" t="s">
        <v>785</v>
      </c>
      <c r="O285" t="s">
        <v>637</v>
      </c>
      <c r="P285" t="s">
        <v>786</v>
      </c>
      <c r="Q285" t="s">
        <v>721</v>
      </c>
      <c r="R285" t="s">
        <v>1201</v>
      </c>
      <c r="S285" t="s">
        <v>676</v>
      </c>
      <c r="T285" s="32" t="s">
        <v>2045</v>
      </c>
    </row>
    <row r="286" spans="1:20" x14ac:dyDescent="0.2">
      <c r="A286" t="s">
        <v>667</v>
      </c>
      <c r="B286" t="s">
        <v>50</v>
      </c>
      <c r="C286" t="s">
        <v>474</v>
      </c>
      <c r="D286" t="s">
        <v>1202</v>
      </c>
      <c r="E286" t="s">
        <v>636</v>
      </c>
      <c r="F286" t="s">
        <v>16</v>
      </c>
      <c r="G286" s="32">
        <v>45791</v>
      </c>
      <c r="H286" t="s">
        <v>727</v>
      </c>
      <c r="I286" s="32">
        <v>45800</v>
      </c>
      <c r="J286" t="s">
        <v>673</v>
      </c>
      <c r="K286" s="32">
        <v>45833</v>
      </c>
      <c r="L286" s="32">
        <v>46198</v>
      </c>
      <c r="M286" t="s">
        <v>639</v>
      </c>
      <c r="N286" t="s">
        <v>874</v>
      </c>
      <c r="O286" t="s">
        <v>673</v>
      </c>
      <c r="P286" t="s">
        <v>670</v>
      </c>
      <c r="Q286" t="s">
        <v>643</v>
      </c>
      <c r="R286" t="s">
        <v>643</v>
      </c>
      <c r="S286" t="s">
        <v>643</v>
      </c>
      <c r="T286" s="32" t="s">
        <v>2047</v>
      </c>
    </row>
    <row r="287" spans="1:20" x14ac:dyDescent="0.2">
      <c r="A287" t="s">
        <v>667</v>
      </c>
      <c r="B287" t="s">
        <v>50</v>
      </c>
      <c r="C287" t="s">
        <v>480</v>
      </c>
      <c r="D287" t="s">
        <v>1203</v>
      </c>
      <c r="E287" t="s">
        <v>636</v>
      </c>
      <c r="F287" t="s">
        <v>16</v>
      </c>
      <c r="G287" s="32">
        <v>45791</v>
      </c>
      <c r="H287" t="s">
        <v>727</v>
      </c>
      <c r="I287" s="32">
        <v>45800</v>
      </c>
      <c r="J287" t="s">
        <v>673</v>
      </c>
      <c r="K287" s="32">
        <v>45833</v>
      </c>
      <c r="L287" s="32">
        <v>46198</v>
      </c>
      <c r="M287" t="s">
        <v>639</v>
      </c>
      <c r="N287" t="s">
        <v>874</v>
      </c>
      <c r="O287" t="s">
        <v>673</v>
      </c>
      <c r="P287" t="s">
        <v>670</v>
      </c>
      <c r="Q287" t="s">
        <v>643</v>
      </c>
      <c r="R287" t="s">
        <v>643</v>
      </c>
      <c r="S287" t="s">
        <v>643</v>
      </c>
      <c r="T287" s="32" t="s">
        <v>2047</v>
      </c>
    </row>
    <row r="288" spans="1:20" x14ac:dyDescent="0.2">
      <c r="A288" t="s">
        <v>667</v>
      </c>
      <c r="B288" t="s">
        <v>50</v>
      </c>
      <c r="C288" t="s">
        <v>484</v>
      </c>
      <c r="D288" t="s">
        <v>1204</v>
      </c>
      <c r="E288" t="s">
        <v>636</v>
      </c>
      <c r="F288" t="s">
        <v>16</v>
      </c>
      <c r="G288" s="32">
        <v>45755</v>
      </c>
      <c r="H288" t="s">
        <v>727</v>
      </c>
      <c r="I288" s="32">
        <v>45800</v>
      </c>
      <c r="J288" t="s">
        <v>673</v>
      </c>
      <c r="K288" s="32">
        <v>45833</v>
      </c>
      <c r="L288" s="32">
        <v>46198</v>
      </c>
      <c r="M288" t="s">
        <v>639</v>
      </c>
      <c r="N288" t="s">
        <v>872</v>
      </c>
      <c r="O288" t="s">
        <v>673</v>
      </c>
      <c r="P288" t="s">
        <v>670</v>
      </c>
      <c r="Q288" t="s">
        <v>643</v>
      </c>
      <c r="R288" t="s">
        <v>643</v>
      </c>
      <c r="S288" t="s">
        <v>643</v>
      </c>
      <c r="T288" s="32" t="s">
        <v>2052</v>
      </c>
    </row>
    <row r="289" spans="1:20" x14ac:dyDescent="0.2">
      <c r="A289" t="s">
        <v>667</v>
      </c>
      <c r="B289" t="s">
        <v>50</v>
      </c>
      <c r="C289" t="s">
        <v>488</v>
      </c>
      <c r="D289" t="s">
        <v>1205</v>
      </c>
      <c r="E289" t="s">
        <v>636</v>
      </c>
      <c r="F289" t="s">
        <v>16</v>
      </c>
      <c r="G289" s="32">
        <v>45791</v>
      </c>
      <c r="H289" t="s">
        <v>727</v>
      </c>
      <c r="I289" s="32">
        <v>45800</v>
      </c>
      <c r="J289" t="s">
        <v>673</v>
      </c>
      <c r="K289" s="32">
        <v>45833</v>
      </c>
      <c r="L289" s="32">
        <v>46198</v>
      </c>
      <c r="M289" t="s">
        <v>639</v>
      </c>
      <c r="N289" t="s">
        <v>874</v>
      </c>
      <c r="O289" t="s">
        <v>673</v>
      </c>
      <c r="P289" t="s">
        <v>670</v>
      </c>
      <c r="Q289" t="s">
        <v>643</v>
      </c>
      <c r="R289" t="s">
        <v>643</v>
      </c>
      <c r="S289" t="s">
        <v>643</v>
      </c>
      <c r="T289" s="32" t="s">
        <v>2047</v>
      </c>
    </row>
    <row r="290" spans="1:20" x14ac:dyDescent="0.2">
      <c r="A290" t="s">
        <v>667</v>
      </c>
      <c r="B290" t="s">
        <v>50</v>
      </c>
      <c r="C290" t="s">
        <v>491</v>
      </c>
      <c r="D290" t="s">
        <v>1206</v>
      </c>
      <c r="E290" t="s">
        <v>636</v>
      </c>
      <c r="F290" t="s">
        <v>16</v>
      </c>
      <c r="G290" s="32">
        <v>45756</v>
      </c>
      <c r="H290" t="s">
        <v>727</v>
      </c>
      <c r="I290" s="32">
        <v>45800</v>
      </c>
      <c r="J290" t="s">
        <v>673</v>
      </c>
      <c r="K290" s="32">
        <v>45833</v>
      </c>
      <c r="L290" s="32">
        <v>46198</v>
      </c>
      <c r="M290" t="s">
        <v>639</v>
      </c>
      <c r="N290" t="s">
        <v>872</v>
      </c>
      <c r="O290" t="s">
        <v>673</v>
      </c>
      <c r="P290" t="s">
        <v>670</v>
      </c>
      <c r="Q290" t="s">
        <v>643</v>
      </c>
      <c r="R290" t="s">
        <v>643</v>
      </c>
      <c r="S290" t="s">
        <v>643</v>
      </c>
      <c r="T290" s="32" t="s">
        <v>2057</v>
      </c>
    </row>
    <row r="291" spans="1:20" x14ac:dyDescent="0.2">
      <c r="A291" t="s">
        <v>667</v>
      </c>
      <c r="B291" t="s">
        <v>50</v>
      </c>
      <c r="C291" t="s">
        <v>141</v>
      </c>
      <c r="D291" t="s">
        <v>1207</v>
      </c>
      <c r="E291" t="s">
        <v>636</v>
      </c>
      <c r="F291" t="s">
        <v>925</v>
      </c>
      <c r="G291" s="32">
        <v>45756</v>
      </c>
      <c r="H291" t="s">
        <v>727</v>
      </c>
      <c r="I291" s="32">
        <v>45800</v>
      </c>
      <c r="J291" t="s">
        <v>673</v>
      </c>
      <c r="K291" s="32">
        <v>45833</v>
      </c>
      <c r="L291" s="32">
        <v>46198</v>
      </c>
      <c r="M291" t="s">
        <v>639</v>
      </c>
      <c r="N291" t="s">
        <v>874</v>
      </c>
      <c r="O291" t="s">
        <v>673</v>
      </c>
      <c r="P291" t="s">
        <v>670</v>
      </c>
      <c r="Q291" t="s">
        <v>643</v>
      </c>
      <c r="R291" t="s">
        <v>643</v>
      </c>
      <c r="S291" t="s">
        <v>643</v>
      </c>
      <c r="T291" s="32" t="s">
        <v>2057</v>
      </c>
    </row>
    <row r="292" spans="1:20" x14ac:dyDescent="0.2">
      <c r="A292" t="s">
        <v>774</v>
      </c>
      <c r="B292" t="s">
        <v>1119</v>
      </c>
      <c r="C292" t="s">
        <v>255</v>
      </c>
      <c r="D292" t="s">
        <v>1208</v>
      </c>
      <c r="E292" t="s">
        <v>636</v>
      </c>
      <c r="F292" t="s">
        <v>16</v>
      </c>
      <c r="G292" s="32">
        <v>45793</v>
      </c>
      <c r="H292" t="s">
        <v>839</v>
      </c>
      <c r="I292" s="32">
        <v>45796</v>
      </c>
      <c r="J292" t="s">
        <v>673</v>
      </c>
      <c r="K292" s="32">
        <v>45796</v>
      </c>
      <c r="L292" s="32">
        <v>46161</v>
      </c>
      <c r="M292" t="s">
        <v>639</v>
      </c>
      <c r="N292" t="s">
        <v>839</v>
      </c>
      <c r="O292" t="s">
        <v>673</v>
      </c>
      <c r="P292" t="s">
        <v>840</v>
      </c>
      <c r="Q292" t="s">
        <v>643</v>
      </c>
      <c r="R292" t="s">
        <v>643</v>
      </c>
      <c r="S292" t="s">
        <v>643</v>
      </c>
      <c r="T292" s="32" t="s">
        <v>2062</v>
      </c>
    </row>
    <row r="293" spans="1:20" x14ac:dyDescent="0.2">
      <c r="A293" t="s">
        <v>774</v>
      </c>
      <c r="B293" t="s">
        <v>1119</v>
      </c>
      <c r="C293" t="s">
        <v>349</v>
      </c>
      <c r="D293" t="s">
        <v>1209</v>
      </c>
      <c r="E293" t="s">
        <v>636</v>
      </c>
      <c r="F293" t="s">
        <v>16</v>
      </c>
      <c r="G293" s="32">
        <v>45792</v>
      </c>
      <c r="H293" t="s">
        <v>839</v>
      </c>
      <c r="I293" s="32">
        <v>45796</v>
      </c>
      <c r="J293" t="s">
        <v>673</v>
      </c>
      <c r="K293" s="32">
        <v>45796</v>
      </c>
      <c r="L293" s="32">
        <v>46161</v>
      </c>
      <c r="M293" t="s">
        <v>639</v>
      </c>
      <c r="N293" t="s">
        <v>839</v>
      </c>
      <c r="O293" t="s">
        <v>673</v>
      </c>
      <c r="P293" t="s">
        <v>840</v>
      </c>
      <c r="Q293" t="s">
        <v>643</v>
      </c>
      <c r="R293" t="s">
        <v>643</v>
      </c>
      <c r="S293" t="s">
        <v>643</v>
      </c>
      <c r="T293" s="32" t="s">
        <v>2066</v>
      </c>
    </row>
    <row r="294" spans="1:20" x14ac:dyDescent="0.2">
      <c r="A294" t="s">
        <v>774</v>
      </c>
      <c r="B294" t="s">
        <v>1119</v>
      </c>
      <c r="C294" t="s">
        <v>360</v>
      </c>
      <c r="D294" t="s">
        <v>1210</v>
      </c>
      <c r="E294" t="s">
        <v>649</v>
      </c>
      <c r="F294" t="s">
        <v>16</v>
      </c>
      <c r="G294" s="32">
        <v>45793</v>
      </c>
      <c r="H294" t="s">
        <v>839</v>
      </c>
      <c r="I294" s="32">
        <v>46007</v>
      </c>
      <c r="J294" t="s">
        <v>673</v>
      </c>
      <c r="K294" s="32">
        <v>46083</v>
      </c>
      <c r="L294" s="32">
        <v>46448</v>
      </c>
      <c r="M294" t="s">
        <v>639</v>
      </c>
      <c r="N294" t="s">
        <v>839</v>
      </c>
      <c r="O294" t="s">
        <v>673</v>
      </c>
      <c r="P294" t="s">
        <v>840</v>
      </c>
      <c r="Q294" t="s">
        <v>797</v>
      </c>
      <c r="R294" t="s">
        <v>1211</v>
      </c>
      <c r="S294" t="s">
        <v>703</v>
      </c>
      <c r="T294" s="32" t="s">
        <v>2062</v>
      </c>
    </row>
    <row r="295" spans="1:20" x14ac:dyDescent="0.2">
      <c r="A295" t="s">
        <v>906</v>
      </c>
      <c r="B295" t="s">
        <v>643</v>
      </c>
      <c r="C295" t="s">
        <v>244</v>
      </c>
      <c r="D295" t="s">
        <v>1212</v>
      </c>
      <c r="E295" t="s">
        <v>636</v>
      </c>
      <c r="F295" t="s">
        <v>16</v>
      </c>
      <c r="G295" s="32">
        <v>45625</v>
      </c>
      <c r="H295" t="s">
        <v>643</v>
      </c>
      <c r="I295" s="32"/>
      <c r="J295" t="s">
        <v>703</v>
      </c>
      <c r="K295" s="32">
        <v>45793</v>
      </c>
      <c r="L295" s="32">
        <v>46158</v>
      </c>
      <c r="M295" t="s">
        <v>639</v>
      </c>
      <c r="N295" t="s">
        <v>1213</v>
      </c>
      <c r="O295" t="s">
        <v>910</v>
      </c>
      <c r="P295" t="s">
        <v>643</v>
      </c>
      <c r="Q295" t="s">
        <v>643</v>
      </c>
      <c r="R295" t="s">
        <v>643</v>
      </c>
      <c r="S295" t="s">
        <v>643</v>
      </c>
      <c r="T295" s="32" t="s">
        <v>2072</v>
      </c>
    </row>
    <row r="296" spans="1:20" x14ac:dyDescent="0.2">
      <c r="A296" t="s">
        <v>906</v>
      </c>
      <c r="B296" t="s">
        <v>643</v>
      </c>
      <c r="C296" t="s">
        <v>270</v>
      </c>
      <c r="D296" t="s">
        <v>1214</v>
      </c>
      <c r="E296" t="s">
        <v>636</v>
      </c>
      <c r="F296" t="s">
        <v>27</v>
      </c>
      <c r="G296" s="32">
        <v>45517</v>
      </c>
      <c r="H296" t="s">
        <v>1213</v>
      </c>
      <c r="I296" s="32">
        <v>45894</v>
      </c>
      <c r="J296" t="s">
        <v>910</v>
      </c>
      <c r="K296" s="32">
        <v>45882</v>
      </c>
      <c r="L296" s="32">
        <v>46612</v>
      </c>
      <c r="M296" t="s">
        <v>672</v>
      </c>
      <c r="N296" t="s">
        <v>1213</v>
      </c>
      <c r="O296" t="s">
        <v>910</v>
      </c>
      <c r="P296" t="s">
        <v>1215</v>
      </c>
      <c r="Q296" t="s">
        <v>896</v>
      </c>
      <c r="R296" t="s">
        <v>1216</v>
      </c>
      <c r="S296" t="s">
        <v>703</v>
      </c>
      <c r="T296" s="32" t="s">
        <v>1870</v>
      </c>
    </row>
    <row r="297" spans="1:20" x14ac:dyDescent="0.2">
      <c r="A297" t="s">
        <v>906</v>
      </c>
      <c r="B297" t="s">
        <v>643</v>
      </c>
      <c r="C297" t="s">
        <v>219</v>
      </c>
      <c r="D297" t="s">
        <v>1217</v>
      </c>
      <c r="E297" t="s">
        <v>636</v>
      </c>
      <c r="F297" t="s">
        <v>27</v>
      </c>
      <c r="G297" s="32">
        <v>45630</v>
      </c>
      <c r="H297" t="s">
        <v>1213</v>
      </c>
      <c r="I297" s="32">
        <v>45826</v>
      </c>
      <c r="J297" t="s">
        <v>643</v>
      </c>
      <c r="K297" s="32"/>
      <c r="L297" s="32">
        <v>46725</v>
      </c>
      <c r="M297" t="s">
        <v>672</v>
      </c>
      <c r="N297" t="s">
        <v>1213</v>
      </c>
      <c r="O297" t="s">
        <v>910</v>
      </c>
      <c r="P297" t="s">
        <v>1215</v>
      </c>
      <c r="Q297" t="s">
        <v>643</v>
      </c>
      <c r="R297" t="s">
        <v>643</v>
      </c>
      <c r="S297" t="s">
        <v>643</v>
      </c>
      <c r="T297" s="32" t="s">
        <v>2078</v>
      </c>
    </row>
    <row r="298" spans="1:20" x14ac:dyDescent="0.2">
      <c r="A298" t="s">
        <v>906</v>
      </c>
      <c r="B298" t="s">
        <v>643</v>
      </c>
      <c r="C298" t="s">
        <v>245</v>
      </c>
      <c r="D298" t="s">
        <v>1218</v>
      </c>
      <c r="E298" t="s">
        <v>636</v>
      </c>
      <c r="F298" t="s">
        <v>27</v>
      </c>
      <c r="G298" s="32">
        <v>45545</v>
      </c>
      <c r="H298" t="s">
        <v>1213</v>
      </c>
      <c r="I298" s="32">
        <v>45826</v>
      </c>
      <c r="J298" t="s">
        <v>643</v>
      </c>
      <c r="K298" s="32"/>
      <c r="L298" s="32">
        <v>46640</v>
      </c>
      <c r="M298" t="s">
        <v>672</v>
      </c>
      <c r="N298" t="s">
        <v>1213</v>
      </c>
      <c r="O298" t="s">
        <v>910</v>
      </c>
      <c r="P298" t="s">
        <v>1215</v>
      </c>
      <c r="Q298" t="s">
        <v>643</v>
      </c>
      <c r="R298" t="s">
        <v>643</v>
      </c>
      <c r="S298" t="s">
        <v>643</v>
      </c>
      <c r="T298" s="32" t="s">
        <v>2080</v>
      </c>
    </row>
    <row r="299" spans="1:20" x14ac:dyDescent="0.2">
      <c r="A299" t="s">
        <v>906</v>
      </c>
      <c r="B299" t="s">
        <v>643</v>
      </c>
      <c r="C299" t="s">
        <v>576</v>
      </c>
      <c r="D299" t="s">
        <v>1219</v>
      </c>
      <c r="E299" t="s">
        <v>636</v>
      </c>
      <c r="F299" t="s">
        <v>27</v>
      </c>
      <c r="G299" s="32">
        <v>45638</v>
      </c>
      <c r="H299" t="s">
        <v>1213</v>
      </c>
      <c r="I299" s="32">
        <v>45826</v>
      </c>
      <c r="J299" t="s">
        <v>643</v>
      </c>
      <c r="K299" s="32"/>
      <c r="L299" s="32">
        <v>46733</v>
      </c>
      <c r="M299" t="s">
        <v>672</v>
      </c>
      <c r="N299" t="s">
        <v>1213</v>
      </c>
      <c r="O299" t="s">
        <v>910</v>
      </c>
      <c r="P299" t="s">
        <v>1215</v>
      </c>
      <c r="Q299" t="s">
        <v>643</v>
      </c>
      <c r="R299" t="s">
        <v>643</v>
      </c>
      <c r="S299" t="s">
        <v>643</v>
      </c>
      <c r="T299" s="32" t="s">
        <v>1895</v>
      </c>
    </row>
    <row r="300" spans="1:20" x14ac:dyDescent="0.2">
      <c r="A300" t="s">
        <v>787</v>
      </c>
      <c r="B300" t="s">
        <v>54</v>
      </c>
      <c r="C300" t="s">
        <v>386</v>
      </c>
      <c r="D300" t="s">
        <v>1220</v>
      </c>
      <c r="E300" t="s">
        <v>636</v>
      </c>
      <c r="F300" t="s">
        <v>27</v>
      </c>
      <c r="G300" s="32">
        <v>45777</v>
      </c>
      <c r="H300" t="s">
        <v>878</v>
      </c>
      <c r="I300" s="32">
        <v>45805</v>
      </c>
      <c r="J300" t="s">
        <v>790</v>
      </c>
      <c r="K300" s="32">
        <v>45882</v>
      </c>
      <c r="L300" s="32">
        <v>46247</v>
      </c>
      <c r="M300" t="s">
        <v>639</v>
      </c>
      <c r="N300" t="s">
        <v>878</v>
      </c>
      <c r="O300" t="s">
        <v>790</v>
      </c>
      <c r="P300" t="s">
        <v>1075</v>
      </c>
      <c r="Q300" t="s">
        <v>643</v>
      </c>
      <c r="R300" t="s">
        <v>643</v>
      </c>
      <c r="S300" t="s">
        <v>643</v>
      </c>
      <c r="T300" s="32" t="s">
        <v>2085</v>
      </c>
    </row>
    <row r="301" spans="1:20" x14ac:dyDescent="0.2">
      <c r="A301" t="s">
        <v>667</v>
      </c>
      <c r="B301" t="s">
        <v>21</v>
      </c>
      <c r="C301" t="s">
        <v>139</v>
      </c>
      <c r="D301" t="s">
        <v>1221</v>
      </c>
      <c r="E301" t="s">
        <v>636</v>
      </c>
      <c r="F301" t="s">
        <v>664</v>
      </c>
      <c r="G301" s="32">
        <v>45554</v>
      </c>
      <c r="H301" t="s">
        <v>669</v>
      </c>
      <c r="I301" s="32">
        <v>45880</v>
      </c>
      <c r="J301" t="s">
        <v>673</v>
      </c>
      <c r="K301" s="32">
        <v>45987</v>
      </c>
      <c r="L301" s="32">
        <v>46352</v>
      </c>
      <c r="M301" t="s">
        <v>639</v>
      </c>
      <c r="N301" t="s">
        <v>1222</v>
      </c>
      <c r="O301" t="s">
        <v>673</v>
      </c>
      <c r="P301" t="s">
        <v>1223</v>
      </c>
      <c r="Q301" t="s">
        <v>1224</v>
      </c>
      <c r="R301" t="s">
        <v>1225</v>
      </c>
      <c r="S301" t="s">
        <v>703</v>
      </c>
      <c r="T301" s="32" t="s">
        <v>2089</v>
      </c>
    </row>
    <row r="302" spans="1:20" x14ac:dyDescent="0.2">
      <c r="A302" t="s">
        <v>667</v>
      </c>
      <c r="B302" t="s">
        <v>21</v>
      </c>
      <c r="C302" t="s">
        <v>140</v>
      </c>
      <c r="D302" t="s">
        <v>1226</v>
      </c>
      <c r="E302" t="s">
        <v>649</v>
      </c>
      <c r="F302" t="s">
        <v>27</v>
      </c>
      <c r="G302" s="32">
        <v>45553</v>
      </c>
      <c r="H302" t="s">
        <v>669</v>
      </c>
      <c r="I302" s="32">
        <v>46210</v>
      </c>
      <c r="J302" t="s">
        <v>643</v>
      </c>
      <c r="K302" s="32"/>
      <c r="L302" s="32">
        <v>46352</v>
      </c>
      <c r="M302" t="s">
        <v>672</v>
      </c>
      <c r="N302" t="s">
        <v>1227</v>
      </c>
      <c r="O302" t="s">
        <v>673</v>
      </c>
      <c r="P302" t="s">
        <v>1223</v>
      </c>
      <c r="Q302" t="s">
        <v>2497</v>
      </c>
      <c r="R302" t="s">
        <v>2498</v>
      </c>
      <c r="S302" t="s">
        <v>2380</v>
      </c>
      <c r="T302" s="32" t="s">
        <v>2092</v>
      </c>
    </row>
    <row r="303" spans="1:20" x14ac:dyDescent="0.2">
      <c r="A303" t="s">
        <v>667</v>
      </c>
      <c r="B303" t="s">
        <v>21</v>
      </c>
      <c r="C303" t="s">
        <v>180</v>
      </c>
      <c r="D303" t="s">
        <v>1228</v>
      </c>
      <c r="E303" t="s">
        <v>636</v>
      </c>
      <c r="F303" t="s">
        <v>27</v>
      </c>
      <c r="G303" s="32">
        <v>45553</v>
      </c>
      <c r="H303" t="s">
        <v>669</v>
      </c>
      <c r="I303" s="32">
        <v>45880</v>
      </c>
      <c r="J303" t="s">
        <v>673</v>
      </c>
      <c r="K303" s="32">
        <v>45987</v>
      </c>
      <c r="L303" s="32">
        <v>46352</v>
      </c>
      <c r="M303" t="s">
        <v>639</v>
      </c>
      <c r="N303" t="s">
        <v>1222</v>
      </c>
      <c r="O303" t="s">
        <v>673</v>
      </c>
      <c r="P303" t="s">
        <v>1223</v>
      </c>
      <c r="Q303" t="s">
        <v>643</v>
      </c>
      <c r="R303" t="s">
        <v>643</v>
      </c>
      <c r="S303" t="s">
        <v>643</v>
      </c>
      <c r="T303" s="32" t="s">
        <v>2092</v>
      </c>
    </row>
    <row r="304" spans="1:20" x14ac:dyDescent="0.2">
      <c r="A304" t="s">
        <v>667</v>
      </c>
      <c r="B304" t="s">
        <v>21</v>
      </c>
      <c r="C304" t="s">
        <v>262</v>
      </c>
      <c r="D304" t="s">
        <v>1229</v>
      </c>
      <c r="E304" t="s">
        <v>636</v>
      </c>
      <c r="F304" t="s">
        <v>34</v>
      </c>
      <c r="G304" s="32">
        <v>45554</v>
      </c>
      <c r="H304" t="s">
        <v>669</v>
      </c>
      <c r="I304" s="32">
        <v>45880</v>
      </c>
      <c r="J304" t="s">
        <v>673</v>
      </c>
      <c r="K304" s="32">
        <v>45987</v>
      </c>
      <c r="L304" s="32">
        <v>46352</v>
      </c>
      <c r="M304" t="s">
        <v>639</v>
      </c>
      <c r="N304" t="s">
        <v>1222</v>
      </c>
      <c r="O304" t="s">
        <v>673</v>
      </c>
      <c r="P304" t="s">
        <v>1223</v>
      </c>
      <c r="Q304" t="s">
        <v>643</v>
      </c>
      <c r="R304" t="s">
        <v>643</v>
      </c>
      <c r="S304" t="s">
        <v>643</v>
      </c>
      <c r="T304" s="32" t="s">
        <v>2089</v>
      </c>
    </row>
    <row r="305" spans="1:20" x14ac:dyDescent="0.2">
      <c r="A305" t="s">
        <v>787</v>
      </c>
      <c r="B305" t="s">
        <v>36</v>
      </c>
      <c r="C305" t="s">
        <v>338</v>
      </c>
      <c r="D305" t="s">
        <v>1230</v>
      </c>
      <c r="E305" t="s">
        <v>636</v>
      </c>
      <c r="F305" t="s">
        <v>34</v>
      </c>
      <c r="G305" s="32">
        <v>45708</v>
      </c>
      <c r="H305" t="s">
        <v>855</v>
      </c>
      <c r="I305" s="32">
        <v>45904</v>
      </c>
      <c r="J305" t="s">
        <v>790</v>
      </c>
      <c r="K305" s="32">
        <v>45917</v>
      </c>
      <c r="L305" s="32">
        <v>46282</v>
      </c>
      <c r="M305" t="s">
        <v>639</v>
      </c>
      <c r="N305" t="s">
        <v>855</v>
      </c>
      <c r="O305" t="s">
        <v>790</v>
      </c>
      <c r="P305" t="s">
        <v>857</v>
      </c>
      <c r="Q305" t="s">
        <v>643</v>
      </c>
      <c r="R305" t="s">
        <v>643</v>
      </c>
      <c r="S305" t="s">
        <v>643</v>
      </c>
      <c r="T305" s="32" t="s">
        <v>2097</v>
      </c>
    </row>
    <row r="306" spans="1:20" x14ac:dyDescent="0.2">
      <c r="A306" t="s">
        <v>787</v>
      </c>
      <c r="B306" t="s">
        <v>36</v>
      </c>
      <c r="C306" t="s">
        <v>2599</v>
      </c>
      <c r="D306" t="s">
        <v>1231</v>
      </c>
      <c r="E306" t="s">
        <v>636</v>
      </c>
      <c r="F306" t="s">
        <v>37</v>
      </c>
      <c r="G306" s="32">
        <v>45708</v>
      </c>
      <c r="H306" t="s">
        <v>855</v>
      </c>
      <c r="I306" s="32">
        <v>45904</v>
      </c>
      <c r="J306" t="s">
        <v>790</v>
      </c>
      <c r="K306" s="32">
        <v>45917</v>
      </c>
      <c r="L306" s="32">
        <v>46282</v>
      </c>
      <c r="M306" t="s">
        <v>639</v>
      </c>
      <c r="N306" t="s">
        <v>855</v>
      </c>
      <c r="O306" t="s">
        <v>790</v>
      </c>
      <c r="P306" t="s">
        <v>857</v>
      </c>
      <c r="Q306" t="s">
        <v>643</v>
      </c>
      <c r="R306" t="s">
        <v>643</v>
      </c>
      <c r="S306" t="s">
        <v>643</v>
      </c>
      <c r="T306" s="32" t="s">
        <v>2097</v>
      </c>
    </row>
    <row r="307" spans="1:20" x14ac:dyDescent="0.2">
      <c r="A307" t="s">
        <v>690</v>
      </c>
      <c r="B307" t="s">
        <v>710</v>
      </c>
      <c r="C307" t="s">
        <v>509</v>
      </c>
      <c r="D307" t="s">
        <v>753</v>
      </c>
      <c r="E307" t="s">
        <v>636</v>
      </c>
      <c r="F307" t="s">
        <v>16</v>
      </c>
      <c r="G307" s="32">
        <v>45806</v>
      </c>
      <c r="H307" t="s">
        <v>727</v>
      </c>
      <c r="I307" s="32">
        <v>45863</v>
      </c>
      <c r="J307" t="s">
        <v>643</v>
      </c>
      <c r="K307" s="32"/>
      <c r="L307" s="32">
        <v>46902</v>
      </c>
      <c r="M307" t="s">
        <v>693</v>
      </c>
      <c r="N307" t="s">
        <v>731</v>
      </c>
      <c r="O307" t="s">
        <v>673</v>
      </c>
      <c r="P307" t="s">
        <v>713</v>
      </c>
      <c r="Q307" t="s">
        <v>643</v>
      </c>
      <c r="R307" t="s">
        <v>643</v>
      </c>
      <c r="S307" t="s">
        <v>643</v>
      </c>
      <c r="T307" s="32" t="s">
        <v>1421</v>
      </c>
    </row>
    <row r="308" spans="1:20" x14ac:dyDescent="0.2">
      <c r="A308" t="s">
        <v>690</v>
      </c>
      <c r="B308" t="s">
        <v>710</v>
      </c>
      <c r="C308" t="s">
        <v>511</v>
      </c>
      <c r="D308" t="s">
        <v>754</v>
      </c>
      <c r="E308" t="s">
        <v>636</v>
      </c>
      <c r="F308" t="s">
        <v>16</v>
      </c>
      <c r="G308" s="32">
        <v>45806</v>
      </c>
      <c r="H308" t="s">
        <v>727</v>
      </c>
      <c r="I308" s="32">
        <v>45863</v>
      </c>
      <c r="J308" t="s">
        <v>643</v>
      </c>
      <c r="K308" s="32"/>
      <c r="L308" s="32">
        <v>46902</v>
      </c>
      <c r="M308" t="s">
        <v>693</v>
      </c>
      <c r="N308" t="s">
        <v>755</v>
      </c>
      <c r="O308" t="s">
        <v>673</v>
      </c>
      <c r="P308" t="s">
        <v>713</v>
      </c>
      <c r="Q308" t="s">
        <v>643</v>
      </c>
      <c r="R308" t="s">
        <v>643</v>
      </c>
      <c r="S308" t="s">
        <v>643</v>
      </c>
      <c r="T308" s="32" t="s">
        <v>1421</v>
      </c>
    </row>
    <row r="309" spans="1:20" x14ac:dyDescent="0.2">
      <c r="A309" t="s">
        <v>690</v>
      </c>
      <c r="B309" t="s">
        <v>710</v>
      </c>
      <c r="C309" t="s">
        <v>515</v>
      </c>
      <c r="D309" t="s">
        <v>756</v>
      </c>
      <c r="E309" t="s">
        <v>636</v>
      </c>
      <c r="F309" t="s">
        <v>16</v>
      </c>
      <c r="G309" s="32">
        <v>45806</v>
      </c>
      <c r="H309" t="s">
        <v>727</v>
      </c>
      <c r="I309" s="32">
        <v>45863</v>
      </c>
      <c r="J309" t="s">
        <v>643</v>
      </c>
      <c r="K309" s="32"/>
      <c r="L309" s="32">
        <v>46902</v>
      </c>
      <c r="M309" t="s">
        <v>693</v>
      </c>
      <c r="N309" t="s">
        <v>728</v>
      </c>
      <c r="O309" t="s">
        <v>673</v>
      </c>
      <c r="P309" t="s">
        <v>713</v>
      </c>
      <c r="Q309" t="s">
        <v>643</v>
      </c>
      <c r="R309" t="s">
        <v>643</v>
      </c>
      <c r="S309" t="s">
        <v>643</v>
      </c>
      <c r="T309" s="32" t="s">
        <v>1421</v>
      </c>
    </row>
    <row r="310" spans="1:20" x14ac:dyDescent="0.2">
      <c r="A310" t="s">
        <v>690</v>
      </c>
      <c r="B310" t="s">
        <v>710</v>
      </c>
      <c r="C310" t="s">
        <v>318</v>
      </c>
      <c r="D310" t="s">
        <v>757</v>
      </c>
      <c r="E310" t="s">
        <v>636</v>
      </c>
      <c r="F310" t="s">
        <v>16</v>
      </c>
      <c r="G310" s="32">
        <v>45806</v>
      </c>
      <c r="H310" t="s">
        <v>727</v>
      </c>
      <c r="I310" s="32">
        <v>45863</v>
      </c>
      <c r="J310" t="s">
        <v>673</v>
      </c>
      <c r="K310" s="32">
        <v>45877</v>
      </c>
      <c r="L310" s="32">
        <v>46242</v>
      </c>
      <c r="M310" t="s">
        <v>639</v>
      </c>
      <c r="N310" t="s">
        <v>748</v>
      </c>
      <c r="O310" t="s">
        <v>673</v>
      </c>
      <c r="P310" t="s">
        <v>713</v>
      </c>
      <c r="Q310" t="s">
        <v>643</v>
      </c>
      <c r="R310" t="s">
        <v>643</v>
      </c>
      <c r="S310" t="s">
        <v>643</v>
      </c>
      <c r="T310" s="32" t="s">
        <v>1421</v>
      </c>
    </row>
    <row r="311" spans="1:20" x14ac:dyDescent="0.2">
      <c r="A311" t="s">
        <v>690</v>
      </c>
      <c r="B311" t="s">
        <v>710</v>
      </c>
      <c r="C311" t="s">
        <v>198</v>
      </c>
      <c r="D311" t="s">
        <v>1163</v>
      </c>
      <c r="E311" t="s">
        <v>636</v>
      </c>
      <c r="F311" t="s">
        <v>925</v>
      </c>
      <c r="G311" s="32">
        <v>45806</v>
      </c>
      <c r="H311" t="s">
        <v>727</v>
      </c>
      <c r="I311" s="32">
        <v>45866</v>
      </c>
      <c r="J311" t="s">
        <v>673</v>
      </c>
      <c r="K311" s="32">
        <v>45877</v>
      </c>
      <c r="L311" s="32">
        <v>46242</v>
      </c>
      <c r="M311" t="s">
        <v>639</v>
      </c>
      <c r="N311" t="s">
        <v>728</v>
      </c>
      <c r="O311" t="s">
        <v>673</v>
      </c>
      <c r="P311" t="s">
        <v>713</v>
      </c>
      <c r="Q311" t="s">
        <v>643</v>
      </c>
      <c r="R311" t="s">
        <v>643</v>
      </c>
      <c r="S311" t="s">
        <v>643</v>
      </c>
      <c r="T311" s="32" t="s">
        <v>1421</v>
      </c>
    </row>
    <row r="312" spans="1:20" x14ac:dyDescent="0.2">
      <c r="A312" t="s">
        <v>690</v>
      </c>
      <c r="B312" t="s">
        <v>710</v>
      </c>
      <c r="C312" t="s">
        <v>334</v>
      </c>
      <c r="D312" t="s">
        <v>1237</v>
      </c>
      <c r="E312" t="s">
        <v>636</v>
      </c>
      <c r="F312" t="s">
        <v>34</v>
      </c>
      <c r="G312" s="32">
        <v>45806</v>
      </c>
      <c r="H312" t="s">
        <v>727</v>
      </c>
      <c r="I312" s="32">
        <v>45863</v>
      </c>
      <c r="J312" t="s">
        <v>673</v>
      </c>
      <c r="K312" s="32">
        <v>45877</v>
      </c>
      <c r="L312" s="32">
        <v>46242</v>
      </c>
      <c r="M312" t="s">
        <v>639</v>
      </c>
      <c r="N312" t="s">
        <v>755</v>
      </c>
      <c r="O312" t="s">
        <v>673</v>
      </c>
      <c r="P312" t="s">
        <v>713</v>
      </c>
      <c r="Q312" t="s">
        <v>643</v>
      </c>
      <c r="R312" t="s">
        <v>643</v>
      </c>
      <c r="S312" t="s">
        <v>643</v>
      </c>
      <c r="T312" s="32" t="s">
        <v>1421</v>
      </c>
    </row>
    <row r="313" spans="1:20" x14ac:dyDescent="0.2">
      <c r="A313" t="s">
        <v>690</v>
      </c>
      <c r="B313" t="s">
        <v>710</v>
      </c>
      <c r="C313" t="s">
        <v>439</v>
      </c>
      <c r="D313" t="s">
        <v>1184</v>
      </c>
      <c r="E313" t="s">
        <v>636</v>
      </c>
      <c r="F313" t="s">
        <v>34</v>
      </c>
      <c r="G313" s="32">
        <v>45806</v>
      </c>
      <c r="H313" t="s">
        <v>727</v>
      </c>
      <c r="I313" s="32">
        <v>45863</v>
      </c>
      <c r="J313" t="s">
        <v>673</v>
      </c>
      <c r="K313" s="32">
        <v>45877</v>
      </c>
      <c r="L313" s="32">
        <v>46242</v>
      </c>
      <c r="M313" t="s">
        <v>639</v>
      </c>
      <c r="N313" t="s">
        <v>755</v>
      </c>
      <c r="O313" t="s">
        <v>673</v>
      </c>
      <c r="P313" t="s">
        <v>713</v>
      </c>
      <c r="Q313" t="s">
        <v>911</v>
      </c>
      <c r="R313" t="s">
        <v>1185</v>
      </c>
      <c r="S313" t="s">
        <v>676</v>
      </c>
      <c r="T313" s="32" t="s">
        <v>1421</v>
      </c>
    </row>
    <row r="314" spans="1:20" x14ac:dyDescent="0.2">
      <c r="A314" t="s">
        <v>634</v>
      </c>
      <c r="B314" t="s">
        <v>52</v>
      </c>
      <c r="C314" t="s">
        <v>286</v>
      </c>
      <c r="D314" t="s">
        <v>1239</v>
      </c>
      <c r="E314" t="s">
        <v>636</v>
      </c>
      <c r="F314" t="s">
        <v>664</v>
      </c>
      <c r="G314" s="32">
        <v>45775</v>
      </c>
      <c r="H314" t="s">
        <v>981</v>
      </c>
      <c r="I314" s="32">
        <v>45845</v>
      </c>
      <c r="J314" t="s">
        <v>846</v>
      </c>
      <c r="K314" s="32">
        <v>45846</v>
      </c>
      <c r="L314" s="32">
        <v>46211</v>
      </c>
      <c r="M314" t="s">
        <v>639</v>
      </c>
      <c r="N314" t="s">
        <v>981</v>
      </c>
      <c r="O314" t="s">
        <v>846</v>
      </c>
      <c r="P314" t="s">
        <v>1057</v>
      </c>
      <c r="Q314" t="s">
        <v>643</v>
      </c>
      <c r="R314" t="s">
        <v>643</v>
      </c>
      <c r="S314" t="s">
        <v>643</v>
      </c>
      <c r="T314" s="32" t="s">
        <v>2112</v>
      </c>
    </row>
    <row r="315" spans="1:20" x14ac:dyDescent="0.2">
      <c r="A315" t="s">
        <v>787</v>
      </c>
      <c r="B315" t="s">
        <v>54</v>
      </c>
      <c r="C315" t="s">
        <v>175</v>
      </c>
      <c r="D315" t="s">
        <v>1240</v>
      </c>
      <c r="E315" t="s">
        <v>649</v>
      </c>
      <c r="F315" t="s">
        <v>664</v>
      </c>
      <c r="G315" s="32">
        <v>45804</v>
      </c>
      <c r="H315" t="s">
        <v>878</v>
      </c>
      <c r="I315" s="32">
        <v>46177</v>
      </c>
      <c r="J315" t="s">
        <v>790</v>
      </c>
      <c r="K315" s="32">
        <v>46218</v>
      </c>
      <c r="L315" s="32">
        <v>46583</v>
      </c>
      <c r="M315" t="s">
        <v>639</v>
      </c>
      <c r="N315" t="s">
        <v>878</v>
      </c>
      <c r="O315" t="s">
        <v>790</v>
      </c>
      <c r="P315" t="s">
        <v>1075</v>
      </c>
      <c r="Q315" t="s">
        <v>2602</v>
      </c>
      <c r="R315" t="s">
        <v>2603</v>
      </c>
      <c r="S315" t="s">
        <v>2554</v>
      </c>
      <c r="T315" s="32" t="s">
        <v>2116</v>
      </c>
    </row>
    <row r="316" spans="1:20" x14ac:dyDescent="0.2">
      <c r="A316" t="s">
        <v>634</v>
      </c>
      <c r="B316" t="s">
        <v>61</v>
      </c>
      <c r="C316" t="s">
        <v>217</v>
      </c>
      <c r="D316" t="s">
        <v>1255</v>
      </c>
      <c r="E316" t="s">
        <v>636</v>
      </c>
      <c r="F316" t="s">
        <v>27</v>
      </c>
      <c r="G316" s="32">
        <v>45467</v>
      </c>
      <c r="H316" t="s">
        <v>646</v>
      </c>
      <c r="I316" s="32">
        <v>45813</v>
      </c>
      <c r="J316" t="s">
        <v>637</v>
      </c>
      <c r="K316" s="32">
        <v>46140</v>
      </c>
      <c r="L316" s="32">
        <v>46505</v>
      </c>
      <c r="M316" t="s">
        <v>639</v>
      </c>
      <c r="N316" t="s">
        <v>646</v>
      </c>
      <c r="O316" t="s">
        <v>637</v>
      </c>
      <c r="P316" t="s">
        <v>647</v>
      </c>
      <c r="Q316" t="s">
        <v>643</v>
      </c>
      <c r="R316" t="s">
        <v>643</v>
      </c>
      <c r="S316" t="s">
        <v>643</v>
      </c>
      <c r="T316" s="32" t="s">
        <v>1736</v>
      </c>
    </row>
    <row r="317" spans="1:20" x14ac:dyDescent="0.2">
      <c r="A317" t="s">
        <v>690</v>
      </c>
      <c r="B317" t="s">
        <v>710</v>
      </c>
      <c r="C317" t="s">
        <v>535</v>
      </c>
      <c r="D317" t="s">
        <v>915</v>
      </c>
      <c r="E317" t="s">
        <v>636</v>
      </c>
      <c r="F317" t="s">
        <v>16</v>
      </c>
      <c r="G317" s="32">
        <v>45820</v>
      </c>
      <c r="H317" t="s">
        <v>692</v>
      </c>
      <c r="I317" s="32">
        <v>45842</v>
      </c>
      <c r="J317" t="s">
        <v>673</v>
      </c>
      <c r="K317" s="32">
        <v>45877</v>
      </c>
      <c r="L317" s="32">
        <v>46242</v>
      </c>
      <c r="M317" t="s">
        <v>639</v>
      </c>
      <c r="N317" t="s">
        <v>724</v>
      </c>
      <c r="O317" t="s">
        <v>673</v>
      </c>
      <c r="P317" t="s">
        <v>713</v>
      </c>
      <c r="Q317" t="s">
        <v>643</v>
      </c>
      <c r="R317" t="s">
        <v>643</v>
      </c>
      <c r="S317" t="s">
        <v>643</v>
      </c>
      <c r="T317" s="32" t="s">
        <v>1611</v>
      </c>
    </row>
    <row r="318" spans="1:20" x14ac:dyDescent="0.2">
      <c r="A318" t="s">
        <v>690</v>
      </c>
      <c r="B318" t="s">
        <v>710</v>
      </c>
      <c r="C318" t="s">
        <v>446</v>
      </c>
      <c r="D318" t="s">
        <v>1232</v>
      </c>
      <c r="E318" t="s">
        <v>636</v>
      </c>
      <c r="F318" t="s">
        <v>34</v>
      </c>
      <c r="G318" s="32">
        <v>45820</v>
      </c>
      <c r="H318" t="s">
        <v>692</v>
      </c>
      <c r="I318" s="32">
        <v>46093</v>
      </c>
      <c r="J318" t="s">
        <v>673</v>
      </c>
      <c r="K318" s="32">
        <v>46093</v>
      </c>
      <c r="L318" s="32">
        <v>46458</v>
      </c>
      <c r="M318" t="s">
        <v>639</v>
      </c>
      <c r="N318" t="s">
        <v>712</v>
      </c>
      <c r="O318" t="s">
        <v>673</v>
      </c>
      <c r="P318" t="s">
        <v>713</v>
      </c>
      <c r="Q318" t="s">
        <v>721</v>
      </c>
      <c r="R318" t="s">
        <v>1175</v>
      </c>
      <c r="S318" t="s">
        <v>676</v>
      </c>
      <c r="T318" s="32" t="s">
        <v>1611</v>
      </c>
    </row>
    <row r="319" spans="1:20" x14ac:dyDescent="0.2">
      <c r="A319" t="s">
        <v>690</v>
      </c>
      <c r="B319" t="s">
        <v>710</v>
      </c>
      <c r="C319" t="s">
        <v>553</v>
      </c>
      <c r="D319" t="s">
        <v>1235</v>
      </c>
      <c r="E319" t="s">
        <v>636</v>
      </c>
      <c r="F319" t="s">
        <v>34</v>
      </c>
      <c r="G319" s="32">
        <v>45820</v>
      </c>
      <c r="H319" t="s">
        <v>692</v>
      </c>
      <c r="I319" s="32">
        <v>46093</v>
      </c>
      <c r="J319" t="s">
        <v>673</v>
      </c>
      <c r="K319" s="32">
        <v>46093</v>
      </c>
      <c r="L319" s="32">
        <v>46458</v>
      </c>
      <c r="M319" t="s">
        <v>639</v>
      </c>
      <c r="N319" t="s">
        <v>724</v>
      </c>
      <c r="O319" t="s">
        <v>673</v>
      </c>
      <c r="P319" t="s">
        <v>713</v>
      </c>
      <c r="Q319" t="s">
        <v>721</v>
      </c>
      <c r="R319" t="s">
        <v>1175</v>
      </c>
      <c r="S319" t="s">
        <v>676</v>
      </c>
      <c r="T319" s="32" t="s">
        <v>1611</v>
      </c>
    </row>
    <row r="320" spans="1:20" x14ac:dyDescent="0.2">
      <c r="A320" t="s">
        <v>906</v>
      </c>
      <c r="B320" t="s">
        <v>643</v>
      </c>
      <c r="C320" t="s">
        <v>1245</v>
      </c>
      <c r="D320" t="s">
        <v>1244</v>
      </c>
      <c r="E320" t="s">
        <v>636</v>
      </c>
      <c r="F320" t="s">
        <v>27</v>
      </c>
      <c r="G320" s="32">
        <v>45637</v>
      </c>
      <c r="H320" t="s">
        <v>1213</v>
      </c>
      <c r="I320" s="32">
        <v>45888</v>
      </c>
      <c r="J320" t="s">
        <v>643</v>
      </c>
      <c r="K320" s="32"/>
      <c r="L320" s="32">
        <v>46732</v>
      </c>
      <c r="M320" t="s">
        <v>672</v>
      </c>
      <c r="N320" t="s">
        <v>1213</v>
      </c>
      <c r="O320" t="s">
        <v>910</v>
      </c>
      <c r="P320" t="s">
        <v>1215</v>
      </c>
      <c r="Q320" t="s">
        <v>643</v>
      </c>
      <c r="R320" t="s">
        <v>643</v>
      </c>
      <c r="S320" t="s">
        <v>643</v>
      </c>
      <c r="T320" s="32" t="s">
        <v>2121</v>
      </c>
    </row>
    <row r="321" spans="1:20" x14ac:dyDescent="0.2">
      <c r="A321" t="s">
        <v>634</v>
      </c>
      <c r="B321" t="s">
        <v>61</v>
      </c>
      <c r="C321" t="s">
        <v>288</v>
      </c>
      <c r="D321" t="s">
        <v>1279</v>
      </c>
      <c r="E321" t="s">
        <v>636</v>
      </c>
      <c r="F321" t="s">
        <v>925</v>
      </c>
      <c r="G321" s="32">
        <v>45834</v>
      </c>
      <c r="H321" t="s">
        <v>646</v>
      </c>
      <c r="I321" s="32">
        <v>45845</v>
      </c>
      <c r="J321" t="s">
        <v>637</v>
      </c>
      <c r="K321" s="32">
        <v>46140</v>
      </c>
      <c r="L321" s="32">
        <v>46930</v>
      </c>
      <c r="M321" t="s">
        <v>693</v>
      </c>
      <c r="N321" t="s">
        <v>646</v>
      </c>
      <c r="O321" t="s">
        <v>637</v>
      </c>
      <c r="P321" t="s">
        <v>647</v>
      </c>
      <c r="Q321" t="s">
        <v>643</v>
      </c>
      <c r="R321" t="s">
        <v>643</v>
      </c>
      <c r="S321" t="s">
        <v>643</v>
      </c>
      <c r="T321" s="32" t="s">
        <v>2127</v>
      </c>
    </row>
    <row r="322" spans="1:20" x14ac:dyDescent="0.2">
      <c r="A322" t="s">
        <v>634</v>
      </c>
      <c r="B322" t="s">
        <v>61</v>
      </c>
      <c r="C322" t="s">
        <v>266</v>
      </c>
      <c r="D322" t="s">
        <v>1282</v>
      </c>
      <c r="E322" t="s">
        <v>636</v>
      </c>
      <c r="F322" t="s">
        <v>925</v>
      </c>
      <c r="G322" s="32">
        <v>45834</v>
      </c>
      <c r="H322" t="s">
        <v>646</v>
      </c>
      <c r="I322" s="32">
        <v>45845</v>
      </c>
      <c r="J322" t="s">
        <v>637</v>
      </c>
      <c r="K322" s="32">
        <v>46154</v>
      </c>
      <c r="L322" s="32">
        <v>46519</v>
      </c>
      <c r="M322" t="s">
        <v>639</v>
      </c>
      <c r="N322" t="s">
        <v>646</v>
      </c>
      <c r="O322" t="s">
        <v>637</v>
      </c>
      <c r="P322" t="s">
        <v>647</v>
      </c>
      <c r="Q322" t="s">
        <v>721</v>
      </c>
      <c r="R322" t="s">
        <v>929</v>
      </c>
      <c r="S322" t="s">
        <v>676</v>
      </c>
      <c r="T322" s="32" t="s">
        <v>2127</v>
      </c>
    </row>
    <row r="323" spans="1:20" x14ac:dyDescent="0.2">
      <c r="A323" t="s">
        <v>906</v>
      </c>
      <c r="B323" t="s">
        <v>643</v>
      </c>
      <c r="C323" t="s">
        <v>1249</v>
      </c>
      <c r="D323" t="s">
        <v>1248</v>
      </c>
      <c r="E323" t="s">
        <v>636</v>
      </c>
      <c r="F323" t="s">
        <v>664</v>
      </c>
      <c r="G323" s="32">
        <v>45834</v>
      </c>
      <c r="H323" t="s">
        <v>1213</v>
      </c>
      <c r="I323" s="32">
        <v>45888</v>
      </c>
      <c r="J323" t="s">
        <v>1250</v>
      </c>
      <c r="K323" s="32">
        <v>46090</v>
      </c>
      <c r="L323" s="32">
        <v>46455</v>
      </c>
      <c r="M323" t="s">
        <v>639</v>
      </c>
      <c r="N323" t="s">
        <v>1213</v>
      </c>
      <c r="O323" t="s">
        <v>1250</v>
      </c>
      <c r="P323" t="s">
        <v>1215</v>
      </c>
      <c r="Q323" t="s">
        <v>1251</v>
      </c>
      <c r="R323" t="s">
        <v>1251</v>
      </c>
      <c r="S323" t="s">
        <v>703</v>
      </c>
      <c r="T323" s="32" t="s">
        <v>2127</v>
      </c>
    </row>
    <row r="324" spans="1:20" x14ac:dyDescent="0.2">
      <c r="A324" t="s">
        <v>787</v>
      </c>
      <c r="B324" t="s">
        <v>36</v>
      </c>
      <c r="C324" t="s">
        <v>414</v>
      </c>
      <c r="D324" t="s">
        <v>1252</v>
      </c>
      <c r="E324" t="s">
        <v>636</v>
      </c>
      <c r="F324" t="s">
        <v>16</v>
      </c>
      <c r="G324" s="32">
        <v>45853</v>
      </c>
      <c r="H324" t="s">
        <v>643</v>
      </c>
      <c r="I324" s="32"/>
      <c r="J324" t="s">
        <v>703</v>
      </c>
      <c r="K324" s="32">
        <v>45853</v>
      </c>
      <c r="L324" s="32">
        <v>46218</v>
      </c>
      <c r="M324" t="s">
        <v>639</v>
      </c>
      <c r="N324" t="s">
        <v>855</v>
      </c>
      <c r="O324" t="s">
        <v>790</v>
      </c>
      <c r="P324" t="s">
        <v>643</v>
      </c>
      <c r="Q324" t="s">
        <v>643</v>
      </c>
      <c r="R324" t="s">
        <v>643</v>
      </c>
      <c r="S324" t="s">
        <v>643</v>
      </c>
      <c r="T324" s="32" t="s">
        <v>2130</v>
      </c>
    </row>
    <row r="325" spans="1:20" x14ac:dyDescent="0.2">
      <c r="A325" t="s">
        <v>787</v>
      </c>
      <c r="B325" t="s">
        <v>36</v>
      </c>
      <c r="C325" t="s">
        <v>427</v>
      </c>
      <c r="D325" t="s">
        <v>1253</v>
      </c>
      <c r="E325" t="s">
        <v>636</v>
      </c>
      <c r="F325" t="s">
        <v>16</v>
      </c>
      <c r="G325" s="32">
        <v>45853</v>
      </c>
      <c r="H325" t="s">
        <v>643</v>
      </c>
      <c r="I325" s="32"/>
      <c r="J325" t="s">
        <v>703</v>
      </c>
      <c r="K325" s="32">
        <v>45853</v>
      </c>
      <c r="L325" s="32">
        <v>46218</v>
      </c>
      <c r="M325" t="s">
        <v>639</v>
      </c>
      <c r="N325" t="s">
        <v>855</v>
      </c>
      <c r="O325" t="s">
        <v>790</v>
      </c>
      <c r="P325" t="s">
        <v>643</v>
      </c>
      <c r="Q325" t="s">
        <v>643</v>
      </c>
      <c r="R325" t="s">
        <v>643</v>
      </c>
      <c r="S325" t="s">
        <v>643</v>
      </c>
      <c r="T325" s="32" t="s">
        <v>2130</v>
      </c>
    </row>
    <row r="326" spans="1:20" x14ac:dyDescent="0.2">
      <c r="A326" t="s">
        <v>667</v>
      </c>
      <c r="B326" t="s">
        <v>50</v>
      </c>
      <c r="C326" t="s">
        <v>86</v>
      </c>
      <c r="D326" t="s">
        <v>1254</v>
      </c>
      <c r="E326" t="s">
        <v>649</v>
      </c>
      <c r="F326" t="s">
        <v>925</v>
      </c>
      <c r="G326" s="32">
        <v>45853</v>
      </c>
      <c r="H326" t="s">
        <v>669</v>
      </c>
      <c r="I326" s="32">
        <v>46183</v>
      </c>
      <c r="J326" t="s">
        <v>673</v>
      </c>
      <c r="K326" s="32">
        <v>46183</v>
      </c>
      <c r="L326" s="32">
        <v>46548</v>
      </c>
      <c r="M326" t="s">
        <v>639</v>
      </c>
      <c r="N326" t="s">
        <v>669</v>
      </c>
      <c r="O326" t="s">
        <v>673</v>
      </c>
      <c r="P326" t="s">
        <v>670</v>
      </c>
      <c r="Q326" t="s">
        <v>2610</v>
      </c>
      <c r="R326" t="s">
        <v>2611</v>
      </c>
      <c r="S326" t="s">
        <v>2380</v>
      </c>
      <c r="T326" s="32" t="s">
        <v>2130</v>
      </c>
    </row>
    <row r="327" spans="1:20" x14ac:dyDescent="0.2">
      <c r="A327" t="s">
        <v>634</v>
      </c>
      <c r="B327" t="s">
        <v>61</v>
      </c>
      <c r="C327" t="s">
        <v>240</v>
      </c>
      <c r="D327" t="s">
        <v>1053</v>
      </c>
      <c r="E327" t="s">
        <v>636</v>
      </c>
      <c r="F327" t="s">
        <v>16</v>
      </c>
      <c r="G327" s="32">
        <v>45859</v>
      </c>
      <c r="H327" t="s">
        <v>646</v>
      </c>
      <c r="I327" s="32">
        <v>45859</v>
      </c>
      <c r="J327" t="s">
        <v>637</v>
      </c>
      <c r="K327" s="32">
        <v>46154</v>
      </c>
      <c r="L327" s="32">
        <v>46519</v>
      </c>
      <c r="M327" t="s">
        <v>639</v>
      </c>
      <c r="N327" t="s">
        <v>646</v>
      </c>
      <c r="O327" t="s">
        <v>637</v>
      </c>
      <c r="P327" t="s">
        <v>647</v>
      </c>
      <c r="Q327" t="s">
        <v>643</v>
      </c>
      <c r="R327" t="s">
        <v>643</v>
      </c>
      <c r="S327" t="s">
        <v>643</v>
      </c>
      <c r="T327" s="32" t="s">
        <v>1794</v>
      </c>
    </row>
    <row r="328" spans="1:20" x14ac:dyDescent="0.2">
      <c r="A328" t="s">
        <v>774</v>
      </c>
      <c r="B328" t="s">
        <v>1119</v>
      </c>
      <c r="C328" t="s">
        <v>205</v>
      </c>
      <c r="D328" t="s">
        <v>1256</v>
      </c>
      <c r="E328" t="s">
        <v>649</v>
      </c>
      <c r="F328" t="s">
        <v>37</v>
      </c>
      <c r="G328" s="32">
        <v>45863</v>
      </c>
      <c r="H328" t="s">
        <v>839</v>
      </c>
      <c r="I328" s="32">
        <v>46020</v>
      </c>
      <c r="J328" t="s">
        <v>673</v>
      </c>
      <c r="K328" s="32">
        <v>46083</v>
      </c>
      <c r="L328" s="32">
        <v>46448</v>
      </c>
      <c r="M328" t="s">
        <v>639</v>
      </c>
      <c r="N328" t="s">
        <v>839</v>
      </c>
      <c r="O328" t="s">
        <v>673</v>
      </c>
      <c r="P328" t="s">
        <v>840</v>
      </c>
      <c r="Q328" t="s">
        <v>1257</v>
      </c>
      <c r="R328" t="s">
        <v>1258</v>
      </c>
      <c r="S328" t="s">
        <v>703</v>
      </c>
      <c r="T328" s="32" t="s">
        <v>2135</v>
      </c>
    </row>
    <row r="329" spans="1:20" x14ac:dyDescent="0.2">
      <c r="A329" t="s">
        <v>787</v>
      </c>
      <c r="B329" t="s">
        <v>54</v>
      </c>
      <c r="C329" t="s">
        <v>237</v>
      </c>
      <c r="D329" t="s">
        <v>1259</v>
      </c>
      <c r="E329" t="s">
        <v>649</v>
      </c>
      <c r="F329" t="s">
        <v>37</v>
      </c>
      <c r="G329" s="32">
        <v>45868</v>
      </c>
      <c r="H329" t="s">
        <v>878</v>
      </c>
      <c r="I329" s="32">
        <v>46177</v>
      </c>
      <c r="J329" t="s">
        <v>790</v>
      </c>
      <c r="K329" s="32">
        <v>46218</v>
      </c>
      <c r="L329" s="32">
        <v>46583</v>
      </c>
      <c r="M329" t="s">
        <v>639</v>
      </c>
      <c r="N329" t="s">
        <v>878</v>
      </c>
      <c r="O329" t="s">
        <v>790</v>
      </c>
      <c r="P329" t="s">
        <v>1075</v>
      </c>
      <c r="Q329" t="s">
        <v>1260</v>
      </c>
      <c r="R329" t="s">
        <v>1261</v>
      </c>
      <c r="S329" t="s">
        <v>703</v>
      </c>
      <c r="T329" s="32" t="s">
        <v>2139</v>
      </c>
    </row>
    <row r="330" spans="1:20" x14ac:dyDescent="0.2">
      <c r="A330" t="s">
        <v>906</v>
      </c>
      <c r="B330" t="s">
        <v>643</v>
      </c>
      <c r="C330" t="s">
        <v>290</v>
      </c>
      <c r="D330" t="s">
        <v>1262</v>
      </c>
      <c r="E330" t="s">
        <v>636</v>
      </c>
      <c r="F330" t="s">
        <v>16</v>
      </c>
      <c r="G330" s="32">
        <v>45853</v>
      </c>
      <c r="H330" t="s">
        <v>839</v>
      </c>
      <c r="I330" s="32">
        <v>45880</v>
      </c>
      <c r="J330" t="s">
        <v>673</v>
      </c>
      <c r="K330" s="32">
        <v>45987</v>
      </c>
      <c r="L330" s="32">
        <v>46352</v>
      </c>
      <c r="M330" t="s">
        <v>639</v>
      </c>
      <c r="N330" t="s">
        <v>839</v>
      </c>
      <c r="O330" t="s">
        <v>673</v>
      </c>
      <c r="P330" t="s">
        <v>840</v>
      </c>
      <c r="Q330" t="s">
        <v>1263</v>
      </c>
      <c r="R330" t="s">
        <v>1264</v>
      </c>
      <c r="S330" t="s">
        <v>703</v>
      </c>
      <c r="T330" s="32" t="s">
        <v>2130</v>
      </c>
    </row>
    <row r="331" spans="1:20" x14ac:dyDescent="0.2">
      <c r="A331" t="s">
        <v>906</v>
      </c>
      <c r="B331" t="s">
        <v>643</v>
      </c>
      <c r="C331" t="s">
        <v>311</v>
      </c>
      <c r="D331" t="s">
        <v>1265</v>
      </c>
      <c r="E331" t="s">
        <v>636</v>
      </c>
      <c r="F331" t="s">
        <v>16</v>
      </c>
      <c r="G331" s="32">
        <v>45854</v>
      </c>
      <c r="H331" t="s">
        <v>839</v>
      </c>
      <c r="I331" s="32">
        <v>45875</v>
      </c>
      <c r="J331" t="s">
        <v>673</v>
      </c>
      <c r="K331" s="32">
        <v>45877</v>
      </c>
      <c r="L331" s="32">
        <v>46242</v>
      </c>
      <c r="M331" t="s">
        <v>639</v>
      </c>
      <c r="N331" t="s">
        <v>839</v>
      </c>
      <c r="O331" t="s">
        <v>673</v>
      </c>
      <c r="P331" t="s">
        <v>840</v>
      </c>
      <c r="Q331" t="s">
        <v>643</v>
      </c>
      <c r="R331" t="s">
        <v>643</v>
      </c>
      <c r="S331" t="s">
        <v>643</v>
      </c>
      <c r="T331" s="32" t="s">
        <v>2133</v>
      </c>
    </row>
    <row r="332" spans="1:20" x14ac:dyDescent="0.2">
      <c r="A332" t="s">
        <v>634</v>
      </c>
      <c r="B332" t="s">
        <v>61</v>
      </c>
      <c r="C332" t="s">
        <v>308</v>
      </c>
      <c r="D332" t="s">
        <v>1280</v>
      </c>
      <c r="E332" t="s">
        <v>636</v>
      </c>
      <c r="F332" t="s">
        <v>925</v>
      </c>
      <c r="G332" s="32">
        <v>45883</v>
      </c>
      <c r="H332" t="s">
        <v>646</v>
      </c>
      <c r="I332" s="32">
        <v>45888</v>
      </c>
      <c r="J332" t="s">
        <v>637</v>
      </c>
      <c r="K332" s="32">
        <v>46154</v>
      </c>
      <c r="L332" s="32">
        <v>46519</v>
      </c>
      <c r="M332" t="s">
        <v>639</v>
      </c>
      <c r="N332" t="s">
        <v>646</v>
      </c>
      <c r="O332" t="s">
        <v>637</v>
      </c>
      <c r="P332" t="s">
        <v>647</v>
      </c>
      <c r="Q332" t="s">
        <v>1281</v>
      </c>
      <c r="R332" t="s">
        <v>959</v>
      </c>
      <c r="S332" t="s">
        <v>676</v>
      </c>
      <c r="T332" s="32" t="s">
        <v>2147</v>
      </c>
    </row>
    <row r="333" spans="1:20" x14ac:dyDescent="0.2">
      <c r="A333" t="s">
        <v>906</v>
      </c>
      <c r="B333" t="s">
        <v>643</v>
      </c>
      <c r="C333" t="s">
        <v>312</v>
      </c>
      <c r="D333" t="s">
        <v>1267</v>
      </c>
      <c r="E333" t="s">
        <v>636</v>
      </c>
      <c r="F333" t="s">
        <v>27</v>
      </c>
      <c r="G333" s="32">
        <v>45883</v>
      </c>
      <c r="H333" t="s">
        <v>1250</v>
      </c>
      <c r="I333" s="32">
        <v>46090</v>
      </c>
      <c r="J333" t="s">
        <v>643</v>
      </c>
      <c r="K333" s="32"/>
      <c r="L333" s="32">
        <v>46979</v>
      </c>
      <c r="M333" t="s">
        <v>672</v>
      </c>
      <c r="N333" t="s">
        <v>1268</v>
      </c>
      <c r="O333" t="s">
        <v>910</v>
      </c>
      <c r="P333" t="s">
        <v>1215</v>
      </c>
      <c r="Q333" t="s">
        <v>643</v>
      </c>
      <c r="R333" t="s">
        <v>643</v>
      </c>
      <c r="S333" t="s">
        <v>643</v>
      </c>
      <c r="T333" s="32" t="s">
        <v>2147</v>
      </c>
    </row>
    <row r="334" spans="1:20" x14ac:dyDescent="0.2">
      <c r="A334" t="s">
        <v>634</v>
      </c>
      <c r="B334" t="s">
        <v>56</v>
      </c>
      <c r="C334" t="s">
        <v>475</v>
      </c>
      <c r="D334" t="s">
        <v>1269</v>
      </c>
      <c r="E334" t="s">
        <v>636</v>
      </c>
      <c r="F334" t="s">
        <v>16</v>
      </c>
      <c r="G334" s="32">
        <v>45944</v>
      </c>
      <c r="H334" t="s">
        <v>785</v>
      </c>
      <c r="I334" s="32">
        <v>45944</v>
      </c>
      <c r="J334" t="s">
        <v>637</v>
      </c>
      <c r="K334" s="32">
        <v>46154</v>
      </c>
      <c r="L334" s="32">
        <v>46519</v>
      </c>
      <c r="M334" t="s">
        <v>639</v>
      </c>
      <c r="N334" t="s">
        <v>785</v>
      </c>
      <c r="O334" t="s">
        <v>637</v>
      </c>
      <c r="P334" t="s">
        <v>786</v>
      </c>
      <c r="Q334" t="s">
        <v>643</v>
      </c>
      <c r="R334" t="s">
        <v>643</v>
      </c>
      <c r="S334" t="s">
        <v>643</v>
      </c>
      <c r="T334" s="32" t="s">
        <v>2149</v>
      </c>
    </row>
    <row r="335" spans="1:20" x14ac:dyDescent="0.2">
      <c r="A335" t="s">
        <v>634</v>
      </c>
      <c r="B335" t="s">
        <v>56</v>
      </c>
      <c r="C335" t="s">
        <v>367</v>
      </c>
      <c r="D335" t="s">
        <v>1270</v>
      </c>
      <c r="E335" t="s">
        <v>636</v>
      </c>
      <c r="F335" t="s">
        <v>664</v>
      </c>
      <c r="G335" s="32">
        <v>45944</v>
      </c>
      <c r="H335" t="s">
        <v>785</v>
      </c>
      <c r="I335" s="32">
        <v>45944</v>
      </c>
      <c r="J335" t="s">
        <v>637</v>
      </c>
      <c r="K335" s="32">
        <v>46154</v>
      </c>
      <c r="L335" s="32">
        <v>46519</v>
      </c>
      <c r="M335" t="s">
        <v>639</v>
      </c>
      <c r="N335" t="s">
        <v>785</v>
      </c>
      <c r="O335" t="s">
        <v>637</v>
      </c>
      <c r="P335" t="s">
        <v>786</v>
      </c>
      <c r="Q335" t="s">
        <v>643</v>
      </c>
      <c r="R335" t="s">
        <v>643</v>
      </c>
      <c r="S335" t="s">
        <v>643</v>
      </c>
      <c r="T335" s="32" t="s">
        <v>2149</v>
      </c>
    </row>
    <row r="336" spans="1:20" x14ac:dyDescent="0.2">
      <c r="A336" t="s">
        <v>787</v>
      </c>
      <c r="B336" t="s">
        <v>30</v>
      </c>
      <c r="C336" t="s">
        <v>131</v>
      </c>
      <c r="D336" t="s">
        <v>1271</v>
      </c>
      <c r="E336" t="s">
        <v>636</v>
      </c>
      <c r="F336" t="s">
        <v>16</v>
      </c>
      <c r="G336" s="32">
        <v>45951</v>
      </c>
      <c r="H336" t="s">
        <v>789</v>
      </c>
      <c r="I336" s="32">
        <v>45982</v>
      </c>
      <c r="J336" t="s">
        <v>790</v>
      </c>
      <c r="K336" s="32">
        <v>46050</v>
      </c>
      <c r="L336" s="32">
        <v>46415</v>
      </c>
      <c r="M336" t="s">
        <v>639</v>
      </c>
      <c r="N336" t="s">
        <v>789</v>
      </c>
      <c r="O336" t="s">
        <v>790</v>
      </c>
      <c r="P336" t="s">
        <v>796</v>
      </c>
      <c r="Q336" t="s">
        <v>643</v>
      </c>
      <c r="R336" t="s">
        <v>643</v>
      </c>
      <c r="S336" t="s">
        <v>643</v>
      </c>
      <c r="T336" s="32" t="s">
        <v>2152</v>
      </c>
    </row>
    <row r="337" spans="1:20" x14ac:dyDescent="0.2">
      <c r="A337" t="s">
        <v>906</v>
      </c>
      <c r="B337" t="s">
        <v>643</v>
      </c>
      <c r="C337" t="s">
        <v>328</v>
      </c>
      <c r="D337" t="s">
        <v>1272</v>
      </c>
      <c r="E337" t="s">
        <v>636</v>
      </c>
      <c r="F337" t="s">
        <v>16</v>
      </c>
      <c r="G337" s="32">
        <v>45863</v>
      </c>
      <c r="H337" t="s">
        <v>839</v>
      </c>
      <c r="I337" s="32">
        <v>46007</v>
      </c>
      <c r="J337" t="s">
        <v>673</v>
      </c>
      <c r="K337" s="32">
        <v>46083</v>
      </c>
      <c r="L337" s="32">
        <v>46448</v>
      </c>
      <c r="M337" t="s">
        <v>639</v>
      </c>
      <c r="N337" t="s">
        <v>839</v>
      </c>
      <c r="O337" t="s">
        <v>673</v>
      </c>
      <c r="P337" t="s">
        <v>840</v>
      </c>
      <c r="Q337" t="s">
        <v>643</v>
      </c>
      <c r="R337" t="s">
        <v>643</v>
      </c>
      <c r="S337" t="s">
        <v>643</v>
      </c>
      <c r="T337" s="32" t="s">
        <v>2135</v>
      </c>
    </row>
    <row r="338" spans="1:20" x14ac:dyDescent="0.2">
      <c r="A338" t="s">
        <v>774</v>
      </c>
      <c r="B338" t="s">
        <v>1119</v>
      </c>
      <c r="C338" t="s">
        <v>374</v>
      </c>
      <c r="D338" t="s">
        <v>1273</v>
      </c>
      <c r="E338" t="s">
        <v>636</v>
      </c>
      <c r="F338" t="s">
        <v>16</v>
      </c>
      <c r="G338" s="32">
        <v>45968</v>
      </c>
      <c r="H338" t="s">
        <v>839</v>
      </c>
      <c r="I338" s="32">
        <v>46007</v>
      </c>
      <c r="J338" t="s">
        <v>673</v>
      </c>
      <c r="K338" s="32">
        <v>46083</v>
      </c>
      <c r="L338" s="32">
        <v>46448</v>
      </c>
      <c r="M338" t="s">
        <v>639</v>
      </c>
      <c r="N338" t="s">
        <v>839</v>
      </c>
      <c r="O338" t="s">
        <v>673</v>
      </c>
      <c r="P338" t="s">
        <v>840</v>
      </c>
      <c r="Q338" t="s">
        <v>643</v>
      </c>
      <c r="R338" t="s">
        <v>643</v>
      </c>
      <c r="S338" t="s">
        <v>643</v>
      </c>
      <c r="T338" s="32" t="s">
        <v>2156</v>
      </c>
    </row>
    <row r="339" spans="1:20" x14ac:dyDescent="0.2">
      <c r="A339" t="s">
        <v>1006</v>
      </c>
      <c r="B339" t="s">
        <v>643</v>
      </c>
      <c r="C339" t="s">
        <v>292</v>
      </c>
      <c r="D339" t="s">
        <v>1140</v>
      </c>
      <c r="E339" t="s">
        <v>636</v>
      </c>
      <c r="F339" t="s">
        <v>16</v>
      </c>
      <c r="G339" s="32">
        <v>45979</v>
      </c>
      <c r="H339" t="s">
        <v>1011</v>
      </c>
      <c r="I339" s="32">
        <v>46007</v>
      </c>
      <c r="J339" t="s">
        <v>727</v>
      </c>
      <c r="K339" s="32">
        <v>46083</v>
      </c>
      <c r="L339" s="32">
        <v>46448</v>
      </c>
      <c r="M339" t="s">
        <v>639</v>
      </c>
      <c r="N339" t="s">
        <v>1011</v>
      </c>
      <c r="O339" t="s">
        <v>727</v>
      </c>
      <c r="P339" t="s">
        <v>1009</v>
      </c>
      <c r="Q339" t="s">
        <v>643</v>
      </c>
      <c r="R339" t="s">
        <v>643</v>
      </c>
      <c r="S339" t="s">
        <v>643</v>
      </c>
      <c r="T339" s="32" t="s">
        <v>1941</v>
      </c>
    </row>
    <row r="340" spans="1:20" x14ac:dyDescent="0.2">
      <c r="A340" t="s">
        <v>774</v>
      </c>
      <c r="B340" t="s">
        <v>26</v>
      </c>
      <c r="C340" t="s">
        <v>170</v>
      </c>
      <c r="D340" t="s">
        <v>1003</v>
      </c>
      <c r="E340" t="s">
        <v>636</v>
      </c>
      <c r="F340" t="s">
        <v>27</v>
      </c>
      <c r="G340" s="32">
        <v>45973</v>
      </c>
      <c r="H340" t="s">
        <v>839</v>
      </c>
      <c r="I340" s="32">
        <v>46020</v>
      </c>
      <c r="J340" t="s">
        <v>673</v>
      </c>
      <c r="K340" s="32">
        <v>46083</v>
      </c>
      <c r="L340" s="32">
        <v>46448</v>
      </c>
      <c r="M340" t="s">
        <v>639</v>
      </c>
      <c r="N340" t="s">
        <v>839</v>
      </c>
      <c r="O340" t="s">
        <v>673</v>
      </c>
      <c r="P340" t="s">
        <v>840</v>
      </c>
      <c r="Q340" t="s">
        <v>1004</v>
      </c>
      <c r="R340" t="s">
        <v>1005</v>
      </c>
      <c r="S340" t="s">
        <v>703</v>
      </c>
      <c r="T340" s="32" t="s">
        <v>1719</v>
      </c>
    </row>
    <row r="341" spans="1:20" x14ac:dyDescent="0.2">
      <c r="A341" t="s">
        <v>774</v>
      </c>
      <c r="B341" t="s">
        <v>26</v>
      </c>
      <c r="C341" t="s">
        <v>203</v>
      </c>
      <c r="D341" t="s">
        <v>1021</v>
      </c>
      <c r="E341" t="s">
        <v>636</v>
      </c>
      <c r="F341" t="s">
        <v>27</v>
      </c>
      <c r="G341" s="32">
        <v>45982</v>
      </c>
      <c r="H341" t="s">
        <v>839</v>
      </c>
      <c r="I341" s="32">
        <v>46020</v>
      </c>
      <c r="J341" t="s">
        <v>673</v>
      </c>
      <c r="K341" s="32">
        <v>46083</v>
      </c>
      <c r="L341" s="32">
        <v>46448</v>
      </c>
      <c r="M341" t="s">
        <v>639</v>
      </c>
      <c r="N341" t="s">
        <v>839</v>
      </c>
      <c r="O341" t="s">
        <v>673</v>
      </c>
      <c r="P341" t="s">
        <v>840</v>
      </c>
      <c r="Q341" t="s">
        <v>1022</v>
      </c>
      <c r="R341" t="s">
        <v>1023</v>
      </c>
      <c r="S341" t="s">
        <v>703</v>
      </c>
      <c r="T341" s="32" t="s">
        <v>1438</v>
      </c>
    </row>
    <row r="342" spans="1:20" x14ac:dyDescent="0.2">
      <c r="A342" t="s">
        <v>774</v>
      </c>
      <c r="B342" t="s">
        <v>26</v>
      </c>
      <c r="C342" t="s">
        <v>123</v>
      </c>
      <c r="D342" t="s">
        <v>947</v>
      </c>
      <c r="E342" t="s">
        <v>636</v>
      </c>
      <c r="F342" t="s">
        <v>664</v>
      </c>
      <c r="G342" s="32">
        <v>45919</v>
      </c>
      <c r="H342" t="s">
        <v>839</v>
      </c>
      <c r="I342" s="32">
        <v>46042</v>
      </c>
      <c r="J342" t="s">
        <v>673</v>
      </c>
      <c r="K342" s="32">
        <v>46083</v>
      </c>
      <c r="L342" s="32">
        <v>46448</v>
      </c>
      <c r="M342" t="s">
        <v>639</v>
      </c>
      <c r="N342" t="s">
        <v>839</v>
      </c>
      <c r="O342" t="s">
        <v>673</v>
      </c>
      <c r="P342" t="s">
        <v>840</v>
      </c>
      <c r="Q342" t="s">
        <v>945</v>
      </c>
      <c r="R342" t="s">
        <v>948</v>
      </c>
      <c r="S342" t="s">
        <v>703</v>
      </c>
      <c r="T342" s="32" t="s">
        <v>1644</v>
      </c>
    </row>
    <row r="343" spans="1:20" x14ac:dyDescent="0.2">
      <c r="A343" t="s">
        <v>774</v>
      </c>
      <c r="B343" t="s">
        <v>26</v>
      </c>
      <c r="C343" t="s">
        <v>169</v>
      </c>
      <c r="D343" t="s">
        <v>944</v>
      </c>
      <c r="E343" t="s">
        <v>636</v>
      </c>
      <c r="F343" t="s">
        <v>664</v>
      </c>
      <c r="G343" s="32">
        <v>45925</v>
      </c>
      <c r="H343" t="s">
        <v>839</v>
      </c>
      <c r="I343" s="32">
        <v>46020</v>
      </c>
      <c r="J343" t="s">
        <v>673</v>
      </c>
      <c r="K343" s="32">
        <v>46083</v>
      </c>
      <c r="L343" s="32">
        <v>46448</v>
      </c>
      <c r="M343" t="s">
        <v>639</v>
      </c>
      <c r="N343" t="s">
        <v>839</v>
      </c>
      <c r="O343" t="s">
        <v>673</v>
      </c>
      <c r="P343" t="s">
        <v>840</v>
      </c>
      <c r="Q343" t="s">
        <v>945</v>
      </c>
      <c r="R343" t="s">
        <v>946</v>
      </c>
      <c r="S343" t="s">
        <v>703</v>
      </c>
      <c r="T343" s="32" t="s">
        <v>1642</v>
      </c>
    </row>
    <row r="344" spans="1:20" x14ac:dyDescent="0.2">
      <c r="A344" t="s">
        <v>774</v>
      </c>
      <c r="B344" t="s">
        <v>26</v>
      </c>
      <c r="C344" t="s">
        <v>202</v>
      </c>
      <c r="D344" t="s">
        <v>986</v>
      </c>
      <c r="E344" t="s">
        <v>636</v>
      </c>
      <c r="F344" t="s">
        <v>664</v>
      </c>
      <c r="G344" s="32">
        <v>45925</v>
      </c>
      <c r="H344" t="s">
        <v>839</v>
      </c>
      <c r="I344" s="32">
        <v>46042</v>
      </c>
      <c r="J344" t="s">
        <v>673</v>
      </c>
      <c r="K344" s="32">
        <v>46083</v>
      </c>
      <c r="L344" s="32">
        <v>46448</v>
      </c>
      <c r="M344" t="s">
        <v>639</v>
      </c>
      <c r="N344" t="s">
        <v>839</v>
      </c>
      <c r="O344" t="s">
        <v>673</v>
      </c>
      <c r="P344" t="s">
        <v>840</v>
      </c>
      <c r="Q344" t="s">
        <v>945</v>
      </c>
      <c r="R344" t="s">
        <v>946</v>
      </c>
      <c r="S344" t="s">
        <v>703</v>
      </c>
      <c r="T344" s="32" t="s">
        <v>1642</v>
      </c>
    </row>
    <row r="345" spans="1:20" x14ac:dyDescent="0.2">
      <c r="A345" t="s">
        <v>690</v>
      </c>
      <c r="B345" t="s">
        <v>51</v>
      </c>
      <c r="C345" t="s">
        <v>470</v>
      </c>
      <c r="D345" t="s">
        <v>766</v>
      </c>
      <c r="E345" t="s">
        <v>636</v>
      </c>
      <c r="F345" t="s">
        <v>16</v>
      </c>
      <c r="G345" s="32">
        <v>45982</v>
      </c>
      <c r="H345" t="s">
        <v>692</v>
      </c>
      <c r="I345" s="32">
        <v>46093</v>
      </c>
      <c r="J345" t="s">
        <v>673</v>
      </c>
      <c r="K345" s="32">
        <v>46093</v>
      </c>
      <c r="L345" s="32">
        <v>46458</v>
      </c>
      <c r="M345" t="s">
        <v>639</v>
      </c>
      <c r="N345" t="s">
        <v>692</v>
      </c>
      <c r="O345" t="s">
        <v>673</v>
      </c>
      <c r="P345" t="s">
        <v>700</v>
      </c>
      <c r="Q345" t="s">
        <v>643</v>
      </c>
      <c r="R345" t="s">
        <v>643</v>
      </c>
      <c r="S345" t="s">
        <v>643</v>
      </c>
      <c r="T345" s="32" t="s">
        <v>1438</v>
      </c>
    </row>
    <row r="346" spans="1:20" x14ac:dyDescent="0.2">
      <c r="A346" t="s">
        <v>634</v>
      </c>
      <c r="B346" t="s">
        <v>61</v>
      </c>
      <c r="C346" t="s">
        <v>818</v>
      </c>
      <c r="D346" t="s">
        <v>817</v>
      </c>
      <c r="E346" t="s">
        <v>636</v>
      </c>
      <c r="F346" t="s">
        <v>16</v>
      </c>
      <c r="G346" s="32">
        <v>45982</v>
      </c>
      <c r="H346" t="s">
        <v>643</v>
      </c>
      <c r="I346" s="32"/>
      <c r="J346" t="s">
        <v>676</v>
      </c>
      <c r="K346" s="32">
        <v>45982</v>
      </c>
      <c r="L346" s="32">
        <v>46347</v>
      </c>
      <c r="M346" t="s">
        <v>639</v>
      </c>
      <c r="N346" t="s">
        <v>646</v>
      </c>
      <c r="O346" t="s">
        <v>637</v>
      </c>
      <c r="P346" t="s">
        <v>643</v>
      </c>
      <c r="Q346" t="s">
        <v>643</v>
      </c>
      <c r="R346" t="s">
        <v>643</v>
      </c>
      <c r="S346" t="s">
        <v>643</v>
      </c>
      <c r="T346" s="32" t="s">
        <v>1438</v>
      </c>
    </row>
    <row r="347" spans="1:20" x14ac:dyDescent="0.2">
      <c r="A347" t="s">
        <v>634</v>
      </c>
      <c r="B347" t="s">
        <v>61</v>
      </c>
      <c r="C347" t="s">
        <v>991</v>
      </c>
      <c r="D347" t="s">
        <v>990</v>
      </c>
      <c r="E347" t="s">
        <v>636</v>
      </c>
      <c r="F347" t="s">
        <v>16</v>
      </c>
      <c r="G347" s="32">
        <v>45982</v>
      </c>
      <c r="H347" t="s">
        <v>643</v>
      </c>
      <c r="I347" s="32"/>
      <c r="J347" t="s">
        <v>676</v>
      </c>
      <c r="K347" s="32">
        <v>45982</v>
      </c>
      <c r="L347" s="32">
        <v>46347</v>
      </c>
      <c r="M347" t="s">
        <v>639</v>
      </c>
      <c r="N347" t="s">
        <v>646</v>
      </c>
      <c r="O347" t="s">
        <v>637</v>
      </c>
      <c r="P347" t="s">
        <v>643</v>
      </c>
      <c r="Q347" t="s">
        <v>643</v>
      </c>
      <c r="R347" t="s">
        <v>643</v>
      </c>
      <c r="S347" t="s">
        <v>643</v>
      </c>
      <c r="T347" s="32" t="s">
        <v>1438</v>
      </c>
    </row>
    <row r="348" spans="1:20" x14ac:dyDescent="0.2">
      <c r="A348" t="s">
        <v>634</v>
      </c>
      <c r="B348" t="s">
        <v>61</v>
      </c>
      <c r="C348" t="s">
        <v>1027</v>
      </c>
      <c r="D348" t="s">
        <v>1026</v>
      </c>
      <c r="E348" t="s">
        <v>636</v>
      </c>
      <c r="F348" t="s">
        <v>16</v>
      </c>
      <c r="G348" s="32">
        <v>45982</v>
      </c>
      <c r="H348" t="s">
        <v>643</v>
      </c>
      <c r="I348" s="32"/>
      <c r="J348" t="s">
        <v>676</v>
      </c>
      <c r="K348" s="32">
        <v>45982</v>
      </c>
      <c r="L348" s="32">
        <v>46347</v>
      </c>
      <c r="M348" t="s">
        <v>639</v>
      </c>
      <c r="N348" t="s">
        <v>646</v>
      </c>
      <c r="O348" t="s">
        <v>637</v>
      </c>
      <c r="P348" t="s">
        <v>643</v>
      </c>
      <c r="Q348" t="s">
        <v>643</v>
      </c>
      <c r="R348" t="s">
        <v>643</v>
      </c>
      <c r="S348" t="s">
        <v>643</v>
      </c>
      <c r="T348" s="32" t="s">
        <v>1438</v>
      </c>
    </row>
    <row r="349" spans="1:20" x14ac:dyDescent="0.2">
      <c r="A349" t="s">
        <v>690</v>
      </c>
      <c r="B349" t="s">
        <v>51</v>
      </c>
      <c r="C349" t="s">
        <v>357</v>
      </c>
      <c r="D349" t="s">
        <v>701</v>
      </c>
      <c r="E349" t="s">
        <v>649</v>
      </c>
      <c r="F349" t="s">
        <v>16</v>
      </c>
      <c r="G349" s="32">
        <v>44687</v>
      </c>
      <c r="H349" t="s">
        <v>692</v>
      </c>
      <c r="I349" s="32">
        <v>46093</v>
      </c>
      <c r="J349" t="s">
        <v>673</v>
      </c>
      <c r="K349" s="32">
        <v>46093</v>
      </c>
      <c r="L349" s="32">
        <v>46458</v>
      </c>
      <c r="M349" t="s">
        <v>639</v>
      </c>
      <c r="N349" t="s">
        <v>692</v>
      </c>
      <c r="O349" t="s">
        <v>673</v>
      </c>
      <c r="P349" t="s">
        <v>700</v>
      </c>
      <c r="Q349" t="s">
        <v>643</v>
      </c>
      <c r="R349" t="s">
        <v>643</v>
      </c>
      <c r="S349" t="s">
        <v>643</v>
      </c>
      <c r="T349" s="32" t="s">
        <v>1361</v>
      </c>
    </row>
    <row r="350" spans="1:20" x14ac:dyDescent="0.2">
      <c r="A350" t="s">
        <v>774</v>
      </c>
      <c r="B350" t="s">
        <v>26</v>
      </c>
      <c r="C350" t="s">
        <v>988</v>
      </c>
      <c r="D350" t="s">
        <v>987</v>
      </c>
      <c r="E350" t="s">
        <v>636</v>
      </c>
      <c r="F350" t="s">
        <v>27</v>
      </c>
      <c r="G350" s="32">
        <v>46009</v>
      </c>
      <c r="H350" t="s">
        <v>839</v>
      </c>
      <c r="I350" s="32">
        <v>46059</v>
      </c>
      <c r="J350" t="s">
        <v>673</v>
      </c>
      <c r="K350" s="32">
        <v>46083</v>
      </c>
      <c r="L350" s="32">
        <v>46448</v>
      </c>
      <c r="M350" t="s">
        <v>639</v>
      </c>
      <c r="N350" t="s">
        <v>839</v>
      </c>
      <c r="O350" t="s">
        <v>673</v>
      </c>
      <c r="P350" t="s">
        <v>840</v>
      </c>
      <c r="Q350" t="s">
        <v>643</v>
      </c>
      <c r="R350" t="s">
        <v>643</v>
      </c>
      <c r="S350" t="s">
        <v>643</v>
      </c>
      <c r="T350" s="32" t="s">
        <v>1696</v>
      </c>
    </row>
    <row r="351" spans="1:20" x14ac:dyDescent="0.2">
      <c r="A351" t="s">
        <v>667</v>
      </c>
      <c r="B351" t="s">
        <v>50</v>
      </c>
      <c r="C351" t="s">
        <v>181</v>
      </c>
      <c r="D351" t="s">
        <v>1285</v>
      </c>
      <c r="E351" t="s">
        <v>636</v>
      </c>
      <c r="F351" t="s">
        <v>925</v>
      </c>
      <c r="G351" s="32">
        <v>46048</v>
      </c>
      <c r="H351" t="s">
        <v>669</v>
      </c>
      <c r="I351" s="32">
        <v>46133</v>
      </c>
      <c r="J351" t="s">
        <v>673</v>
      </c>
      <c r="K351" s="32">
        <v>46183</v>
      </c>
      <c r="L351" s="32">
        <v>46548</v>
      </c>
      <c r="M351" t="s">
        <v>639</v>
      </c>
      <c r="N351" t="s">
        <v>669</v>
      </c>
      <c r="O351" t="s">
        <v>673</v>
      </c>
      <c r="P351" t="s">
        <v>670</v>
      </c>
      <c r="Q351" t="s">
        <v>643</v>
      </c>
      <c r="R351" t="s">
        <v>643</v>
      </c>
      <c r="S351" t="s">
        <v>643</v>
      </c>
      <c r="T351" s="32" t="s">
        <v>2171</v>
      </c>
    </row>
    <row r="352" spans="1:20" x14ac:dyDescent="0.2">
      <c r="A352" t="s">
        <v>667</v>
      </c>
      <c r="B352" t="s">
        <v>50</v>
      </c>
      <c r="C352" t="s">
        <v>406</v>
      </c>
      <c r="D352" t="s">
        <v>865</v>
      </c>
      <c r="E352" t="s">
        <v>649</v>
      </c>
      <c r="F352" t="s">
        <v>16</v>
      </c>
      <c r="G352" s="32">
        <v>46064</v>
      </c>
      <c r="H352" t="s">
        <v>643</v>
      </c>
      <c r="I352" s="32"/>
      <c r="J352" t="s">
        <v>643</v>
      </c>
      <c r="K352" s="32"/>
      <c r="L352" s="32">
        <v>47160</v>
      </c>
      <c r="M352" t="s">
        <v>1098</v>
      </c>
      <c r="N352" t="s">
        <v>669</v>
      </c>
      <c r="O352" t="s">
        <v>673</v>
      </c>
      <c r="P352" t="s">
        <v>643</v>
      </c>
      <c r="Q352" t="s">
        <v>643</v>
      </c>
      <c r="R352" t="s">
        <v>643</v>
      </c>
      <c r="S352" t="s">
        <v>643</v>
      </c>
      <c r="T352" s="32" t="s">
        <v>2193</v>
      </c>
    </row>
    <row r="353" spans="1:20" x14ac:dyDescent="0.2">
      <c r="A353" t="s">
        <v>667</v>
      </c>
      <c r="B353" t="s">
        <v>50</v>
      </c>
      <c r="C353" t="s">
        <v>429</v>
      </c>
      <c r="D353" t="s">
        <v>869</v>
      </c>
      <c r="E353" t="s">
        <v>636</v>
      </c>
      <c r="F353" t="s">
        <v>16</v>
      </c>
      <c r="G353" s="32">
        <v>46064</v>
      </c>
      <c r="H353" t="s">
        <v>643</v>
      </c>
      <c r="I353" s="32"/>
      <c r="J353" t="s">
        <v>643</v>
      </c>
      <c r="K353" s="32"/>
      <c r="L353" s="32">
        <v>47160</v>
      </c>
      <c r="M353" t="s">
        <v>1098</v>
      </c>
      <c r="N353" t="s">
        <v>669</v>
      </c>
      <c r="O353" t="s">
        <v>673</v>
      </c>
      <c r="P353" t="s">
        <v>643</v>
      </c>
      <c r="Q353" t="s">
        <v>643</v>
      </c>
      <c r="R353" t="s">
        <v>643</v>
      </c>
      <c r="S353" t="s">
        <v>643</v>
      </c>
      <c r="T353" s="32" t="s">
        <v>2193</v>
      </c>
    </row>
    <row r="354" spans="1:20" x14ac:dyDescent="0.2">
      <c r="A354" t="s">
        <v>690</v>
      </c>
      <c r="B354" t="s">
        <v>51</v>
      </c>
      <c r="C354" t="s">
        <v>557</v>
      </c>
      <c r="D354" t="s">
        <v>2221</v>
      </c>
      <c r="E354" t="s">
        <v>636</v>
      </c>
      <c r="F354" t="s">
        <v>16</v>
      </c>
      <c r="G354" s="32">
        <v>46073</v>
      </c>
      <c r="H354" t="s">
        <v>692</v>
      </c>
      <c r="I354" s="32">
        <v>46093</v>
      </c>
      <c r="J354" t="s">
        <v>673</v>
      </c>
      <c r="K354" s="32">
        <v>46093</v>
      </c>
      <c r="L354" s="32">
        <v>46458</v>
      </c>
      <c r="M354" t="s">
        <v>639</v>
      </c>
      <c r="N354" t="s">
        <v>692</v>
      </c>
      <c r="O354" t="s">
        <v>673</v>
      </c>
      <c r="P354" t="s">
        <v>700</v>
      </c>
      <c r="Q354" t="s">
        <v>643</v>
      </c>
      <c r="R354" t="s">
        <v>643</v>
      </c>
      <c r="S354" t="s">
        <v>643</v>
      </c>
      <c r="T354" s="32" t="s">
        <v>2222</v>
      </c>
    </row>
    <row r="355" spans="1:20" x14ac:dyDescent="0.2">
      <c r="A355" t="s">
        <v>690</v>
      </c>
      <c r="B355" t="s">
        <v>51</v>
      </c>
      <c r="C355" t="s">
        <v>555</v>
      </c>
      <c r="D355" t="s">
        <v>2224</v>
      </c>
      <c r="E355" t="s">
        <v>636</v>
      </c>
      <c r="F355" t="s">
        <v>16</v>
      </c>
      <c r="G355" s="32">
        <v>46073</v>
      </c>
      <c r="H355" t="s">
        <v>692</v>
      </c>
      <c r="I355" s="32">
        <v>46093</v>
      </c>
      <c r="J355" t="s">
        <v>673</v>
      </c>
      <c r="K355" s="32">
        <v>46093</v>
      </c>
      <c r="L355" s="32">
        <v>46458</v>
      </c>
      <c r="M355" t="s">
        <v>639</v>
      </c>
      <c r="N355" t="s">
        <v>692</v>
      </c>
      <c r="O355" t="s">
        <v>673</v>
      </c>
      <c r="P355" t="s">
        <v>700</v>
      </c>
      <c r="Q355" t="s">
        <v>643</v>
      </c>
      <c r="R355" t="s">
        <v>643</v>
      </c>
      <c r="S355" t="s">
        <v>643</v>
      </c>
      <c r="T355" s="32" t="s">
        <v>2222</v>
      </c>
    </row>
    <row r="356" spans="1:20" x14ac:dyDescent="0.2">
      <c r="A356" t="s">
        <v>690</v>
      </c>
      <c r="B356" t="s">
        <v>51</v>
      </c>
      <c r="C356" t="s">
        <v>556</v>
      </c>
      <c r="D356" t="s">
        <v>2225</v>
      </c>
      <c r="E356" t="s">
        <v>636</v>
      </c>
      <c r="F356" t="s">
        <v>16</v>
      </c>
      <c r="G356" s="32">
        <v>46073</v>
      </c>
      <c r="H356" t="s">
        <v>692</v>
      </c>
      <c r="I356" s="32">
        <v>46093</v>
      </c>
      <c r="J356" t="s">
        <v>643</v>
      </c>
      <c r="K356" s="32"/>
      <c r="L356" s="32">
        <v>47169</v>
      </c>
      <c r="M356" t="s">
        <v>693</v>
      </c>
      <c r="N356" t="s">
        <v>692</v>
      </c>
      <c r="O356" t="s">
        <v>673</v>
      </c>
      <c r="P356" t="s">
        <v>643</v>
      </c>
      <c r="Q356" t="s">
        <v>643</v>
      </c>
      <c r="R356" t="s">
        <v>643</v>
      </c>
      <c r="S356" t="s">
        <v>643</v>
      </c>
      <c r="T356" s="32" t="s">
        <v>2222</v>
      </c>
    </row>
    <row r="357" spans="1:20" x14ac:dyDescent="0.2">
      <c r="A357" t="s">
        <v>690</v>
      </c>
      <c r="B357" t="s">
        <v>51</v>
      </c>
      <c r="C357" t="s">
        <v>558</v>
      </c>
      <c r="D357" t="s">
        <v>2226</v>
      </c>
      <c r="E357" t="s">
        <v>636</v>
      </c>
      <c r="F357" t="s">
        <v>16</v>
      </c>
      <c r="G357" s="32">
        <v>46073</v>
      </c>
      <c r="H357" t="s">
        <v>692</v>
      </c>
      <c r="I357" s="32">
        <v>46093</v>
      </c>
      <c r="J357" t="s">
        <v>673</v>
      </c>
      <c r="K357" s="32">
        <v>46093</v>
      </c>
      <c r="L357" s="32">
        <v>46458</v>
      </c>
      <c r="M357" t="s">
        <v>639</v>
      </c>
      <c r="N357" t="s">
        <v>692</v>
      </c>
      <c r="O357" t="s">
        <v>673</v>
      </c>
      <c r="P357" t="s">
        <v>700</v>
      </c>
      <c r="Q357" t="s">
        <v>643</v>
      </c>
      <c r="R357" t="s">
        <v>643</v>
      </c>
      <c r="S357" t="s">
        <v>643</v>
      </c>
      <c r="T357" s="32" t="s">
        <v>2222</v>
      </c>
    </row>
    <row r="358" spans="1:20" x14ac:dyDescent="0.2">
      <c r="A358" t="s">
        <v>690</v>
      </c>
      <c r="B358" t="s">
        <v>51</v>
      </c>
      <c r="C358" t="s">
        <v>165</v>
      </c>
      <c r="D358" t="s">
        <v>2227</v>
      </c>
      <c r="E358" t="s">
        <v>636</v>
      </c>
      <c r="F358" t="s">
        <v>40</v>
      </c>
      <c r="G358" s="32">
        <v>46073</v>
      </c>
      <c r="H358" t="s">
        <v>692</v>
      </c>
      <c r="I358" s="32">
        <v>46093</v>
      </c>
      <c r="J358" t="s">
        <v>673</v>
      </c>
      <c r="K358" s="32">
        <v>46093</v>
      </c>
      <c r="L358" s="32">
        <v>46458</v>
      </c>
      <c r="M358" t="s">
        <v>639</v>
      </c>
      <c r="N358" t="s">
        <v>692</v>
      </c>
      <c r="O358" t="s">
        <v>673</v>
      </c>
      <c r="P358" t="s">
        <v>700</v>
      </c>
      <c r="Q358" t="s">
        <v>643</v>
      </c>
      <c r="R358" t="s">
        <v>643</v>
      </c>
      <c r="S358" t="s">
        <v>643</v>
      </c>
      <c r="T358" s="32" t="s">
        <v>2222</v>
      </c>
    </row>
    <row r="359" spans="1:20" x14ac:dyDescent="0.2">
      <c r="A359" t="s">
        <v>690</v>
      </c>
      <c r="B359" t="s">
        <v>51</v>
      </c>
      <c r="C359" t="s">
        <v>2220</v>
      </c>
      <c r="D359" t="s">
        <v>2360</v>
      </c>
      <c r="E359" t="s">
        <v>636</v>
      </c>
      <c r="F359" t="s">
        <v>664</v>
      </c>
      <c r="G359" s="32">
        <v>46073</v>
      </c>
      <c r="H359" t="s">
        <v>692</v>
      </c>
      <c r="I359" s="32">
        <v>46093</v>
      </c>
      <c r="J359" t="s">
        <v>673</v>
      </c>
      <c r="K359" s="32">
        <v>46093</v>
      </c>
      <c r="L359" s="32">
        <v>46458</v>
      </c>
      <c r="M359" t="s">
        <v>639</v>
      </c>
      <c r="N359" t="s">
        <v>692</v>
      </c>
      <c r="O359" t="s">
        <v>673</v>
      </c>
      <c r="P359" t="s">
        <v>700</v>
      </c>
      <c r="Q359" t="s">
        <v>643</v>
      </c>
      <c r="R359" t="s">
        <v>643</v>
      </c>
      <c r="S359" t="s">
        <v>643</v>
      </c>
      <c r="T359" s="32" t="s">
        <v>2222</v>
      </c>
    </row>
    <row r="360" spans="1:20" x14ac:dyDescent="0.2">
      <c r="A360" t="s">
        <v>690</v>
      </c>
      <c r="B360" t="s">
        <v>51</v>
      </c>
      <c r="C360" t="s">
        <v>2219</v>
      </c>
      <c r="D360" t="s">
        <v>2361</v>
      </c>
      <c r="E360" t="s">
        <v>636</v>
      </c>
      <c r="F360" t="s">
        <v>664</v>
      </c>
      <c r="G360" s="32">
        <v>46073</v>
      </c>
      <c r="H360" t="s">
        <v>692</v>
      </c>
      <c r="I360" s="32">
        <v>46093</v>
      </c>
      <c r="J360" t="s">
        <v>673</v>
      </c>
      <c r="K360" s="32">
        <v>46093</v>
      </c>
      <c r="L360" s="32">
        <v>46458</v>
      </c>
      <c r="M360" t="s">
        <v>639</v>
      </c>
      <c r="N360" t="s">
        <v>692</v>
      </c>
      <c r="O360" t="s">
        <v>673</v>
      </c>
      <c r="P360" t="s">
        <v>700</v>
      </c>
      <c r="Q360" t="s">
        <v>643</v>
      </c>
      <c r="R360" t="s">
        <v>643</v>
      </c>
      <c r="S360" t="s">
        <v>643</v>
      </c>
      <c r="T360" s="32" t="s">
        <v>2222</v>
      </c>
    </row>
    <row r="361" spans="1:20" x14ac:dyDescent="0.2">
      <c r="A361" t="s">
        <v>2471</v>
      </c>
      <c r="B361" t="s">
        <v>643</v>
      </c>
      <c r="C361" t="s">
        <v>2466</v>
      </c>
      <c r="D361" t="s">
        <v>2467</v>
      </c>
      <c r="E361" t="s">
        <v>636</v>
      </c>
      <c r="F361" t="s">
        <v>37</v>
      </c>
      <c r="G361" s="32">
        <v>46091</v>
      </c>
      <c r="H361" t="s">
        <v>811</v>
      </c>
      <c r="I361" s="32">
        <v>46092</v>
      </c>
      <c r="J361" t="s">
        <v>2470</v>
      </c>
      <c r="K361" s="32">
        <v>46112</v>
      </c>
      <c r="L361" s="32">
        <v>46477</v>
      </c>
      <c r="M361" t="s">
        <v>639</v>
      </c>
      <c r="N361" t="s">
        <v>811</v>
      </c>
      <c r="O361" t="s">
        <v>2470</v>
      </c>
      <c r="P361" t="s">
        <v>792</v>
      </c>
      <c r="Q361" t="s">
        <v>643</v>
      </c>
      <c r="R361" t="s">
        <v>643</v>
      </c>
      <c r="S361" t="s">
        <v>643</v>
      </c>
      <c r="T361" s="32" t="s">
        <v>2468</v>
      </c>
    </row>
    <row r="362" spans="1:20" x14ac:dyDescent="0.2">
      <c r="A362" t="s">
        <v>1186</v>
      </c>
      <c r="B362" t="s">
        <v>1187</v>
      </c>
      <c r="C362" t="s">
        <v>2501</v>
      </c>
      <c r="D362" t="s">
        <v>2502</v>
      </c>
      <c r="E362" t="s">
        <v>636</v>
      </c>
      <c r="F362" t="s">
        <v>925</v>
      </c>
      <c r="G362" s="32">
        <v>46125</v>
      </c>
      <c r="H362" t="s">
        <v>643</v>
      </c>
      <c r="I362" s="32"/>
      <c r="J362" t="s">
        <v>2380</v>
      </c>
      <c r="K362" s="32">
        <v>46125</v>
      </c>
      <c r="L362" s="32">
        <v>46490</v>
      </c>
      <c r="M362" t="s">
        <v>639</v>
      </c>
      <c r="N362" t="s">
        <v>673</v>
      </c>
      <c r="O362" t="s">
        <v>839</v>
      </c>
      <c r="P362" t="s">
        <v>643</v>
      </c>
      <c r="Q362" t="s">
        <v>2506</v>
      </c>
      <c r="R362" t="s">
        <v>2507</v>
      </c>
      <c r="S362" t="s">
        <v>2380</v>
      </c>
      <c r="T362" s="32" t="s">
        <v>2503</v>
      </c>
    </row>
    <row r="363" spans="1:20" x14ac:dyDescent="0.2">
      <c r="A363" t="s">
        <v>690</v>
      </c>
      <c r="B363" t="s">
        <v>51</v>
      </c>
      <c r="C363" t="s">
        <v>2228</v>
      </c>
      <c r="D363" t="s">
        <v>2513</v>
      </c>
      <c r="E363" t="s">
        <v>636</v>
      </c>
      <c r="F363" t="s">
        <v>664</v>
      </c>
      <c r="G363" s="32">
        <v>46127</v>
      </c>
      <c r="H363" t="s">
        <v>2512</v>
      </c>
      <c r="I363" s="32">
        <v>46195</v>
      </c>
      <c r="J363" t="s">
        <v>643</v>
      </c>
      <c r="K363" s="32"/>
      <c r="L363" s="32">
        <v>47223</v>
      </c>
      <c r="M363" t="s">
        <v>672</v>
      </c>
      <c r="N363" t="s">
        <v>2512</v>
      </c>
      <c r="O363" t="s">
        <v>692</v>
      </c>
      <c r="P363" t="s">
        <v>2623</v>
      </c>
      <c r="Q363" t="s">
        <v>643</v>
      </c>
      <c r="R363" t="s">
        <v>643</v>
      </c>
      <c r="S363" t="s">
        <v>643</v>
      </c>
      <c r="T363" s="32" t="s">
        <v>1401</v>
      </c>
    </row>
    <row r="364" spans="1:20" x14ac:dyDescent="0.2">
      <c r="A364" t="s">
        <v>690</v>
      </c>
      <c r="B364" t="s">
        <v>51</v>
      </c>
      <c r="C364" t="s">
        <v>2514</v>
      </c>
      <c r="D364" t="s">
        <v>2624</v>
      </c>
      <c r="E364" t="s">
        <v>636</v>
      </c>
      <c r="F364" t="s">
        <v>16</v>
      </c>
      <c r="G364" s="32">
        <v>46127</v>
      </c>
      <c r="H364" t="s">
        <v>2512</v>
      </c>
      <c r="I364" s="32">
        <v>46195</v>
      </c>
      <c r="J364" t="s">
        <v>643</v>
      </c>
      <c r="K364" s="32"/>
      <c r="L364" s="32">
        <v>46127</v>
      </c>
      <c r="M364" t="s">
        <v>672</v>
      </c>
      <c r="N364" t="s">
        <v>2512</v>
      </c>
      <c r="O364" t="s">
        <v>692</v>
      </c>
      <c r="P364" t="s">
        <v>2623</v>
      </c>
      <c r="Q364" t="s">
        <v>643</v>
      </c>
      <c r="R364" t="s">
        <v>643</v>
      </c>
      <c r="S364" t="s">
        <v>643</v>
      </c>
      <c r="T364" s="32" t="s">
        <v>1401</v>
      </c>
    </row>
    <row r="365" spans="1:20" x14ac:dyDescent="0.2">
      <c r="A365" t="s">
        <v>787</v>
      </c>
      <c r="B365" t="s">
        <v>30</v>
      </c>
      <c r="C365" t="s">
        <v>2626</v>
      </c>
      <c r="D365" t="s">
        <v>2627</v>
      </c>
      <c r="E365" t="s">
        <v>636</v>
      </c>
      <c r="F365" t="s">
        <v>37</v>
      </c>
      <c r="G365" s="32">
        <v>46155</v>
      </c>
      <c r="H365" t="s">
        <v>2629</v>
      </c>
      <c r="I365" s="32">
        <v>46156</v>
      </c>
      <c r="J365" t="s">
        <v>643</v>
      </c>
      <c r="K365" s="32"/>
      <c r="L365" s="32">
        <v>46155</v>
      </c>
      <c r="M365" t="s">
        <v>681</v>
      </c>
      <c r="N365" t="s">
        <v>2631</v>
      </c>
      <c r="O365" t="s">
        <v>839</v>
      </c>
      <c r="P365" t="s">
        <v>796</v>
      </c>
      <c r="Q365" t="s">
        <v>2632</v>
      </c>
      <c r="R365" t="s">
        <v>2633</v>
      </c>
      <c r="S365" t="s">
        <v>2380</v>
      </c>
      <c r="T365" s="32" t="s">
        <v>2628</v>
      </c>
    </row>
    <row r="366" spans="1:20" x14ac:dyDescent="0.2">
      <c r="A366" t="s">
        <v>1186</v>
      </c>
      <c r="B366" t="s">
        <v>1187</v>
      </c>
      <c r="C366" t="s">
        <v>156</v>
      </c>
      <c r="D366" t="s">
        <v>2637</v>
      </c>
      <c r="E366" t="s">
        <v>636</v>
      </c>
      <c r="F366" t="s">
        <v>37</v>
      </c>
      <c r="G366" s="32">
        <v>46171</v>
      </c>
      <c r="H366" t="s">
        <v>839</v>
      </c>
      <c r="I366" s="32">
        <v>46191</v>
      </c>
      <c r="J366" t="s">
        <v>727</v>
      </c>
      <c r="K366" s="32">
        <v>46210</v>
      </c>
      <c r="L366" s="32">
        <v>46575</v>
      </c>
      <c r="M366" t="s">
        <v>639</v>
      </c>
      <c r="N366" t="s">
        <v>839</v>
      </c>
      <c r="O366" t="s">
        <v>727</v>
      </c>
      <c r="P366" t="s">
        <v>840</v>
      </c>
      <c r="Q366" t="s">
        <v>643</v>
      </c>
      <c r="R366" t="s">
        <v>643</v>
      </c>
      <c r="S366" t="s">
        <v>643</v>
      </c>
      <c r="T366" s="32" t="s">
        <v>1314</v>
      </c>
    </row>
    <row r="367" spans="1:20" x14ac:dyDescent="0.2">
      <c r="A367" t="s">
        <v>787</v>
      </c>
      <c r="B367" t="s">
        <v>30</v>
      </c>
      <c r="C367" t="s">
        <v>2641</v>
      </c>
      <c r="D367" t="s">
        <v>2642</v>
      </c>
      <c r="E367" t="s">
        <v>636</v>
      </c>
      <c r="F367" t="s">
        <v>27</v>
      </c>
      <c r="G367" s="32">
        <v>46176</v>
      </c>
      <c r="H367" t="s">
        <v>789</v>
      </c>
      <c r="I367" s="32">
        <v>46176</v>
      </c>
      <c r="J367" t="s">
        <v>790</v>
      </c>
      <c r="K367" s="32">
        <v>46176</v>
      </c>
      <c r="L367" s="32">
        <v>46541</v>
      </c>
      <c r="M367" t="s">
        <v>639</v>
      </c>
      <c r="N367" t="s">
        <v>789</v>
      </c>
      <c r="O367" t="s">
        <v>790</v>
      </c>
      <c r="P367" t="s">
        <v>796</v>
      </c>
      <c r="Q367" t="s">
        <v>643</v>
      </c>
      <c r="R367" t="s">
        <v>643</v>
      </c>
      <c r="S367" t="s">
        <v>643</v>
      </c>
      <c r="T367" s="32" t="s">
        <v>2575</v>
      </c>
    </row>
    <row r="368" spans="1:20" x14ac:dyDescent="0.2">
      <c r="A368" t="s">
        <v>787</v>
      </c>
      <c r="B368" t="s">
        <v>30</v>
      </c>
      <c r="C368" t="s">
        <v>2646</v>
      </c>
      <c r="D368" t="s">
        <v>2647</v>
      </c>
      <c r="E368" t="s">
        <v>636</v>
      </c>
      <c r="F368" t="s">
        <v>27</v>
      </c>
      <c r="G368" s="32">
        <v>46176</v>
      </c>
      <c r="H368" t="s">
        <v>789</v>
      </c>
      <c r="I368" s="32">
        <v>46176</v>
      </c>
      <c r="J368" t="s">
        <v>790</v>
      </c>
      <c r="K368" s="32">
        <v>46176</v>
      </c>
      <c r="L368" s="32">
        <v>46541</v>
      </c>
      <c r="M368" t="s">
        <v>639</v>
      </c>
      <c r="N368" t="s">
        <v>789</v>
      </c>
      <c r="O368" t="s">
        <v>790</v>
      </c>
      <c r="P368" t="s">
        <v>796</v>
      </c>
      <c r="Q368" t="s">
        <v>643</v>
      </c>
      <c r="R368" t="s">
        <v>643</v>
      </c>
      <c r="S368" t="s">
        <v>643</v>
      </c>
      <c r="T368" s="32" t="s">
        <v>2575</v>
      </c>
    </row>
    <row r="369" spans="1:20" x14ac:dyDescent="0.2">
      <c r="A369" t="s">
        <v>787</v>
      </c>
      <c r="B369" t="s">
        <v>30</v>
      </c>
      <c r="C369" t="s">
        <v>2650</v>
      </c>
      <c r="D369" t="s">
        <v>2651</v>
      </c>
      <c r="E369" t="s">
        <v>636</v>
      </c>
      <c r="F369" t="s">
        <v>27</v>
      </c>
      <c r="G369" s="32">
        <v>46176</v>
      </c>
      <c r="H369" t="s">
        <v>789</v>
      </c>
      <c r="I369" s="32">
        <v>46176</v>
      </c>
      <c r="J369" t="s">
        <v>790</v>
      </c>
      <c r="K369" s="32">
        <v>46176</v>
      </c>
      <c r="L369" s="32">
        <v>46541</v>
      </c>
      <c r="M369" t="s">
        <v>639</v>
      </c>
      <c r="N369" t="s">
        <v>789</v>
      </c>
      <c r="O369" t="s">
        <v>790</v>
      </c>
      <c r="P369" t="s">
        <v>796</v>
      </c>
      <c r="Q369" t="s">
        <v>643</v>
      </c>
      <c r="R369" t="s">
        <v>643</v>
      </c>
      <c r="S369" t="s">
        <v>643</v>
      </c>
      <c r="T369" s="32" t="s">
        <v>2575</v>
      </c>
    </row>
    <row r="370" spans="1:20" x14ac:dyDescent="0.2">
      <c r="A370" t="s">
        <v>787</v>
      </c>
      <c r="B370" t="s">
        <v>30</v>
      </c>
      <c r="C370" t="s">
        <v>2654</v>
      </c>
      <c r="D370" t="s">
        <v>2655</v>
      </c>
      <c r="E370" t="s">
        <v>636</v>
      </c>
      <c r="F370" t="s">
        <v>27</v>
      </c>
      <c r="G370" s="32">
        <v>46176</v>
      </c>
      <c r="H370" t="s">
        <v>789</v>
      </c>
      <c r="I370" s="32">
        <v>46176</v>
      </c>
      <c r="J370" t="s">
        <v>790</v>
      </c>
      <c r="K370" s="32">
        <v>46176</v>
      </c>
      <c r="L370" s="32">
        <v>46541</v>
      </c>
      <c r="M370" t="s">
        <v>639</v>
      </c>
      <c r="N370" t="s">
        <v>789</v>
      </c>
      <c r="O370" t="s">
        <v>790</v>
      </c>
      <c r="P370" t="s">
        <v>796</v>
      </c>
      <c r="Q370" t="s">
        <v>643</v>
      </c>
      <c r="R370" t="s">
        <v>643</v>
      </c>
      <c r="S370" t="s">
        <v>643</v>
      </c>
      <c r="T370" s="32" t="s">
        <v>2575</v>
      </c>
    </row>
    <row r="371" spans="1:20" x14ac:dyDescent="0.2">
      <c r="A371" t="s">
        <v>787</v>
      </c>
      <c r="B371" t="s">
        <v>30</v>
      </c>
      <c r="C371" t="s">
        <v>2658</v>
      </c>
      <c r="D371" t="s">
        <v>2659</v>
      </c>
      <c r="E371" t="s">
        <v>636</v>
      </c>
      <c r="F371" t="s">
        <v>27</v>
      </c>
      <c r="G371" s="32">
        <v>46176</v>
      </c>
      <c r="H371" t="s">
        <v>789</v>
      </c>
      <c r="I371" s="32">
        <v>46176</v>
      </c>
      <c r="J371" t="s">
        <v>790</v>
      </c>
      <c r="K371" s="32">
        <v>46176</v>
      </c>
      <c r="L371" s="32">
        <v>46541</v>
      </c>
      <c r="M371" t="s">
        <v>639</v>
      </c>
      <c r="N371" t="s">
        <v>789</v>
      </c>
      <c r="O371" t="s">
        <v>790</v>
      </c>
      <c r="P371" t="s">
        <v>796</v>
      </c>
      <c r="Q371" t="s">
        <v>643</v>
      </c>
      <c r="R371" t="s">
        <v>643</v>
      </c>
      <c r="S371" t="s">
        <v>643</v>
      </c>
      <c r="T371" s="32" t="s">
        <v>2575</v>
      </c>
    </row>
    <row r="372" spans="1:20" x14ac:dyDescent="0.2">
      <c r="A372" t="s">
        <v>787</v>
      </c>
      <c r="B372" t="s">
        <v>30</v>
      </c>
      <c r="C372" t="s">
        <v>2524</v>
      </c>
      <c r="D372" t="s">
        <v>2662</v>
      </c>
      <c r="E372" t="s">
        <v>636</v>
      </c>
      <c r="F372" t="s">
        <v>925</v>
      </c>
      <c r="G372" s="32">
        <v>46176</v>
      </c>
      <c r="H372" t="s">
        <v>789</v>
      </c>
      <c r="I372" s="32">
        <v>46176</v>
      </c>
      <c r="J372" t="s">
        <v>790</v>
      </c>
      <c r="K372" s="32">
        <v>46176</v>
      </c>
      <c r="L372" s="32">
        <v>46541</v>
      </c>
      <c r="M372" t="s">
        <v>639</v>
      </c>
      <c r="N372" t="s">
        <v>789</v>
      </c>
      <c r="O372" t="s">
        <v>790</v>
      </c>
      <c r="P372" t="s">
        <v>796</v>
      </c>
      <c r="Q372" t="s">
        <v>643</v>
      </c>
      <c r="R372" t="s">
        <v>643</v>
      </c>
      <c r="S372" t="s">
        <v>643</v>
      </c>
      <c r="T372" s="32" t="s">
        <v>2575</v>
      </c>
    </row>
    <row r="373" spans="1:20" x14ac:dyDescent="0.2">
      <c r="A373" t="s">
        <v>787</v>
      </c>
      <c r="B373" t="s">
        <v>30</v>
      </c>
      <c r="C373" t="s">
        <v>2665</v>
      </c>
      <c r="D373" t="s">
        <v>2666</v>
      </c>
      <c r="E373" t="s">
        <v>636</v>
      </c>
      <c r="F373" t="s">
        <v>37</v>
      </c>
      <c r="G373" s="32">
        <v>46176</v>
      </c>
      <c r="H373" t="s">
        <v>789</v>
      </c>
      <c r="I373" s="32">
        <v>46176</v>
      </c>
      <c r="J373" t="s">
        <v>790</v>
      </c>
      <c r="K373" s="32">
        <v>46176</v>
      </c>
      <c r="L373" s="32">
        <v>46541</v>
      </c>
      <c r="M373" t="s">
        <v>639</v>
      </c>
      <c r="N373" t="s">
        <v>789</v>
      </c>
      <c r="O373" t="s">
        <v>790</v>
      </c>
      <c r="P373" t="s">
        <v>796</v>
      </c>
      <c r="Q373" t="s">
        <v>643</v>
      </c>
      <c r="R373" t="s">
        <v>643</v>
      </c>
      <c r="S373" t="s">
        <v>643</v>
      </c>
      <c r="T373" s="32" t="s">
        <v>2575</v>
      </c>
    </row>
    <row r="374" spans="1:20" x14ac:dyDescent="0.2">
      <c r="A374" t="s">
        <v>787</v>
      </c>
      <c r="B374" t="s">
        <v>36</v>
      </c>
      <c r="C374" t="s">
        <v>2538</v>
      </c>
      <c r="D374" t="s">
        <v>2672</v>
      </c>
      <c r="E374" t="s">
        <v>636</v>
      </c>
      <c r="F374" t="s">
        <v>34</v>
      </c>
      <c r="G374" s="32">
        <v>46176</v>
      </c>
      <c r="H374" t="s">
        <v>643</v>
      </c>
      <c r="I374" s="32"/>
      <c r="J374" t="s">
        <v>643</v>
      </c>
      <c r="K374" s="32"/>
      <c r="L374" s="32">
        <v>47295</v>
      </c>
      <c r="M374" t="s">
        <v>687</v>
      </c>
      <c r="N374" t="s">
        <v>855</v>
      </c>
      <c r="O374" t="s">
        <v>790</v>
      </c>
      <c r="P374" t="s">
        <v>643</v>
      </c>
      <c r="Q374" t="s">
        <v>643</v>
      </c>
      <c r="R374" t="s">
        <v>643</v>
      </c>
      <c r="S374" t="s">
        <v>643</v>
      </c>
      <c r="T374" s="32" t="s">
        <v>2575</v>
      </c>
    </row>
    <row r="375" spans="1:20" x14ac:dyDescent="0.2">
      <c r="A375" t="s">
        <v>787</v>
      </c>
      <c r="B375" t="s">
        <v>36</v>
      </c>
      <c r="C375" t="s">
        <v>2533</v>
      </c>
      <c r="D375" t="s">
        <v>2674</v>
      </c>
      <c r="E375" t="s">
        <v>636</v>
      </c>
      <c r="F375" t="s">
        <v>34</v>
      </c>
      <c r="G375" s="32">
        <v>46176</v>
      </c>
      <c r="H375" t="s">
        <v>643</v>
      </c>
      <c r="I375" s="32"/>
      <c r="J375" t="s">
        <v>643</v>
      </c>
      <c r="K375" s="32"/>
      <c r="L375" s="32">
        <v>47289</v>
      </c>
      <c r="M375" t="s">
        <v>687</v>
      </c>
      <c r="N375" t="s">
        <v>855</v>
      </c>
      <c r="O375" t="s">
        <v>790</v>
      </c>
      <c r="P375" t="s">
        <v>643</v>
      </c>
      <c r="Q375" t="s">
        <v>643</v>
      </c>
      <c r="R375" t="s">
        <v>643</v>
      </c>
      <c r="S375" t="s">
        <v>643</v>
      </c>
      <c r="T375" s="32" t="s">
        <v>2575</v>
      </c>
    </row>
    <row r="376" spans="1:20" x14ac:dyDescent="0.2">
      <c r="A376" t="s">
        <v>787</v>
      </c>
      <c r="B376" t="s">
        <v>36</v>
      </c>
      <c r="C376" t="s">
        <v>2676</v>
      </c>
      <c r="D376" t="s">
        <v>2677</v>
      </c>
      <c r="E376" t="s">
        <v>636</v>
      </c>
      <c r="F376" t="s">
        <v>37</v>
      </c>
      <c r="G376" s="32">
        <v>46176</v>
      </c>
      <c r="H376" t="s">
        <v>643</v>
      </c>
      <c r="I376" s="32"/>
      <c r="J376" t="s">
        <v>643</v>
      </c>
      <c r="K376" s="32"/>
      <c r="L376" s="32">
        <v>47275</v>
      </c>
      <c r="M376" t="s">
        <v>681</v>
      </c>
      <c r="N376" t="s">
        <v>855</v>
      </c>
      <c r="O376" t="s">
        <v>790</v>
      </c>
      <c r="P376" t="s">
        <v>643</v>
      </c>
      <c r="Q376" t="s">
        <v>643</v>
      </c>
      <c r="R376" t="s">
        <v>643</v>
      </c>
      <c r="S376" t="s">
        <v>643</v>
      </c>
      <c r="T376" s="32" t="s">
        <v>2575</v>
      </c>
    </row>
    <row r="377" spans="1:20" x14ac:dyDescent="0.2">
      <c r="A377" t="s">
        <v>787</v>
      </c>
      <c r="B377" t="s">
        <v>54</v>
      </c>
      <c r="C377" t="s">
        <v>2541</v>
      </c>
      <c r="D377" t="s">
        <v>2679</v>
      </c>
      <c r="E377" t="s">
        <v>636</v>
      </c>
      <c r="F377" t="s">
        <v>34</v>
      </c>
      <c r="G377" s="32">
        <v>46176</v>
      </c>
      <c r="H377" t="s">
        <v>878</v>
      </c>
      <c r="I377" s="32">
        <v>46177</v>
      </c>
      <c r="J377" t="s">
        <v>790</v>
      </c>
      <c r="K377" s="32">
        <v>46218</v>
      </c>
      <c r="L377" s="32">
        <v>46583</v>
      </c>
      <c r="M377" t="s">
        <v>639</v>
      </c>
      <c r="N377" t="s">
        <v>878</v>
      </c>
      <c r="O377" t="s">
        <v>790</v>
      </c>
      <c r="P377" t="s">
        <v>1075</v>
      </c>
      <c r="Q377" t="s">
        <v>643</v>
      </c>
      <c r="R377" t="s">
        <v>643</v>
      </c>
      <c r="S377" t="s">
        <v>643</v>
      </c>
      <c r="T377" s="32" t="s">
        <v>2575</v>
      </c>
    </row>
    <row r="378" spans="1:20" x14ac:dyDescent="0.2">
      <c r="A378" t="s">
        <v>787</v>
      </c>
      <c r="B378" t="s">
        <v>54</v>
      </c>
      <c r="C378" t="s">
        <v>2682</v>
      </c>
      <c r="D378" t="s">
        <v>2683</v>
      </c>
      <c r="E378" t="s">
        <v>636</v>
      </c>
      <c r="F378" t="s">
        <v>34</v>
      </c>
      <c r="G378" s="32">
        <v>46176</v>
      </c>
      <c r="H378" t="s">
        <v>878</v>
      </c>
      <c r="I378" s="32">
        <v>46177</v>
      </c>
      <c r="J378" t="s">
        <v>790</v>
      </c>
      <c r="K378" s="32">
        <v>46218</v>
      </c>
      <c r="L378" s="32">
        <v>46583</v>
      </c>
      <c r="M378" t="s">
        <v>639</v>
      </c>
      <c r="N378" t="s">
        <v>878</v>
      </c>
      <c r="O378" t="s">
        <v>790</v>
      </c>
      <c r="P378" t="s">
        <v>1075</v>
      </c>
      <c r="Q378" t="s">
        <v>643</v>
      </c>
      <c r="R378" t="s">
        <v>643</v>
      </c>
      <c r="S378" t="s">
        <v>643</v>
      </c>
      <c r="T378" s="32" t="s">
        <v>2575</v>
      </c>
    </row>
    <row r="379" spans="1:20" x14ac:dyDescent="0.2">
      <c r="A379" t="s">
        <v>787</v>
      </c>
      <c r="B379" t="s">
        <v>54</v>
      </c>
      <c r="C379" t="s">
        <v>2539</v>
      </c>
      <c r="D379" t="s">
        <v>2686</v>
      </c>
      <c r="E379" t="s">
        <v>636</v>
      </c>
      <c r="F379" t="s">
        <v>34</v>
      </c>
      <c r="G379" s="32">
        <v>46176</v>
      </c>
      <c r="H379" t="s">
        <v>878</v>
      </c>
      <c r="I379" s="32">
        <v>46177</v>
      </c>
      <c r="J379" t="s">
        <v>790</v>
      </c>
      <c r="K379" s="32">
        <v>46218</v>
      </c>
      <c r="L379" s="32">
        <v>46583</v>
      </c>
      <c r="M379" t="s">
        <v>639</v>
      </c>
      <c r="N379" t="s">
        <v>878</v>
      </c>
      <c r="O379" t="s">
        <v>790</v>
      </c>
      <c r="P379" t="s">
        <v>1075</v>
      </c>
      <c r="Q379" t="s">
        <v>643</v>
      </c>
      <c r="R379" t="s">
        <v>643</v>
      </c>
      <c r="S379" t="s">
        <v>643</v>
      </c>
      <c r="T379" s="32" t="s">
        <v>2575</v>
      </c>
    </row>
    <row r="380" spans="1:20" x14ac:dyDescent="0.2">
      <c r="A380" t="s">
        <v>787</v>
      </c>
      <c r="B380" t="s">
        <v>54</v>
      </c>
      <c r="C380" t="s">
        <v>2689</v>
      </c>
      <c r="D380" t="s">
        <v>2690</v>
      </c>
      <c r="E380" t="s">
        <v>636</v>
      </c>
      <c r="F380" t="s">
        <v>34</v>
      </c>
      <c r="G380" s="32">
        <v>46176</v>
      </c>
      <c r="H380" t="s">
        <v>878</v>
      </c>
      <c r="I380" s="32">
        <v>46177</v>
      </c>
      <c r="J380" t="s">
        <v>790</v>
      </c>
      <c r="K380" s="32">
        <v>46218</v>
      </c>
      <c r="L380" s="32">
        <v>46583</v>
      </c>
      <c r="M380" t="s">
        <v>639</v>
      </c>
      <c r="N380" t="s">
        <v>878</v>
      </c>
      <c r="O380" t="s">
        <v>790</v>
      </c>
      <c r="P380" t="s">
        <v>1075</v>
      </c>
      <c r="Q380" t="s">
        <v>643</v>
      </c>
      <c r="R380" t="s">
        <v>643</v>
      </c>
      <c r="S380" t="s">
        <v>643</v>
      </c>
      <c r="T380" s="32" t="s">
        <v>2575</v>
      </c>
    </row>
    <row r="381" spans="1:20" x14ac:dyDescent="0.2">
      <c r="A381" t="s">
        <v>787</v>
      </c>
      <c r="B381" t="s">
        <v>54</v>
      </c>
      <c r="C381" t="s">
        <v>2693</v>
      </c>
      <c r="D381" t="s">
        <v>2694</v>
      </c>
      <c r="E381" t="s">
        <v>636</v>
      </c>
      <c r="F381" t="s">
        <v>34</v>
      </c>
      <c r="G381" s="32">
        <v>46176</v>
      </c>
      <c r="H381" t="s">
        <v>878</v>
      </c>
      <c r="I381" s="32">
        <v>46177</v>
      </c>
      <c r="J381" t="s">
        <v>790</v>
      </c>
      <c r="K381" s="32">
        <v>46218</v>
      </c>
      <c r="L381" s="32">
        <v>46583</v>
      </c>
      <c r="M381" t="s">
        <v>639</v>
      </c>
      <c r="N381" t="s">
        <v>878</v>
      </c>
      <c r="O381" t="s">
        <v>790</v>
      </c>
      <c r="P381" t="s">
        <v>1075</v>
      </c>
      <c r="Q381" t="s">
        <v>643</v>
      </c>
      <c r="R381" t="s">
        <v>643</v>
      </c>
      <c r="S381" t="s">
        <v>643</v>
      </c>
      <c r="T381" s="32" t="s">
        <v>2575</v>
      </c>
    </row>
    <row r="382" spans="1:20" x14ac:dyDescent="0.2">
      <c r="A382" t="s">
        <v>787</v>
      </c>
      <c r="B382" t="s">
        <v>54</v>
      </c>
      <c r="C382" t="s">
        <v>2697</v>
      </c>
      <c r="D382" t="s">
        <v>2698</v>
      </c>
      <c r="E382" t="s">
        <v>636</v>
      </c>
      <c r="F382" t="s">
        <v>34</v>
      </c>
      <c r="G382" s="32">
        <v>46176</v>
      </c>
      <c r="H382" t="s">
        <v>878</v>
      </c>
      <c r="I382" s="32">
        <v>46177</v>
      </c>
      <c r="J382" t="s">
        <v>790</v>
      </c>
      <c r="K382" s="32">
        <v>46218</v>
      </c>
      <c r="L382" s="32">
        <v>46583</v>
      </c>
      <c r="M382" t="s">
        <v>639</v>
      </c>
      <c r="N382" t="s">
        <v>878</v>
      </c>
      <c r="O382" t="s">
        <v>790</v>
      </c>
      <c r="P382" t="s">
        <v>1075</v>
      </c>
      <c r="Q382" t="s">
        <v>643</v>
      </c>
      <c r="R382" t="s">
        <v>643</v>
      </c>
      <c r="S382" t="s">
        <v>643</v>
      </c>
      <c r="T382" s="32" t="s">
        <v>2575</v>
      </c>
    </row>
    <row r="383" spans="1:20" x14ac:dyDescent="0.2">
      <c r="A383" t="s">
        <v>787</v>
      </c>
      <c r="B383" t="s">
        <v>54</v>
      </c>
      <c r="C383" t="s">
        <v>2701</v>
      </c>
      <c r="D383" t="s">
        <v>2702</v>
      </c>
      <c r="E383" t="s">
        <v>636</v>
      </c>
      <c r="F383" t="s">
        <v>27</v>
      </c>
      <c r="G383" s="32">
        <v>46176</v>
      </c>
      <c r="H383" t="s">
        <v>878</v>
      </c>
      <c r="I383" s="32">
        <v>46177</v>
      </c>
      <c r="J383" t="s">
        <v>790</v>
      </c>
      <c r="K383" s="32">
        <v>46218</v>
      </c>
      <c r="L383" s="32">
        <v>46583</v>
      </c>
      <c r="M383" t="s">
        <v>639</v>
      </c>
      <c r="N383" t="s">
        <v>878</v>
      </c>
      <c r="O383" t="s">
        <v>790</v>
      </c>
      <c r="P383" t="s">
        <v>1075</v>
      </c>
      <c r="Q383" t="s">
        <v>643</v>
      </c>
      <c r="R383" t="s">
        <v>643</v>
      </c>
      <c r="S383" t="s">
        <v>643</v>
      </c>
      <c r="T383" s="32" t="s">
        <v>2575</v>
      </c>
    </row>
    <row r="384" spans="1:20" x14ac:dyDescent="0.2">
      <c r="A384" t="s">
        <v>787</v>
      </c>
      <c r="B384" t="s">
        <v>54</v>
      </c>
      <c r="C384" t="s">
        <v>2705</v>
      </c>
      <c r="D384" t="s">
        <v>2706</v>
      </c>
      <c r="E384" t="s">
        <v>636</v>
      </c>
      <c r="F384" t="s">
        <v>27</v>
      </c>
      <c r="G384" s="32">
        <v>46176</v>
      </c>
      <c r="H384" t="s">
        <v>878</v>
      </c>
      <c r="I384" s="32">
        <v>46177</v>
      </c>
      <c r="J384" t="s">
        <v>790</v>
      </c>
      <c r="K384" s="32">
        <v>46218</v>
      </c>
      <c r="L384" s="32">
        <v>46583</v>
      </c>
      <c r="M384" t="s">
        <v>639</v>
      </c>
      <c r="N384" t="s">
        <v>878</v>
      </c>
      <c r="O384" t="s">
        <v>790</v>
      </c>
      <c r="P384" t="s">
        <v>1075</v>
      </c>
      <c r="Q384" t="s">
        <v>643</v>
      </c>
      <c r="R384" t="s">
        <v>643</v>
      </c>
      <c r="S384" t="s">
        <v>643</v>
      </c>
      <c r="T384" s="32" t="s">
        <v>2575</v>
      </c>
    </row>
    <row r="385" spans="1:20" x14ac:dyDescent="0.2">
      <c r="A385" t="s">
        <v>787</v>
      </c>
      <c r="B385" t="s">
        <v>54</v>
      </c>
      <c r="C385" t="s">
        <v>2709</v>
      </c>
      <c r="D385" t="s">
        <v>2710</v>
      </c>
      <c r="E385" t="s">
        <v>636</v>
      </c>
      <c r="F385" t="s">
        <v>664</v>
      </c>
      <c r="G385" s="32">
        <v>46176</v>
      </c>
      <c r="H385" t="s">
        <v>878</v>
      </c>
      <c r="I385" s="32">
        <v>46177</v>
      </c>
      <c r="J385" t="s">
        <v>790</v>
      </c>
      <c r="K385" s="32">
        <v>46218</v>
      </c>
      <c r="L385" s="32">
        <v>46583</v>
      </c>
      <c r="M385" t="s">
        <v>639</v>
      </c>
      <c r="N385" t="s">
        <v>878</v>
      </c>
      <c r="O385" t="s">
        <v>790</v>
      </c>
      <c r="P385" t="s">
        <v>1075</v>
      </c>
      <c r="Q385" t="s">
        <v>643</v>
      </c>
      <c r="R385" t="s">
        <v>643</v>
      </c>
      <c r="S385" t="s">
        <v>643</v>
      </c>
      <c r="T385" s="32" t="s">
        <v>2575</v>
      </c>
    </row>
    <row r="386" spans="1:20" x14ac:dyDescent="0.2">
      <c r="A386" t="s">
        <v>787</v>
      </c>
      <c r="B386" t="s">
        <v>54</v>
      </c>
      <c r="C386" t="s">
        <v>2713</v>
      </c>
      <c r="D386" t="s">
        <v>2714</v>
      </c>
      <c r="E386" t="s">
        <v>636</v>
      </c>
      <c r="F386" t="s">
        <v>664</v>
      </c>
      <c r="G386" s="32">
        <v>46176</v>
      </c>
      <c r="H386" t="s">
        <v>878</v>
      </c>
      <c r="I386" s="32">
        <v>46177</v>
      </c>
      <c r="J386" t="s">
        <v>790</v>
      </c>
      <c r="K386" s="32">
        <v>46218</v>
      </c>
      <c r="L386" s="32">
        <v>46583</v>
      </c>
      <c r="M386" t="s">
        <v>639</v>
      </c>
      <c r="N386" t="s">
        <v>878</v>
      </c>
      <c r="O386" t="s">
        <v>790</v>
      </c>
      <c r="P386" t="s">
        <v>1075</v>
      </c>
      <c r="Q386" t="s">
        <v>643</v>
      </c>
      <c r="R386" t="s">
        <v>643</v>
      </c>
      <c r="S386" t="s">
        <v>643</v>
      </c>
      <c r="T386" s="32" t="s">
        <v>2575</v>
      </c>
    </row>
    <row r="387" spans="1:20" x14ac:dyDescent="0.2">
      <c r="A387" t="s">
        <v>787</v>
      </c>
      <c r="B387" t="s">
        <v>54</v>
      </c>
      <c r="C387" t="s">
        <v>2717</v>
      </c>
      <c r="D387" t="s">
        <v>2718</v>
      </c>
      <c r="E387" t="s">
        <v>636</v>
      </c>
      <c r="F387" t="s">
        <v>925</v>
      </c>
      <c r="G387" s="32">
        <v>46176</v>
      </c>
      <c r="H387" t="s">
        <v>878</v>
      </c>
      <c r="I387" s="32">
        <v>46177</v>
      </c>
      <c r="J387" t="s">
        <v>790</v>
      </c>
      <c r="K387" s="32">
        <v>46218</v>
      </c>
      <c r="L387" s="32">
        <v>46583</v>
      </c>
      <c r="M387" t="s">
        <v>639</v>
      </c>
      <c r="N387" t="s">
        <v>878</v>
      </c>
      <c r="O387" t="s">
        <v>790</v>
      </c>
      <c r="P387" t="s">
        <v>1075</v>
      </c>
      <c r="Q387" t="s">
        <v>643</v>
      </c>
      <c r="R387" t="s">
        <v>643</v>
      </c>
      <c r="S387" t="s">
        <v>643</v>
      </c>
      <c r="T387" s="32" t="s">
        <v>2575</v>
      </c>
    </row>
    <row r="388" spans="1:20" x14ac:dyDescent="0.2">
      <c r="A388" t="s">
        <v>690</v>
      </c>
      <c r="B388" t="s">
        <v>51</v>
      </c>
      <c r="C388" t="s">
        <v>2723</v>
      </c>
      <c r="D388" t="s">
        <v>2724</v>
      </c>
      <c r="E388" t="s">
        <v>636</v>
      </c>
      <c r="F388" t="s">
        <v>37</v>
      </c>
      <c r="G388" s="32">
        <v>46191</v>
      </c>
      <c r="H388" t="s">
        <v>839</v>
      </c>
      <c r="I388" s="32">
        <v>46191</v>
      </c>
      <c r="J388" t="s">
        <v>692</v>
      </c>
      <c r="K388" s="32">
        <v>46191</v>
      </c>
      <c r="L388" s="32">
        <v>46556</v>
      </c>
      <c r="M388" t="s">
        <v>639</v>
      </c>
      <c r="N388" t="s">
        <v>839</v>
      </c>
      <c r="O388" t="s">
        <v>692</v>
      </c>
      <c r="P388" t="s">
        <v>840</v>
      </c>
      <c r="Q388" t="s">
        <v>2728</v>
      </c>
      <c r="R388" t="s">
        <v>2729</v>
      </c>
      <c r="S388" t="s">
        <v>2380</v>
      </c>
      <c r="T388" s="32" t="s">
        <v>2725</v>
      </c>
    </row>
    <row r="389" spans="1:20" x14ac:dyDescent="0.2">
      <c r="A389" t="s">
        <v>690</v>
      </c>
      <c r="B389" t="s">
        <v>51</v>
      </c>
      <c r="C389" t="s">
        <v>2732</v>
      </c>
      <c r="D389" t="s">
        <v>2733</v>
      </c>
      <c r="E389" t="s">
        <v>636</v>
      </c>
      <c r="F389" t="s">
        <v>37</v>
      </c>
      <c r="G389" s="32">
        <v>46196</v>
      </c>
      <c r="H389" t="s">
        <v>839</v>
      </c>
      <c r="I389" s="32">
        <v>46196</v>
      </c>
      <c r="J389" t="s">
        <v>692</v>
      </c>
      <c r="K389" s="32">
        <v>46196</v>
      </c>
      <c r="L389" s="32">
        <v>46561</v>
      </c>
      <c r="M389" t="s">
        <v>639</v>
      </c>
      <c r="N389" t="s">
        <v>839</v>
      </c>
      <c r="O389" t="s">
        <v>692</v>
      </c>
      <c r="P389" t="s">
        <v>840</v>
      </c>
      <c r="Q389" t="s">
        <v>643</v>
      </c>
      <c r="R389" t="s">
        <v>643</v>
      </c>
      <c r="S389" t="s">
        <v>643</v>
      </c>
      <c r="T389" s="32" t="s">
        <v>2734</v>
      </c>
    </row>
    <row r="390" spans="1:20" x14ac:dyDescent="0.2">
      <c r="A390" t="s">
        <v>787</v>
      </c>
      <c r="B390" t="s">
        <v>63</v>
      </c>
      <c r="C390" t="s">
        <v>2738</v>
      </c>
      <c r="D390" t="s">
        <v>2739</v>
      </c>
      <c r="E390" t="s">
        <v>636</v>
      </c>
      <c r="F390" t="s">
        <v>10</v>
      </c>
      <c r="G390" s="32">
        <v>46219</v>
      </c>
      <c r="H390" t="s">
        <v>643</v>
      </c>
      <c r="I390" s="32"/>
      <c r="J390" t="s">
        <v>643</v>
      </c>
      <c r="K390" s="32"/>
      <c r="L390" s="32">
        <v>46219</v>
      </c>
      <c r="M390" t="s">
        <v>687</v>
      </c>
      <c r="N390" t="s">
        <v>839</v>
      </c>
      <c r="O390" t="s">
        <v>790</v>
      </c>
      <c r="P390" t="s">
        <v>643</v>
      </c>
      <c r="Q390" t="s">
        <v>643</v>
      </c>
      <c r="R390" t="s">
        <v>643</v>
      </c>
      <c r="S390" t="s">
        <v>643</v>
      </c>
      <c r="T390" s="32" t="s">
        <v>2740</v>
      </c>
    </row>
    <row r="391" spans="1:20" x14ac:dyDescent="0.2">
      <c r="A391" t="s">
        <v>787</v>
      </c>
      <c r="B391" t="s">
        <v>63</v>
      </c>
      <c r="C391" t="s">
        <v>136</v>
      </c>
      <c r="D391" t="s">
        <v>2741</v>
      </c>
      <c r="E391" t="s">
        <v>636</v>
      </c>
      <c r="F391" t="s">
        <v>40</v>
      </c>
      <c r="G391" s="32">
        <v>46219</v>
      </c>
      <c r="H391" t="s">
        <v>643</v>
      </c>
      <c r="I391" s="32"/>
      <c r="J391" t="s">
        <v>643</v>
      </c>
      <c r="K391" s="32"/>
      <c r="L391" s="32">
        <v>46219</v>
      </c>
      <c r="M391" t="s">
        <v>687</v>
      </c>
      <c r="N391" t="s">
        <v>839</v>
      </c>
      <c r="O391" t="s">
        <v>790</v>
      </c>
      <c r="P391" t="s">
        <v>643</v>
      </c>
      <c r="Q391" t="s">
        <v>643</v>
      </c>
      <c r="R391" t="s">
        <v>643</v>
      </c>
      <c r="S391" t="s">
        <v>643</v>
      </c>
      <c r="T391" s="32" t="s">
        <v>2740</v>
      </c>
    </row>
  </sheetData>
  <phoneticPr fontId="2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969F7-4955-464E-B64A-79DE96E81BFF}">
  <sheetPr codeName="Hoja10"/>
  <dimension ref="A1:U540"/>
  <sheetViews>
    <sheetView zoomScale="85" zoomScaleNormal="85" workbookViewId="0">
      <selection activeCell="D10" sqref="D10"/>
    </sheetView>
  </sheetViews>
  <sheetFormatPr baseColWidth="10" defaultColWidth="201.625" defaultRowHeight="12.75" x14ac:dyDescent="0.2"/>
  <cols>
    <col min="1" max="1" width="41.625" style="31" customWidth="1"/>
    <col min="2" max="2" width="36.25" style="31" customWidth="1"/>
    <col min="3" max="3" width="15.375" style="31" customWidth="1"/>
    <col min="4" max="4" width="68.5" style="31" customWidth="1"/>
    <col min="5" max="5" width="11.625" style="31" customWidth="1"/>
    <col min="6" max="6" width="11.875" style="31" customWidth="1"/>
    <col min="7" max="7" width="16.625" style="31" customWidth="1"/>
    <col min="8" max="8" width="22.875" style="31" customWidth="1"/>
    <col min="9" max="9" width="31.25" style="31" customWidth="1"/>
    <col min="10" max="10" width="22.25" style="31" customWidth="1"/>
    <col min="11" max="11" width="27.5" style="31" customWidth="1"/>
    <col min="12" max="12" width="20.625" style="31" customWidth="1"/>
    <col min="13" max="13" width="11.625" style="31" customWidth="1"/>
    <col min="14" max="14" width="14.125" style="31" customWidth="1"/>
    <col min="15" max="15" width="62.25" style="31" customWidth="1"/>
    <col min="16" max="16" width="38.125" style="31" customWidth="1"/>
    <col min="17" max="17" width="50.625" style="31" customWidth="1"/>
    <col min="18" max="18" width="31.125" style="31" customWidth="1"/>
    <col min="19" max="19" width="46.5" style="31" customWidth="1"/>
    <col min="20" max="20" width="48.125" style="31" customWidth="1"/>
    <col min="21" max="16384" width="201.625" style="31"/>
  </cols>
  <sheetData>
    <row r="1" spans="1:21" x14ac:dyDescent="0.2">
      <c r="A1" s="171" t="s">
        <v>1286</v>
      </c>
      <c r="B1" s="171" t="s">
        <v>1287</v>
      </c>
      <c r="C1" s="171" t="s">
        <v>1288</v>
      </c>
      <c r="D1" s="171" t="s">
        <v>1290</v>
      </c>
      <c r="E1" s="171" t="s">
        <v>1289</v>
      </c>
      <c r="F1" s="171" t="s">
        <v>619</v>
      </c>
      <c r="G1" s="171" t="s">
        <v>1291</v>
      </c>
      <c r="H1" s="171" t="s">
        <v>621</v>
      </c>
      <c r="I1" s="171" t="s">
        <v>1292</v>
      </c>
      <c r="J1" s="171" t="s">
        <v>1293</v>
      </c>
      <c r="K1" s="171" t="s">
        <v>624</v>
      </c>
      <c r="L1" s="171" t="s">
        <v>625</v>
      </c>
      <c r="M1" s="171" t="s">
        <v>626</v>
      </c>
      <c r="N1" s="171" t="s">
        <v>627</v>
      </c>
      <c r="O1" s="171" t="s">
        <v>628</v>
      </c>
      <c r="P1" s="171" t="s">
        <v>629</v>
      </c>
      <c r="Q1" s="171" t="s">
        <v>630</v>
      </c>
      <c r="R1" s="171" t="s">
        <v>631</v>
      </c>
      <c r="S1" s="171" t="s">
        <v>632</v>
      </c>
      <c r="T1" s="171" t="s">
        <v>633</v>
      </c>
      <c r="U1" s="266" t="s">
        <v>2742</v>
      </c>
    </row>
    <row r="2" spans="1:21" ht="14.25" x14ac:dyDescent="0.2">
      <c r="A2" t="s">
        <v>1294</v>
      </c>
      <c r="B2" t="s">
        <v>1295</v>
      </c>
      <c r="C2" t="s">
        <v>643</v>
      </c>
      <c r="D2" t="s">
        <v>182</v>
      </c>
      <c r="E2" t="s">
        <v>635</v>
      </c>
      <c r="F2" t="s">
        <v>636</v>
      </c>
      <c r="G2" t="s">
        <v>16</v>
      </c>
      <c r="H2" t="s">
        <v>1296</v>
      </c>
      <c r="I2" t="s">
        <v>637</v>
      </c>
      <c r="J2" t="s">
        <v>1297</v>
      </c>
      <c r="K2" t="s">
        <v>638</v>
      </c>
      <c r="L2" t="s">
        <v>1297</v>
      </c>
      <c r="M2" t="s">
        <v>1298</v>
      </c>
      <c r="N2" t="s">
        <v>639</v>
      </c>
      <c r="O2" t="s">
        <v>640</v>
      </c>
      <c r="P2" t="s">
        <v>641</v>
      </c>
      <c r="Q2" t="s">
        <v>642</v>
      </c>
      <c r="R2" t="s">
        <v>643</v>
      </c>
      <c r="S2" t="s">
        <v>643</v>
      </c>
      <c r="T2" t="s">
        <v>643</v>
      </c>
      <c r="U2" t="s">
        <v>1296</v>
      </c>
    </row>
    <row r="3" spans="1:21" ht="14.25" x14ac:dyDescent="0.2">
      <c r="A3" t="s">
        <v>1294</v>
      </c>
      <c r="B3" t="s">
        <v>1299</v>
      </c>
      <c r="C3" t="s">
        <v>643</v>
      </c>
      <c r="D3" t="s">
        <v>305</v>
      </c>
      <c r="E3" t="s">
        <v>1246</v>
      </c>
      <c r="F3" t="s">
        <v>636</v>
      </c>
      <c r="G3" t="s">
        <v>16</v>
      </c>
      <c r="H3" t="s">
        <v>2124</v>
      </c>
      <c r="I3" t="s">
        <v>637</v>
      </c>
      <c r="J3" t="s">
        <v>2125</v>
      </c>
      <c r="K3" t="s">
        <v>656</v>
      </c>
      <c r="L3" t="s">
        <v>2125</v>
      </c>
      <c r="M3" t="s">
        <v>2126</v>
      </c>
      <c r="N3" t="s">
        <v>639</v>
      </c>
      <c r="O3" t="s">
        <v>637</v>
      </c>
      <c r="P3" t="s">
        <v>656</v>
      </c>
      <c r="Q3" t="s">
        <v>642</v>
      </c>
      <c r="R3" t="s">
        <v>643</v>
      </c>
      <c r="S3" t="s">
        <v>643</v>
      </c>
      <c r="T3" t="s">
        <v>643</v>
      </c>
      <c r="U3" t="s">
        <v>2124</v>
      </c>
    </row>
    <row r="4" spans="1:21" ht="14.25" x14ac:dyDescent="0.2">
      <c r="A4" t="s">
        <v>1294</v>
      </c>
      <c r="B4" t="s">
        <v>1299</v>
      </c>
      <c r="C4" t="s">
        <v>643</v>
      </c>
      <c r="D4" t="s">
        <v>323</v>
      </c>
      <c r="E4" t="s">
        <v>1247</v>
      </c>
      <c r="F4" t="s">
        <v>636</v>
      </c>
      <c r="G4" t="s">
        <v>16</v>
      </c>
      <c r="H4" t="s">
        <v>2124</v>
      </c>
      <c r="I4" t="s">
        <v>637</v>
      </c>
      <c r="J4" t="s">
        <v>2125</v>
      </c>
      <c r="K4" t="s">
        <v>656</v>
      </c>
      <c r="L4" t="s">
        <v>2125</v>
      </c>
      <c r="M4" t="s">
        <v>2126</v>
      </c>
      <c r="N4" t="s">
        <v>639</v>
      </c>
      <c r="O4" t="s">
        <v>637</v>
      </c>
      <c r="P4" t="s">
        <v>656</v>
      </c>
      <c r="Q4" t="s">
        <v>642</v>
      </c>
      <c r="R4" t="s">
        <v>643</v>
      </c>
      <c r="S4" t="s">
        <v>643</v>
      </c>
      <c r="T4" t="s">
        <v>643</v>
      </c>
      <c r="U4" t="s">
        <v>2124</v>
      </c>
    </row>
    <row r="5" spans="1:21" ht="14.25" x14ac:dyDescent="0.2">
      <c r="A5" t="s">
        <v>1294</v>
      </c>
      <c r="B5" t="s">
        <v>1295</v>
      </c>
      <c r="C5" t="s">
        <v>643</v>
      </c>
      <c r="D5" t="s">
        <v>396</v>
      </c>
      <c r="E5" t="s">
        <v>655</v>
      </c>
      <c r="F5" t="s">
        <v>636</v>
      </c>
      <c r="G5" t="s">
        <v>16</v>
      </c>
      <c r="H5" t="s">
        <v>1308</v>
      </c>
      <c r="I5" t="s">
        <v>637</v>
      </c>
      <c r="J5" t="s">
        <v>1309</v>
      </c>
      <c r="K5" t="s">
        <v>656</v>
      </c>
      <c r="L5" t="s">
        <v>1309</v>
      </c>
      <c r="M5" t="s">
        <v>1310</v>
      </c>
      <c r="N5" t="s">
        <v>639</v>
      </c>
      <c r="O5" t="s">
        <v>637</v>
      </c>
      <c r="P5" t="s">
        <v>656</v>
      </c>
      <c r="Q5" t="s">
        <v>642</v>
      </c>
      <c r="R5" t="s">
        <v>657</v>
      </c>
      <c r="S5" t="s">
        <v>657</v>
      </c>
      <c r="T5" t="s">
        <v>658</v>
      </c>
      <c r="U5" t="s">
        <v>1308</v>
      </c>
    </row>
    <row r="6" spans="1:21" ht="14.25" x14ac:dyDescent="0.2">
      <c r="A6" t="s">
        <v>1294</v>
      </c>
      <c r="B6" t="s">
        <v>1295</v>
      </c>
      <c r="C6" t="s">
        <v>643</v>
      </c>
      <c r="D6" t="s">
        <v>396</v>
      </c>
      <c r="E6" t="s">
        <v>655</v>
      </c>
      <c r="F6" t="s">
        <v>636</v>
      </c>
      <c r="G6" t="s">
        <v>16</v>
      </c>
      <c r="H6" t="s">
        <v>1308</v>
      </c>
      <c r="I6" t="s">
        <v>637</v>
      </c>
      <c r="J6" t="s">
        <v>1309</v>
      </c>
      <c r="K6" t="s">
        <v>656</v>
      </c>
      <c r="L6" t="s">
        <v>1309</v>
      </c>
      <c r="M6" t="s">
        <v>1310</v>
      </c>
      <c r="N6" t="s">
        <v>639</v>
      </c>
      <c r="O6" t="s">
        <v>637</v>
      </c>
      <c r="P6" t="s">
        <v>656</v>
      </c>
      <c r="Q6" t="s">
        <v>642</v>
      </c>
      <c r="R6" t="s">
        <v>657</v>
      </c>
      <c r="S6" t="s">
        <v>657</v>
      </c>
      <c r="T6" t="s">
        <v>658</v>
      </c>
      <c r="U6" t="s">
        <v>1308</v>
      </c>
    </row>
    <row r="7" spans="1:21" ht="14.25" x14ac:dyDescent="0.2">
      <c r="A7" t="s">
        <v>1294</v>
      </c>
      <c r="B7" t="s">
        <v>1311</v>
      </c>
      <c r="C7" t="s">
        <v>643</v>
      </c>
      <c r="D7" t="s">
        <v>660</v>
      </c>
      <c r="E7" t="s">
        <v>659</v>
      </c>
      <c r="F7" t="s">
        <v>636</v>
      </c>
      <c r="G7" t="s">
        <v>16</v>
      </c>
      <c r="H7" t="s">
        <v>1312</v>
      </c>
      <c r="I7" t="s">
        <v>637</v>
      </c>
      <c r="J7" t="s">
        <v>1313</v>
      </c>
      <c r="K7" t="s">
        <v>656</v>
      </c>
      <c r="L7" t="s">
        <v>1313</v>
      </c>
      <c r="M7" t="s">
        <v>1314</v>
      </c>
      <c r="N7" t="s">
        <v>639</v>
      </c>
      <c r="O7" t="s">
        <v>637</v>
      </c>
      <c r="P7" t="s">
        <v>656</v>
      </c>
      <c r="Q7" t="s">
        <v>642</v>
      </c>
      <c r="R7" t="s">
        <v>661</v>
      </c>
      <c r="S7" t="s">
        <v>661</v>
      </c>
      <c r="T7" t="s">
        <v>654</v>
      </c>
      <c r="U7" t="s">
        <v>1312</v>
      </c>
    </row>
    <row r="8" spans="1:21" ht="14.25" x14ac:dyDescent="0.2">
      <c r="A8" t="s">
        <v>1294</v>
      </c>
      <c r="B8" t="s">
        <v>1311</v>
      </c>
      <c r="C8" t="s">
        <v>643</v>
      </c>
      <c r="D8" t="s">
        <v>492</v>
      </c>
      <c r="E8" t="s">
        <v>662</v>
      </c>
      <c r="F8" t="s">
        <v>636</v>
      </c>
      <c r="G8" t="s">
        <v>16</v>
      </c>
      <c r="H8" t="s">
        <v>1312</v>
      </c>
      <c r="I8" t="s">
        <v>637</v>
      </c>
      <c r="J8" t="s">
        <v>1313</v>
      </c>
      <c r="K8" t="s">
        <v>656</v>
      </c>
      <c r="L8" t="s">
        <v>1313</v>
      </c>
      <c r="M8" t="s">
        <v>1314</v>
      </c>
      <c r="N8" t="s">
        <v>639</v>
      </c>
      <c r="O8" t="s">
        <v>637</v>
      </c>
      <c r="P8" t="s">
        <v>656</v>
      </c>
      <c r="Q8" t="s">
        <v>642</v>
      </c>
      <c r="R8" t="s">
        <v>661</v>
      </c>
      <c r="S8" t="s">
        <v>661</v>
      </c>
      <c r="T8" t="s">
        <v>654</v>
      </c>
      <c r="U8" t="s">
        <v>1312</v>
      </c>
    </row>
    <row r="9" spans="1:21" ht="14.25" x14ac:dyDescent="0.2">
      <c r="A9" t="s">
        <v>1294</v>
      </c>
      <c r="B9" t="s">
        <v>1311</v>
      </c>
      <c r="C9" t="s">
        <v>643</v>
      </c>
      <c r="D9" t="s">
        <v>264</v>
      </c>
      <c r="E9" t="s">
        <v>663</v>
      </c>
      <c r="F9" t="s">
        <v>636</v>
      </c>
      <c r="G9" t="s">
        <v>664</v>
      </c>
      <c r="H9" t="s">
        <v>1315</v>
      </c>
      <c r="I9" t="s">
        <v>637</v>
      </c>
      <c r="J9" t="s">
        <v>1316</v>
      </c>
      <c r="K9" t="s">
        <v>638</v>
      </c>
      <c r="L9" t="s">
        <v>1316</v>
      </c>
      <c r="M9" t="s">
        <v>1317</v>
      </c>
      <c r="N9" t="s">
        <v>639</v>
      </c>
      <c r="O9" t="s">
        <v>637</v>
      </c>
      <c r="P9" t="s">
        <v>656</v>
      </c>
      <c r="Q9" t="s">
        <v>642</v>
      </c>
      <c r="R9" t="s">
        <v>643</v>
      </c>
      <c r="S9" t="s">
        <v>643</v>
      </c>
      <c r="T9" t="s">
        <v>643</v>
      </c>
      <c r="U9" t="s">
        <v>1315</v>
      </c>
    </row>
    <row r="10" spans="1:21" ht="14.25" x14ac:dyDescent="0.2">
      <c r="A10" t="s">
        <v>1294</v>
      </c>
      <c r="B10" t="s">
        <v>1299</v>
      </c>
      <c r="C10" t="s">
        <v>643</v>
      </c>
      <c r="D10" t="s">
        <v>93</v>
      </c>
      <c r="E10" t="s">
        <v>1266</v>
      </c>
      <c r="F10" t="s">
        <v>636</v>
      </c>
      <c r="G10" t="s">
        <v>925</v>
      </c>
      <c r="H10" t="s">
        <v>2144</v>
      </c>
      <c r="I10" t="s">
        <v>637</v>
      </c>
      <c r="J10" t="s">
        <v>2145</v>
      </c>
      <c r="K10" t="s">
        <v>638</v>
      </c>
      <c r="L10" t="s">
        <v>2145</v>
      </c>
      <c r="M10" t="s">
        <v>2146</v>
      </c>
      <c r="N10" t="s">
        <v>639</v>
      </c>
      <c r="O10" t="s">
        <v>637</v>
      </c>
      <c r="P10" t="s">
        <v>656</v>
      </c>
      <c r="Q10" t="s">
        <v>642</v>
      </c>
      <c r="R10" t="s">
        <v>643</v>
      </c>
      <c r="S10" t="s">
        <v>643</v>
      </c>
      <c r="T10" t="s">
        <v>643</v>
      </c>
      <c r="U10" t="s">
        <v>2144</v>
      </c>
    </row>
    <row r="11" spans="1:21" ht="14.25" x14ac:dyDescent="0.2">
      <c r="A11" t="s">
        <v>1320</v>
      </c>
      <c r="B11" t="s">
        <v>1321</v>
      </c>
      <c r="C11" t="s">
        <v>643</v>
      </c>
      <c r="D11" t="s">
        <v>83</v>
      </c>
      <c r="E11" t="s">
        <v>668</v>
      </c>
      <c r="F11" t="s">
        <v>636</v>
      </c>
      <c r="G11" t="s">
        <v>16</v>
      </c>
      <c r="H11" t="s">
        <v>1322</v>
      </c>
      <c r="I11" t="s">
        <v>669</v>
      </c>
      <c r="J11" t="s">
        <v>1323</v>
      </c>
      <c r="K11" t="s">
        <v>656</v>
      </c>
      <c r="L11" t="s">
        <v>1323</v>
      </c>
      <c r="M11" t="s">
        <v>1324</v>
      </c>
      <c r="N11" t="s">
        <v>639</v>
      </c>
      <c r="O11" t="s">
        <v>669</v>
      </c>
      <c r="P11" t="s">
        <v>656</v>
      </c>
      <c r="Q11" t="s">
        <v>670</v>
      </c>
      <c r="R11" t="s">
        <v>643</v>
      </c>
      <c r="S11" t="s">
        <v>643</v>
      </c>
      <c r="T11" t="s">
        <v>643</v>
      </c>
      <c r="U11" t="s">
        <v>1322</v>
      </c>
    </row>
    <row r="12" spans="1:21" ht="14.25" x14ac:dyDescent="0.2">
      <c r="A12" t="s">
        <v>1320</v>
      </c>
      <c r="B12" t="s">
        <v>1321</v>
      </c>
      <c r="C12" t="s">
        <v>643</v>
      </c>
      <c r="D12" t="s">
        <v>680</v>
      </c>
      <c r="E12" t="s">
        <v>679</v>
      </c>
      <c r="F12" t="s">
        <v>649</v>
      </c>
      <c r="G12" t="s">
        <v>16</v>
      </c>
      <c r="H12" t="s">
        <v>1334</v>
      </c>
      <c r="I12" t="s">
        <v>669</v>
      </c>
      <c r="J12" t="s">
        <v>1335</v>
      </c>
      <c r="K12" t="s">
        <v>656</v>
      </c>
      <c r="L12" t="s">
        <v>1335</v>
      </c>
      <c r="M12" t="s">
        <v>1336</v>
      </c>
      <c r="N12" t="s">
        <v>639</v>
      </c>
      <c r="O12" t="s">
        <v>669</v>
      </c>
      <c r="P12" t="s">
        <v>656</v>
      </c>
      <c r="Q12" t="s">
        <v>670</v>
      </c>
      <c r="R12" t="s">
        <v>643</v>
      </c>
      <c r="S12" t="s">
        <v>643</v>
      </c>
      <c r="T12" t="s">
        <v>643</v>
      </c>
      <c r="U12" t="s">
        <v>1334</v>
      </c>
    </row>
    <row r="13" spans="1:21" ht="14.25" x14ac:dyDescent="0.2">
      <c r="A13" t="s">
        <v>1320</v>
      </c>
      <c r="B13" t="s">
        <v>1321</v>
      </c>
      <c r="C13" t="s">
        <v>643</v>
      </c>
      <c r="D13" t="s">
        <v>820</v>
      </c>
      <c r="E13" t="s">
        <v>819</v>
      </c>
      <c r="F13" t="s">
        <v>649</v>
      </c>
      <c r="G13" t="s">
        <v>16</v>
      </c>
      <c r="H13" t="s">
        <v>1334</v>
      </c>
      <c r="I13" t="s">
        <v>669</v>
      </c>
      <c r="J13" t="s">
        <v>1335</v>
      </c>
      <c r="K13" t="s">
        <v>656</v>
      </c>
      <c r="L13" t="s">
        <v>1335</v>
      </c>
      <c r="M13" t="s">
        <v>1493</v>
      </c>
      <c r="N13" t="s">
        <v>639</v>
      </c>
      <c r="O13" t="s">
        <v>669</v>
      </c>
      <c r="P13" t="s">
        <v>656</v>
      </c>
      <c r="Q13" t="s">
        <v>670</v>
      </c>
      <c r="R13" t="s">
        <v>696</v>
      </c>
      <c r="S13" t="s">
        <v>697</v>
      </c>
      <c r="T13" t="s">
        <v>698</v>
      </c>
      <c r="U13" t="s">
        <v>1334</v>
      </c>
    </row>
    <row r="14" spans="1:21" ht="14.25" x14ac:dyDescent="0.2">
      <c r="A14" t="s">
        <v>1320</v>
      </c>
      <c r="B14" t="s">
        <v>1327</v>
      </c>
      <c r="C14" t="s">
        <v>643</v>
      </c>
      <c r="D14" t="s">
        <v>261</v>
      </c>
      <c r="E14" t="s">
        <v>677</v>
      </c>
      <c r="F14" t="s">
        <v>636</v>
      </c>
      <c r="G14" t="s">
        <v>16</v>
      </c>
      <c r="H14" t="s">
        <v>1328</v>
      </c>
      <c r="I14" t="s">
        <v>669</v>
      </c>
      <c r="J14" t="s">
        <v>1329</v>
      </c>
      <c r="K14" t="s">
        <v>656</v>
      </c>
      <c r="L14" t="s">
        <v>1329</v>
      </c>
      <c r="M14" t="s">
        <v>1330</v>
      </c>
      <c r="N14" t="s">
        <v>639</v>
      </c>
      <c r="O14" t="s">
        <v>669</v>
      </c>
      <c r="P14" t="s">
        <v>656</v>
      </c>
      <c r="Q14" t="s">
        <v>670</v>
      </c>
      <c r="R14" t="s">
        <v>643</v>
      </c>
      <c r="S14" t="s">
        <v>643</v>
      </c>
      <c r="T14" t="s">
        <v>643</v>
      </c>
      <c r="U14" t="s">
        <v>1328</v>
      </c>
    </row>
    <row r="15" spans="1:21" ht="14.25" x14ac:dyDescent="0.2">
      <c r="A15" t="s">
        <v>1320</v>
      </c>
      <c r="B15" t="s">
        <v>1321</v>
      </c>
      <c r="C15" t="s">
        <v>643</v>
      </c>
      <c r="D15" t="s">
        <v>952</v>
      </c>
      <c r="E15" t="s">
        <v>951</v>
      </c>
      <c r="F15" t="s">
        <v>709</v>
      </c>
      <c r="G15" t="s">
        <v>16</v>
      </c>
      <c r="H15" t="s">
        <v>1650</v>
      </c>
      <c r="I15" t="s">
        <v>643</v>
      </c>
      <c r="J15" t="s">
        <v>643</v>
      </c>
      <c r="K15" t="s">
        <v>654</v>
      </c>
      <c r="L15" t="s">
        <v>1651</v>
      </c>
      <c r="M15" t="s">
        <v>1492</v>
      </c>
      <c r="N15" t="s">
        <v>639</v>
      </c>
      <c r="O15" t="s">
        <v>669</v>
      </c>
      <c r="P15" t="s">
        <v>673</v>
      </c>
      <c r="Q15" t="s">
        <v>643</v>
      </c>
      <c r="R15" t="s">
        <v>953</v>
      </c>
      <c r="S15" t="s">
        <v>954</v>
      </c>
      <c r="T15" t="s">
        <v>654</v>
      </c>
      <c r="U15" t="s">
        <v>1650</v>
      </c>
    </row>
    <row r="16" spans="1:21" ht="14.25" x14ac:dyDescent="0.2">
      <c r="A16" t="s">
        <v>1320</v>
      </c>
      <c r="B16" t="s">
        <v>1321</v>
      </c>
      <c r="C16" t="s">
        <v>643</v>
      </c>
      <c r="D16" t="s">
        <v>952</v>
      </c>
      <c r="E16" t="s">
        <v>951</v>
      </c>
      <c r="F16" t="s">
        <v>709</v>
      </c>
      <c r="G16" t="s">
        <v>16</v>
      </c>
      <c r="H16" t="s">
        <v>1650</v>
      </c>
      <c r="I16" t="s">
        <v>643</v>
      </c>
      <c r="J16" t="s">
        <v>643</v>
      </c>
      <c r="K16" t="s">
        <v>654</v>
      </c>
      <c r="L16" t="s">
        <v>1651</v>
      </c>
      <c r="M16" t="s">
        <v>1492</v>
      </c>
      <c r="N16" t="s">
        <v>639</v>
      </c>
      <c r="O16" t="s">
        <v>669</v>
      </c>
      <c r="P16" t="s">
        <v>673</v>
      </c>
      <c r="Q16" t="s">
        <v>643</v>
      </c>
      <c r="R16" t="s">
        <v>953</v>
      </c>
      <c r="S16" t="s">
        <v>2362</v>
      </c>
      <c r="T16" t="s">
        <v>654</v>
      </c>
      <c r="U16" t="s">
        <v>1650</v>
      </c>
    </row>
    <row r="17" spans="1:21" ht="14.25" x14ac:dyDescent="0.2">
      <c r="A17" t="s">
        <v>1320</v>
      </c>
      <c r="B17" t="s">
        <v>1321</v>
      </c>
      <c r="C17" t="s">
        <v>643</v>
      </c>
      <c r="D17" t="s">
        <v>952</v>
      </c>
      <c r="E17" t="s">
        <v>951</v>
      </c>
      <c r="F17" t="s">
        <v>709</v>
      </c>
      <c r="G17" t="s">
        <v>16</v>
      </c>
      <c r="H17" t="s">
        <v>1650</v>
      </c>
      <c r="I17" t="s">
        <v>643</v>
      </c>
      <c r="J17" t="s">
        <v>643</v>
      </c>
      <c r="K17" t="s">
        <v>654</v>
      </c>
      <c r="L17" t="s">
        <v>1651</v>
      </c>
      <c r="M17" t="s">
        <v>1492</v>
      </c>
      <c r="N17" t="s">
        <v>639</v>
      </c>
      <c r="O17" t="s">
        <v>669</v>
      </c>
      <c r="P17" t="s">
        <v>673</v>
      </c>
      <c r="Q17" t="s">
        <v>643</v>
      </c>
      <c r="R17" t="s">
        <v>696</v>
      </c>
      <c r="S17" t="s">
        <v>697</v>
      </c>
      <c r="T17" t="s">
        <v>698</v>
      </c>
      <c r="U17" t="s">
        <v>1650</v>
      </c>
    </row>
    <row r="18" spans="1:21" ht="14.25" x14ac:dyDescent="0.2">
      <c r="A18" t="s">
        <v>1320</v>
      </c>
      <c r="B18" t="s">
        <v>1339</v>
      </c>
      <c r="C18" t="s">
        <v>643</v>
      </c>
      <c r="D18" t="s">
        <v>353</v>
      </c>
      <c r="E18" t="s">
        <v>684</v>
      </c>
      <c r="F18" t="s">
        <v>636</v>
      </c>
      <c r="G18" t="s">
        <v>16</v>
      </c>
      <c r="H18" t="s">
        <v>1340</v>
      </c>
      <c r="I18" t="s">
        <v>669</v>
      </c>
      <c r="J18" t="s">
        <v>1341</v>
      </c>
      <c r="K18" t="s">
        <v>656</v>
      </c>
      <c r="L18" t="s">
        <v>1341</v>
      </c>
      <c r="M18" t="s">
        <v>1342</v>
      </c>
      <c r="N18" t="s">
        <v>639</v>
      </c>
      <c r="O18" t="s">
        <v>669</v>
      </c>
      <c r="P18" t="s">
        <v>656</v>
      </c>
      <c r="Q18" t="s">
        <v>670</v>
      </c>
      <c r="R18" t="s">
        <v>643</v>
      </c>
      <c r="S18" t="s">
        <v>643</v>
      </c>
      <c r="T18" t="s">
        <v>643</v>
      </c>
      <c r="U18" t="s">
        <v>1340</v>
      </c>
    </row>
    <row r="19" spans="1:21" ht="14.25" x14ac:dyDescent="0.2">
      <c r="A19" t="s">
        <v>1320</v>
      </c>
      <c r="B19" t="s">
        <v>1339</v>
      </c>
      <c r="C19" t="s">
        <v>643</v>
      </c>
      <c r="D19" t="s">
        <v>365</v>
      </c>
      <c r="E19" t="s">
        <v>685</v>
      </c>
      <c r="F19" t="s">
        <v>636</v>
      </c>
      <c r="G19" t="s">
        <v>16</v>
      </c>
      <c r="H19" t="s">
        <v>1343</v>
      </c>
      <c r="I19" t="s">
        <v>669</v>
      </c>
      <c r="J19" t="s">
        <v>1344</v>
      </c>
      <c r="K19" t="s">
        <v>656</v>
      </c>
      <c r="L19" t="s">
        <v>1344</v>
      </c>
      <c r="M19" t="s">
        <v>1345</v>
      </c>
      <c r="N19" t="s">
        <v>639</v>
      </c>
      <c r="O19" t="s">
        <v>669</v>
      </c>
      <c r="P19" t="s">
        <v>656</v>
      </c>
      <c r="Q19" t="s">
        <v>670</v>
      </c>
      <c r="R19" t="s">
        <v>643</v>
      </c>
      <c r="S19" t="s">
        <v>643</v>
      </c>
      <c r="T19" t="s">
        <v>643</v>
      </c>
      <c r="U19" t="s">
        <v>1343</v>
      </c>
    </row>
    <row r="20" spans="1:21" ht="14.25" x14ac:dyDescent="0.2">
      <c r="A20" t="s">
        <v>1320</v>
      </c>
      <c r="B20" t="s">
        <v>1321</v>
      </c>
      <c r="C20" t="s">
        <v>643</v>
      </c>
      <c r="D20" t="s">
        <v>395</v>
      </c>
      <c r="E20" t="s">
        <v>678</v>
      </c>
      <c r="F20" t="s">
        <v>636</v>
      </c>
      <c r="G20" t="s">
        <v>16</v>
      </c>
      <c r="H20" t="s">
        <v>1331</v>
      </c>
      <c r="I20" t="s">
        <v>669</v>
      </c>
      <c r="J20" t="s">
        <v>1332</v>
      </c>
      <c r="K20" t="s">
        <v>656</v>
      </c>
      <c r="L20" t="s">
        <v>1332</v>
      </c>
      <c r="M20" t="s">
        <v>1333</v>
      </c>
      <c r="N20" t="s">
        <v>639</v>
      </c>
      <c r="O20" t="s">
        <v>669</v>
      </c>
      <c r="P20" t="s">
        <v>656</v>
      </c>
      <c r="Q20" t="s">
        <v>670</v>
      </c>
      <c r="R20" t="s">
        <v>643</v>
      </c>
      <c r="S20" t="s">
        <v>643</v>
      </c>
      <c r="T20" t="s">
        <v>643</v>
      </c>
      <c r="U20" t="s">
        <v>1331</v>
      </c>
    </row>
    <row r="21" spans="1:21" ht="14.25" x14ac:dyDescent="0.2">
      <c r="A21" t="s">
        <v>1320</v>
      </c>
      <c r="B21" t="s">
        <v>1327</v>
      </c>
      <c r="C21" t="s">
        <v>643</v>
      </c>
      <c r="D21" t="s">
        <v>85</v>
      </c>
      <c r="E21" t="s">
        <v>689</v>
      </c>
      <c r="F21" t="s">
        <v>636</v>
      </c>
      <c r="G21" t="s">
        <v>27</v>
      </c>
      <c r="H21" t="s">
        <v>1348</v>
      </c>
      <c r="I21" t="s">
        <v>669</v>
      </c>
      <c r="J21" t="s">
        <v>1349</v>
      </c>
      <c r="K21" t="s">
        <v>656</v>
      </c>
      <c r="L21" t="s">
        <v>1349</v>
      </c>
      <c r="M21" t="s">
        <v>1350</v>
      </c>
      <c r="N21" t="s">
        <v>639</v>
      </c>
      <c r="O21" t="s">
        <v>669</v>
      </c>
      <c r="P21" t="s">
        <v>656</v>
      </c>
      <c r="Q21" t="s">
        <v>670</v>
      </c>
      <c r="R21" t="s">
        <v>643</v>
      </c>
      <c r="S21" t="s">
        <v>643</v>
      </c>
      <c r="T21" t="s">
        <v>643</v>
      </c>
      <c r="U21" t="s">
        <v>1348</v>
      </c>
    </row>
    <row r="22" spans="1:21" ht="14.25" x14ac:dyDescent="0.2">
      <c r="A22" t="s">
        <v>1351</v>
      </c>
      <c r="B22" t="s">
        <v>1352</v>
      </c>
      <c r="C22" t="s">
        <v>643</v>
      </c>
      <c r="D22" t="s">
        <v>112</v>
      </c>
      <c r="E22" t="s">
        <v>694</v>
      </c>
      <c r="F22" t="s">
        <v>649</v>
      </c>
      <c r="G22" t="s">
        <v>16</v>
      </c>
      <c r="H22" t="s">
        <v>1354</v>
      </c>
      <c r="I22" t="s">
        <v>673</v>
      </c>
      <c r="J22" t="s">
        <v>1355</v>
      </c>
      <c r="K22" t="s">
        <v>656</v>
      </c>
      <c r="L22" t="s">
        <v>1355</v>
      </c>
      <c r="M22" t="s">
        <v>1356</v>
      </c>
      <c r="N22" t="s">
        <v>639</v>
      </c>
      <c r="O22" t="s">
        <v>673</v>
      </c>
      <c r="P22" t="s">
        <v>656</v>
      </c>
      <c r="Q22" t="s">
        <v>695</v>
      </c>
      <c r="R22" t="s">
        <v>696</v>
      </c>
      <c r="S22" t="s">
        <v>697</v>
      </c>
      <c r="T22" t="s">
        <v>698</v>
      </c>
      <c r="U22" t="s">
        <v>1354</v>
      </c>
    </row>
    <row r="23" spans="1:21" ht="14.25" x14ac:dyDescent="0.2">
      <c r="A23" t="s">
        <v>1351</v>
      </c>
      <c r="B23" t="s">
        <v>1352</v>
      </c>
      <c r="C23" t="s">
        <v>643</v>
      </c>
      <c r="D23" t="s">
        <v>112</v>
      </c>
      <c r="E23" t="s">
        <v>694</v>
      </c>
      <c r="F23" t="s">
        <v>649</v>
      </c>
      <c r="G23" t="s">
        <v>16</v>
      </c>
      <c r="H23" t="s">
        <v>1354</v>
      </c>
      <c r="I23" t="s">
        <v>673</v>
      </c>
      <c r="J23" t="s">
        <v>1355</v>
      </c>
      <c r="K23" t="s">
        <v>656</v>
      </c>
      <c r="L23" t="s">
        <v>1355</v>
      </c>
      <c r="M23" t="s">
        <v>1356</v>
      </c>
      <c r="N23" t="s">
        <v>639</v>
      </c>
      <c r="O23" t="s">
        <v>673</v>
      </c>
      <c r="P23" t="s">
        <v>656</v>
      </c>
      <c r="Q23" t="s">
        <v>695</v>
      </c>
      <c r="R23" t="s">
        <v>2363</v>
      </c>
      <c r="S23" t="s">
        <v>2364</v>
      </c>
      <c r="T23" t="s">
        <v>703</v>
      </c>
      <c r="U23" t="s">
        <v>1354</v>
      </c>
    </row>
    <row r="24" spans="1:21" ht="14.25" x14ac:dyDescent="0.2">
      <c r="A24" t="s">
        <v>1351</v>
      </c>
      <c r="B24" t="s">
        <v>1352</v>
      </c>
      <c r="C24" t="s">
        <v>643</v>
      </c>
      <c r="D24" t="s">
        <v>195</v>
      </c>
      <c r="E24" t="s">
        <v>770</v>
      </c>
      <c r="F24" t="s">
        <v>649</v>
      </c>
      <c r="G24" t="s">
        <v>16</v>
      </c>
      <c r="H24" t="s">
        <v>1354</v>
      </c>
      <c r="I24" t="s">
        <v>673</v>
      </c>
      <c r="J24" t="s">
        <v>1355</v>
      </c>
      <c r="K24" t="s">
        <v>656</v>
      </c>
      <c r="L24" t="s">
        <v>1355</v>
      </c>
      <c r="M24" t="s">
        <v>1356</v>
      </c>
      <c r="N24" t="s">
        <v>639</v>
      </c>
      <c r="O24" t="s">
        <v>673</v>
      </c>
      <c r="P24" t="s">
        <v>656</v>
      </c>
      <c r="Q24" t="s">
        <v>695</v>
      </c>
      <c r="R24" t="s">
        <v>696</v>
      </c>
      <c r="S24" t="s">
        <v>697</v>
      </c>
      <c r="T24" t="s">
        <v>698</v>
      </c>
      <c r="U24" t="s">
        <v>1354</v>
      </c>
    </row>
    <row r="25" spans="1:21" ht="14.25" x14ac:dyDescent="0.2">
      <c r="A25" t="s">
        <v>1351</v>
      </c>
      <c r="B25" t="s">
        <v>1352</v>
      </c>
      <c r="C25" t="s">
        <v>643</v>
      </c>
      <c r="D25" t="s">
        <v>276</v>
      </c>
      <c r="E25" t="s">
        <v>853</v>
      </c>
      <c r="F25" t="s">
        <v>709</v>
      </c>
      <c r="G25" t="s">
        <v>16</v>
      </c>
      <c r="H25" t="s">
        <v>1539</v>
      </c>
      <c r="I25" t="s">
        <v>692</v>
      </c>
      <c r="J25" t="s">
        <v>1540</v>
      </c>
      <c r="K25" t="s">
        <v>673</v>
      </c>
      <c r="L25" t="s">
        <v>1540</v>
      </c>
      <c r="M25" t="s">
        <v>1541</v>
      </c>
      <c r="N25" t="s">
        <v>639</v>
      </c>
      <c r="O25" t="s">
        <v>692</v>
      </c>
      <c r="P25" t="s">
        <v>673</v>
      </c>
      <c r="Q25" t="s">
        <v>700</v>
      </c>
      <c r="R25" t="s">
        <v>696</v>
      </c>
      <c r="S25" t="s">
        <v>697</v>
      </c>
      <c r="T25" t="s">
        <v>698</v>
      </c>
      <c r="U25" t="s">
        <v>1539</v>
      </c>
    </row>
    <row r="26" spans="1:21" ht="14.25" x14ac:dyDescent="0.2">
      <c r="A26" t="s">
        <v>1351</v>
      </c>
      <c r="B26" t="s">
        <v>1352</v>
      </c>
      <c r="C26" t="s">
        <v>643</v>
      </c>
      <c r="D26" t="s">
        <v>296</v>
      </c>
      <c r="E26" t="s">
        <v>974</v>
      </c>
      <c r="F26" t="s">
        <v>636</v>
      </c>
      <c r="G26" t="s">
        <v>16</v>
      </c>
      <c r="H26" t="s">
        <v>1361</v>
      </c>
      <c r="I26" t="s">
        <v>673</v>
      </c>
      <c r="J26" t="s">
        <v>1365</v>
      </c>
      <c r="K26" t="s">
        <v>656</v>
      </c>
      <c r="L26" t="s">
        <v>1365</v>
      </c>
      <c r="M26" t="s">
        <v>1356</v>
      </c>
      <c r="N26" t="s">
        <v>639</v>
      </c>
      <c r="O26" t="s">
        <v>673</v>
      </c>
      <c r="P26" t="s">
        <v>656</v>
      </c>
      <c r="Q26" t="s">
        <v>695</v>
      </c>
      <c r="R26" t="s">
        <v>643</v>
      </c>
      <c r="S26" t="s">
        <v>643</v>
      </c>
      <c r="T26" t="s">
        <v>643</v>
      </c>
      <c r="U26" t="s">
        <v>1361</v>
      </c>
    </row>
    <row r="27" spans="1:21" ht="14.25" x14ac:dyDescent="0.2">
      <c r="A27" t="s">
        <v>1351</v>
      </c>
      <c r="B27" t="s">
        <v>1352</v>
      </c>
      <c r="C27" t="s">
        <v>643</v>
      </c>
      <c r="D27" t="s">
        <v>315</v>
      </c>
      <c r="E27" t="s">
        <v>978</v>
      </c>
      <c r="F27" t="s">
        <v>636</v>
      </c>
      <c r="G27" t="s">
        <v>16</v>
      </c>
      <c r="H27" t="s">
        <v>1361</v>
      </c>
      <c r="I27" t="s">
        <v>673</v>
      </c>
      <c r="J27" t="s">
        <v>1365</v>
      </c>
      <c r="K27" t="s">
        <v>656</v>
      </c>
      <c r="L27" t="s">
        <v>1365</v>
      </c>
      <c r="M27" t="s">
        <v>1356</v>
      </c>
      <c r="N27" t="s">
        <v>639</v>
      </c>
      <c r="O27" t="s">
        <v>673</v>
      </c>
      <c r="P27" t="s">
        <v>656</v>
      </c>
      <c r="Q27" t="s">
        <v>695</v>
      </c>
      <c r="R27" t="s">
        <v>643</v>
      </c>
      <c r="S27" t="s">
        <v>643</v>
      </c>
      <c r="T27" t="s">
        <v>643</v>
      </c>
      <c r="U27" t="s">
        <v>1361</v>
      </c>
    </row>
    <row r="28" spans="1:21" ht="14.25" x14ac:dyDescent="0.2">
      <c r="A28" t="s">
        <v>1351</v>
      </c>
      <c r="B28" t="s">
        <v>1352</v>
      </c>
      <c r="C28" t="s">
        <v>643</v>
      </c>
      <c r="D28" t="s">
        <v>331</v>
      </c>
      <c r="E28" t="s">
        <v>982</v>
      </c>
      <c r="F28" t="s">
        <v>636</v>
      </c>
      <c r="G28" t="s">
        <v>16</v>
      </c>
      <c r="H28" t="s">
        <v>1361</v>
      </c>
      <c r="I28" t="s">
        <v>673</v>
      </c>
      <c r="J28" t="s">
        <v>1365</v>
      </c>
      <c r="K28" t="s">
        <v>656</v>
      </c>
      <c r="L28" t="s">
        <v>1365</v>
      </c>
      <c r="M28" t="s">
        <v>1356</v>
      </c>
      <c r="N28" t="s">
        <v>639</v>
      </c>
      <c r="O28" t="s">
        <v>673</v>
      </c>
      <c r="P28" t="s">
        <v>656</v>
      </c>
      <c r="Q28" t="s">
        <v>695</v>
      </c>
      <c r="R28" t="s">
        <v>643</v>
      </c>
      <c r="S28" t="s">
        <v>643</v>
      </c>
      <c r="T28" t="s">
        <v>643</v>
      </c>
      <c r="U28" t="s">
        <v>1361</v>
      </c>
    </row>
    <row r="29" spans="1:21" ht="14.25" x14ac:dyDescent="0.2">
      <c r="A29" t="s">
        <v>1351</v>
      </c>
      <c r="B29" t="s">
        <v>1366</v>
      </c>
      <c r="C29" t="s">
        <v>643</v>
      </c>
      <c r="D29" t="s">
        <v>370</v>
      </c>
      <c r="E29" t="s">
        <v>707</v>
      </c>
      <c r="F29" t="s">
        <v>649</v>
      </c>
      <c r="G29" t="s">
        <v>16</v>
      </c>
      <c r="H29" t="s">
        <v>1322</v>
      </c>
      <c r="I29" t="s">
        <v>673</v>
      </c>
      <c r="J29" t="s">
        <v>1323</v>
      </c>
      <c r="K29" t="s">
        <v>656</v>
      </c>
      <c r="L29" t="s">
        <v>1323</v>
      </c>
      <c r="M29" t="s">
        <v>1367</v>
      </c>
      <c r="N29" t="s">
        <v>639</v>
      </c>
      <c r="O29" t="s">
        <v>673</v>
      </c>
      <c r="P29" t="s">
        <v>656</v>
      </c>
      <c r="Q29" t="s">
        <v>695</v>
      </c>
      <c r="R29" t="s">
        <v>696</v>
      </c>
      <c r="S29" t="s">
        <v>697</v>
      </c>
      <c r="T29" t="s">
        <v>698</v>
      </c>
      <c r="U29" t="s">
        <v>1322</v>
      </c>
    </row>
    <row r="30" spans="1:21" ht="14.25" x14ac:dyDescent="0.2">
      <c r="A30" t="s">
        <v>1351</v>
      </c>
      <c r="B30" t="s">
        <v>1352</v>
      </c>
      <c r="C30" t="s">
        <v>643</v>
      </c>
      <c r="D30" t="s">
        <v>389</v>
      </c>
      <c r="E30" t="s">
        <v>702</v>
      </c>
      <c r="F30" t="s">
        <v>649</v>
      </c>
      <c r="G30" t="s">
        <v>16</v>
      </c>
      <c r="H30" t="s">
        <v>1362</v>
      </c>
      <c r="I30" t="s">
        <v>643</v>
      </c>
      <c r="J30" t="s">
        <v>643</v>
      </c>
      <c r="K30" t="s">
        <v>703</v>
      </c>
      <c r="L30" t="s">
        <v>1363</v>
      </c>
      <c r="M30" t="s">
        <v>1364</v>
      </c>
      <c r="N30" t="s">
        <v>639</v>
      </c>
      <c r="O30" t="s">
        <v>673</v>
      </c>
      <c r="P30" t="s">
        <v>656</v>
      </c>
      <c r="Q30" t="s">
        <v>643</v>
      </c>
      <c r="R30" t="s">
        <v>704</v>
      </c>
      <c r="S30" t="s">
        <v>705</v>
      </c>
      <c r="T30" t="s">
        <v>703</v>
      </c>
      <c r="U30" t="s">
        <v>1362</v>
      </c>
    </row>
    <row r="31" spans="1:21" ht="14.25" x14ac:dyDescent="0.2">
      <c r="A31" t="s">
        <v>1351</v>
      </c>
      <c r="B31" t="s">
        <v>1352</v>
      </c>
      <c r="C31" t="s">
        <v>643</v>
      </c>
      <c r="D31" t="s">
        <v>399</v>
      </c>
      <c r="E31" t="s">
        <v>706</v>
      </c>
      <c r="F31" t="s">
        <v>636</v>
      </c>
      <c r="G31" t="s">
        <v>16</v>
      </c>
      <c r="H31" t="s">
        <v>1361</v>
      </c>
      <c r="I31" t="s">
        <v>673</v>
      </c>
      <c r="J31" t="s">
        <v>1365</v>
      </c>
      <c r="K31" t="s">
        <v>656</v>
      </c>
      <c r="L31" t="s">
        <v>1365</v>
      </c>
      <c r="M31" t="s">
        <v>1356</v>
      </c>
      <c r="N31" t="s">
        <v>639</v>
      </c>
      <c r="O31" t="s">
        <v>673</v>
      </c>
      <c r="P31" t="s">
        <v>656</v>
      </c>
      <c r="Q31" t="s">
        <v>695</v>
      </c>
      <c r="R31" t="s">
        <v>643</v>
      </c>
      <c r="S31" t="s">
        <v>643</v>
      </c>
      <c r="T31" t="s">
        <v>643</v>
      </c>
      <c r="U31" t="s">
        <v>1361</v>
      </c>
    </row>
    <row r="32" spans="1:21" ht="14.25" x14ac:dyDescent="0.2">
      <c r="A32" t="s">
        <v>1351</v>
      </c>
      <c r="B32" t="s">
        <v>1371</v>
      </c>
      <c r="C32" t="s">
        <v>643</v>
      </c>
      <c r="D32" t="s">
        <v>410</v>
      </c>
      <c r="E32" t="s">
        <v>715</v>
      </c>
      <c r="F32" t="s">
        <v>649</v>
      </c>
      <c r="G32" t="s">
        <v>16</v>
      </c>
      <c r="H32" t="s">
        <v>1375</v>
      </c>
      <c r="I32" t="s">
        <v>692</v>
      </c>
      <c r="J32" t="s">
        <v>1376</v>
      </c>
      <c r="K32" t="s">
        <v>673</v>
      </c>
      <c r="L32" t="s">
        <v>1377</v>
      </c>
      <c r="M32" t="s">
        <v>1360</v>
      </c>
      <c r="N32" t="s">
        <v>639</v>
      </c>
      <c r="O32" t="s">
        <v>712</v>
      </c>
      <c r="P32" t="s">
        <v>673</v>
      </c>
      <c r="Q32" t="s">
        <v>713</v>
      </c>
      <c r="R32" t="s">
        <v>652</v>
      </c>
      <c r="S32" t="s">
        <v>716</v>
      </c>
      <c r="T32" t="s">
        <v>654</v>
      </c>
      <c r="U32" t="s">
        <v>1375</v>
      </c>
    </row>
    <row r="33" spans="1:21" ht="14.25" x14ac:dyDescent="0.2">
      <c r="A33" t="s">
        <v>1351</v>
      </c>
      <c r="B33" t="s">
        <v>1371</v>
      </c>
      <c r="C33" t="s">
        <v>643</v>
      </c>
      <c r="D33" t="s">
        <v>410</v>
      </c>
      <c r="E33" t="s">
        <v>715</v>
      </c>
      <c r="F33" t="s">
        <v>649</v>
      </c>
      <c r="G33" t="s">
        <v>16</v>
      </c>
      <c r="H33" t="s">
        <v>1375</v>
      </c>
      <c r="I33" t="s">
        <v>692</v>
      </c>
      <c r="J33" t="s">
        <v>1376</v>
      </c>
      <c r="K33" t="s">
        <v>673</v>
      </c>
      <c r="L33" t="s">
        <v>1377</v>
      </c>
      <c r="M33" t="s">
        <v>1360</v>
      </c>
      <c r="N33" t="s">
        <v>639</v>
      </c>
      <c r="O33" t="s">
        <v>712</v>
      </c>
      <c r="P33" t="s">
        <v>673</v>
      </c>
      <c r="Q33" t="s">
        <v>713</v>
      </c>
      <c r="R33" t="s">
        <v>2365</v>
      </c>
      <c r="S33" t="s">
        <v>2366</v>
      </c>
      <c r="T33" t="s">
        <v>654</v>
      </c>
      <c r="U33" t="s">
        <v>1375</v>
      </c>
    </row>
    <row r="34" spans="1:21" ht="14.25" x14ac:dyDescent="0.2">
      <c r="A34" t="s">
        <v>1351</v>
      </c>
      <c r="B34" t="s">
        <v>1371</v>
      </c>
      <c r="C34" t="s">
        <v>643</v>
      </c>
      <c r="D34" t="s">
        <v>410</v>
      </c>
      <c r="E34" t="s">
        <v>715</v>
      </c>
      <c r="F34" t="s">
        <v>649</v>
      </c>
      <c r="G34" t="s">
        <v>16</v>
      </c>
      <c r="H34" t="s">
        <v>1375</v>
      </c>
      <c r="I34" t="s">
        <v>692</v>
      </c>
      <c r="J34" t="s">
        <v>1376</v>
      </c>
      <c r="K34" t="s">
        <v>673</v>
      </c>
      <c r="L34" t="s">
        <v>1377</v>
      </c>
      <c r="M34" t="s">
        <v>1360</v>
      </c>
      <c r="N34" t="s">
        <v>639</v>
      </c>
      <c r="O34" t="s">
        <v>712</v>
      </c>
      <c r="P34" t="s">
        <v>673</v>
      </c>
      <c r="Q34" t="s">
        <v>713</v>
      </c>
      <c r="R34" t="s">
        <v>696</v>
      </c>
      <c r="S34" t="s">
        <v>697</v>
      </c>
      <c r="T34" t="s">
        <v>698</v>
      </c>
      <c r="U34" t="s">
        <v>1375</v>
      </c>
    </row>
    <row r="35" spans="1:21" ht="14.25" x14ac:dyDescent="0.2">
      <c r="A35" t="s">
        <v>1351</v>
      </c>
      <c r="B35" t="s">
        <v>1371</v>
      </c>
      <c r="C35" t="s">
        <v>643</v>
      </c>
      <c r="D35" t="s">
        <v>115</v>
      </c>
      <c r="E35" t="s">
        <v>719</v>
      </c>
      <c r="F35" t="s">
        <v>649</v>
      </c>
      <c r="G35" t="s">
        <v>16</v>
      </c>
      <c r="H35" t="s">
        <v>1381</v>
      </c>
      <c r="I35" t="s">
        <v>692</v>
      </c>
      <c r="J35" t="s">
        <v>1382</v>
      </c>
      <c r="K35" t="s">
        <v>643</v>
      </c>
      <c r="L35" t="s">
        <v>643</v>
      </c>
      <c r="M35" t="s">
        <v>1383</v>
      </c>
      <c r="N35" t="s">
        <v>693</v>
      </c>
      <c r="O35" t="s">
        <v>720</v>
      </c>
      <c r="P35" t="s">
        <v>673</v>
      </c>
      <c r="Q35" t="s">
        <v>713</v>
      </c>
      <c r="R35" t="s">
        <v>721</v>
      </c>
      <c r="S35" t="s">
        <v>722</v>
      </c>
      <c r="T35" t="s">
        <v>676</v>
      </c>
      <c r="U35" t="s">
        <v>1381</v>
      </c>
    </row>
    <row r="36" spans="1:21" ht="14.25" x14ac:dyDescent="0.2">
      <c r="A36" t="s">
        <v>1351</v>
      </c>
      <c r="B36" t="s">
        <v>1371</v>
      </c>
      <c r="C36" t="s">
        <v>643</v>
      </c>
      <c r="D36" t="s">
        <v>115</v>
      </c>
      <c r="E36" t="s">
        <v>719</v>
      </c>
      <c r="F36" t="s">
        <v>649</v>
      </c>
      <c r="G36" t="s">
        <v>16</v>
      </c>
      <c r="H36" t="s">
        <v>1381</v>
      </c>
      <c r="I36" t="s">
        <v>692</v>
      </c>
      <c r="J36" t="s">
        <v>1382</v>
      </c>
      <c r="K36" t="s">
        <v>643</v>
      </c>
      <c r="L36" t="s">
        <v>643</v>
      </c>
      <c r="M36" t="s">
        <v>1383</v>
      </c>
      <c r="N36" t="s">
        <v>693</v>
      </c>
      <c r="O36" t="s">
        <v>720</v>
      </c>
      <c r="P36" t="s">
        <v>673</v>
      </c>
      <c r="Q36" t="s">
        <v>713</v>
      </c>
      <c r="R36" t="s">
        <v>2367</v>
      </c>
      <c r="S36" t="s">
        <v>2368</v>
      </c>
      <c r="T36" t="s">
        <v>676</v>
      </c>
      <c r="U36" t="s">
        <v>1381</v>
      </c>
    </row>
    <row r="37" spans="1:21" ht="14.25" x14ac:dyDescent="0.2">
      <c r="A37" t="s">
        <v>1351</v>
      </c>
      <c r="B37" t="s">
        <v>1371</v>
      </c>
      <c r="C37" t="s">
        <v>643</v>
      </c>
      <c r="D37" t="s">
        <v>115</v>
      </c>
      <c r="E37" t="s">
        <v>719</v>
      </c>
      <c r="F37" t="s">
        <v>649</v>
      </c>
      <c r="G37" t="s">
        <v>16</v>
      </c>
      <c r="H37" t="s">
        <v>1381</v>
      </c>
      <c r="I37" t="s">
        <v>692</v>
      </c>
      <c r="J37" t="s">
        <v>1382</v>
      </c>
      <c r="K37" t="s">
        <v>643</v>
      </c>
      <c r="L37" t="s">
        <v>643</v>
      </c>
      <c r="M37" t="s">
        <v>1383</v>
      </c>
      <c r="N37" t="s">
        <v>693</v>
      </c>
      <c r="O37" t="s">
        <v>720</v>
      </c>
      <c r="P37" t="s">
        <v>673</v>
      </c>
      <c r="Q37" t="s">
        <v>713</v>
      </c>
      <c r="R37" t="s">
        <v>721</v>
      </c>
      <c r="S37" t="s">
        <v>841</v>
      </c>
      <c r="T37" t="s">
        <v>676</v>
      </c>
      <c r="U37" t="s">
        <v>1381</v>
      </c>
    </row>
    <row r="38" spans="1:21" ht="14.25" x14ac:dyDescent="0.2">
      <c r="A38" t="s">
        <v>1351</v>
      </c>
      <c r="B38" t="s">
        <v>1371</v>
      </c>
      <c r="C38" t="s">
        <v>643</v>
      </c>
      <c r="D38" t="s">
        <v>117</v>
      </c>
      <c r="E38" t="s">
        <v>723</v>
      </c>
      <c r="F38" t="s">
        <v>649</v>
      </c>
      <c r="G38" t="s">
        <v>16</v>
      </c>
      <c r="H38" t="s">
        <v>1381</v>
      </c>
      <c r="I38" t="s">
        <v>692</v>
      </c>
      <c r="J38" t="s">
        <v>1384</v>
      </c>
      <c r="K38" t="s">
        <v>673</v>
      </c>
      <c r="L38" t="s">
        <v>1385</v>
      </c>
      <c r="M38" t="s">
        <v>1386</v>
      </c>
      <c r="N38" t="s">
        <v>639</v>
      </c>
      <c r="O38" t="s">
        <v>724</v>
      </c>
      <c r="P38" t="s">
        <v>673</v>
      </c>
      <c r="Q38" t="s">
        <v>713</v>
      </c>
      <c r="R38" t="s">
        <v>721</v>
      </c>
      <c r="S38" t="s">
        <v>725</v>
      </c>
      <c r="T38" t="s">
        <v>676</v>
      </c>
      <c r="U38" t="s">
        <v>1381</v>
      </c>
    </row>
    <row r="39" spans="1:21" ht="14.25" x14ac:dyDescent="0.2">
      <c r="A39" t="s">
        <v>1351</v>
      </c>
      <c r="B39" t="s">
        <v>1371</v>
      </c>
      <c r="C39" t="s">
        <v>643</v>
      </c>
      <c r="D39" t="s">
        <v>117</v>
      </c>
      <c r="E39" t="s">
        <v>723</v>
      </c>
      <c r="F39" t="s">
        <v>649</v>
      </c>
      <c r="G39" t="s">
        <v>16</v>
      </c>
      <c r="H39" t="s">
        <v>1381</v>
      </c>
      <c r="I39" t="s">
        <v>692</v>
      </c>
      <c r="J39" t="s">
        <v>1384</v>
      </c>
      <c r="K39" t="s">
        <v>673</v>
      </c>
      <c r="L39" t="s">
        <v>1385</v>
      </c>
      <c r="M39" t="s">
        <v>1386</v>
      </c>
      <c r="N39" t="s">
        <v>639</v>
      </c>
      <c r="O39" t="s">
        <v>724</v>
      </c>
      <c r="P39" t="s">
        <v>673</v>
      </c>
      <c r="Q39" t="s">
        <v>713</v>
      </c>
      <c r="R39" t="s">
        <v>2369</v>
      </c>
      <c r="S39" t="s">
        <v>2368</v>
      </c>
      <c r="T39" t="s">
        <v>676</v>
      </c>
      <c r="U39" t="s">
        <v>1381</v>
      </c>
    </row>
    <row r="40" spans="1:21" ht="14.25" x14ac:dyDescent="0.2">
      <c r="A40" t="s">
        <v>1351</v>
      </c>
      <c r="B40" t="s">
        <v>1371</v>
      </c>
      <c r="C40" t="s">
        <v>643</v>
      </c>
      <c r="D40" t="s">
        <v>117</v>
      </c>
      <c r="E40" t="s">
        <v>723</v>
      </c>
      <c r="F40" t="s">
        <v>649</v>
      </c>
      <c r="G40" t="s">
        <v>16</v>
      </c>
      <c r="H40" t="s">
        <v>1381</v>
      </c>
      <c r="I40" t="s">
        <v>692</v>
      </c>
      <c r="J40" t="s">
        <v>1384</v>
      </c>
      <c r="K40" t="s">
        <v>673</v>
      </c>
      <c r="L40" t="s">
        <v>1385</v>
      </c>
      <c r="M40" t="s">
        <v>1386</v>
      </c>
      <c r="N40" t="s">
        <v>639</v>
      </c>
      <c r="O40" t="s">
        <v>724</v>
      </c>
      <c r="P40" t="s">
        <v>673</v>
      </c>
      <c r="Q40" t="s">
        <v>713</v>
      </c>
      <c r="R40" t="s">
        <v>743</v>
      </c>
      <c r="S40" t="s">
        <v>743</v>
      </c>
      <c r="T40" t="s">
        <v>676</v>
      </c>
      <c r="U40" t="s">
        <v>1381</v>
      </c>
    </row>
    <row r="41" spans="1:21" ht="14.25" x14ac:dyDescent="0.2">
      <c r="A41" t="s">
        <v>1351</v>
      </c>
      <c r="B41" t="s">
        <v>1371</v>
      </c>
      <c r="C41" t="s">
        <v>643</v>
      </c>
      <c r="D41" t="s">
        <v>445</v>
      </c>
      <c r="E41" t="s">
        <v>726</v>
      </c>
      <c r="F41" t="s">
        <v>649</v>
      </c>
      <c r="G41" t="s">
        <v>16</v>
      </c>
      <c r="H41" t="s">
        <v>1387</v>
      </c>
      <c r="I41" t="s">
        <v>727</v>
      </c>
      <c r="J41" t="s">
        <v>1388</v>
      </c>
      <c r="K41" t="s">
        <v>673</v>
      </c>
      <c r="L41" t="s">
        <v>1389</v>
      </c>
      <c r="M41" t="s">
        <v>1386</v>
      </c>
      <c r="N41" t="s">
        <v>639</v>
      </c>
      <c r="O41" t="s">
        <v>728</v>
      </c>
      <c r="P41" t="s">
        <v>673</v>
      </c>
      <c r="Q41" t="s">
        <v>713</v>
      </c>
      <c r="R41" t="s">
        <v>721</v>
      </c>
      <c r="S41" t="s">
        <v>729</v>
      </c>
      <c r="T41" t="s">
        <v>676</v>
      </c>
      <c r="U41" t="s">
        <v>1387</v>
      </c>
    </row>
    <row r="42" spans="1:21" ht="14.25" x14ac:dyDescent="0.2">
      <c r="A42" t="s">
        <v>1351</v>
      </c>
      <c r="B42" t="s">
        <v>1371</v>
      </c>
      <c r="C42" t="s">
        <v>643</v>
      </c>
      <c r="D42" t="s">
        <v>451</v>
      </c>
      <c r="E42" t="s">
        <v>730</v>
      </c>
      <c r="F42" t="s">
        <v>649</v>
      </c>
      <c r="G42" t="s">
        <v>16</v>
      </c>
      <c r="H42" t="s">
        <v>1390</v>
      </c>
      <c r="I42" t="s">
        <v>727</v>
      </c>
      <c r="J42" t="s">
        <v>1391</v>
      </c>
      <c r="K42" t="s">
        <v>673</v>
      </c>
      <c r="L42" t="s">
        <v>1392</v>
      </c>
      <c r="M42" t="s">
        <v>1386</v>
      </c>
      <c r="N42" t="s">
        <v>639</v>
      </c>
      <c r="O42" t="s">
        <v>731</v>
      </c>
      <c r="P42" t="s">
        <v>673</v>
      </c>
      <c r="Q42" t="s">
        <v>713</v>
      </c>
      <c r="R42" t="s">
        <v>732</v>
      </c>
      <c r="S42" t="s">
        <v>733</v>
      </c>
      <c r="T42" t="s">
        <v>676</v>
      </c>
      <c r="U42" t="s">
        <v>1390</v>
      </c>
    </row>
    <row r="43" spans="1:21" ht="14.25" x14ac:dyDescent="0.2">
      <c r="A43" t="s">
        <v>1351</v>
      </c>
      <c r="B43" t="s">
        <v>1371</v>
      </c>
      <c r="C43" t="s">
        <v>643</v>
      </c>
      <c r="D43" t="s">
        <v>457</v>
      </c>
      <c r="E43" t="s">
        <v>734</v>
      </c>
      <c r="F43" t="s">
        <v>709</v>
      </c>
      <c r="G43" t="s">
        <v>16</v>
      </c>
      <c r="H43" t="s">
        <v>1393</v>
      </c>
      <c r="I43" t="s">
        <v>643</v>
      </c>
      <c r="J43" t="s">
        <v>643</v>
      </c>
      <c r="K43" t="s">
        <v>654</v>
      </c>
      <c r="L43" t="s">
        <v>1394</v>
      </c>
      <c r="M43" t="s">
        <v>1395</v>
      </c>
      <c r="N43" t="s">
        <v>639</v>
      </c>
      <c r="O43" t="s">
        <v>718</v>
      </c>
      <c r="P43" t="s">
        <v>673</v>
      </c>
      <c r="Q43" t="s">
        <v>643</v>
      </c>
      <c r="R43" t="s">
        <v>735</v>
      </c>
      <c r="S43" t="s">
        <v>736</v>
      </c>
      <c r="T43" t="s">
        <v>654</v>
      </c>
      <c r="U43" t="s">
        <v>1393</v>
      </c>
    </row>
    <row r="44" spans="1:21" ht="14.25" x14ac:dyDescent="0.2">
      <c r="A44" t="s">
        <v>1351</v>
      </c>
      <c r="B44" t="s">
        <v>1371</v>
      </c>
      <c r="C44" t="s">
        <v>643</v>
      </c>
      <c r="D44" t="s">
        <v>457</v>
      </c>
      <c r="E44" t="s">
        <v>734</v>
      </c>
      <c r="F44" t="s">
        <v>709</v>
      </c>
      <c r="G44" t="s">
        <v>16</v>
      </c>
      <c r="H44" t="s">
        <v>1393</v>
      </c>
      <c r="I44" t="s">
        <v>643</v>
      </c>
      <c r="J44" t="s">
        <v>643</v>
      </c>
      <c r="K44" t="s">
        <v>654</v>
      </c>
      <c r="L44" t="s">
        <v>1394</v>
      </c>
      <c r="M44" t="s">
        <v>1395</v>
      </c>
      <c r="N44" t="s">
        <v>639</v>
      </c>
      <c r="O44" t="s">
        <v>718</v>
      </c>
      <c r="P44" t="s">
        <v>673</v>
      </c>
      <c r="Q44" t="s">
        <v>643</v>
      </c>
      <c r="R44" t="s">
        <v>661</v>
      </c>
      <c r="S44" t="s">
        <v>661</v>
      </c>
      <c r="T44" t="s">
        <v>654</v>
      </c>
      <c r="U44" t="s">
        <v>1393</v>
      </c>
    </row>
    <row r="45" spans="1:21" ht="14.25" x14ac:dyDescent="0.2">
      <c r="A45" t="s">
        <v>1351</v>
      </c>
      <c r="B45" t="s">
        <v>1371</v>
      </c>
      <c r="C45" t="s">
        <v>643</v>
      </c>
      <c r="D45" t="s">
        <v>457</v>
      </c>
      <c r="E45" t="s">
        <v>734</v>
      </c>
      <c r="F45" t="s">
        <v>709</v>
      </c>
      <c r="G45" t="s">
        <v>16</v>
      </c>
      <c r="H45" t="s">
        <v>1393</v>
      </c>
      <c r="I45" t="s">
        <v>643</v>
      </c>
      <c r="J45" t="s">
        <v>643</v>
      </c>
      <c r="K45" t="s">
        <v>654</v>
      </c>
      <c r="L45" t="s">
        <v>1394</v>
      </c>
      <c r="M45" t="s">
        <v>1395</v>
      </c>
      <c r="N45" t="s">
        <v>639</v>
      </c>
      <c r="O45" t="s">
        <v>718</v>
      </c>
      <c r="P45" t="s">
        <v>673</v>
      </c>
      <c r="Q45" t="s">
        <v>643</v>
      </c>
      <c r="R45" t="s">
        <v>696</v>
      </c>
      <c r="S45" t="s">
        <v>697</v>
      </c>
      <c r="T45" t="s">
        <v>698</v>
      </c>
      <c r="U45" t="s">
        <v>1393</v>
      </c>
    </row>
    <row r="46" spans="1:21" ht="14.25" x14ac:dyDescent="0.2">
      <c r="A46" t="s">
        <v>1351</v>
      </c>
      <c r="B46" t="s">
        <v>1371</v>
      </c>
      <c r="C46" t="s">
        <v>643</v>
      </c>
      <c r="D46" t="s">
        <v>463</v>
      </c>
      <c r="E46" t="s">
        <v>737</v>
      </c>
      <c r="F46" t="s">
        <v>709</v>
      </c>
      <c r="G46" t="s">
        <v>16</v>
      </c>
      <c r="H46" t="s">
        <v>1390</v>
      </c>
      <c r="I46" t="s">
        <v>727</v>
      </c>
      <c r="J46" t="s">
        <v>1396</v>
      </c>
      <c r="K46" t="s">
        <v>673</v>
      </c>
      <c r="L46" t="s">
        <v>1397</v>
      </c>
      <c r="M46" t="s">
        <v>1386</v>
      </c>
      <c r="N46" t="s">
        <v>639</v>
      </c>
      <c r="O46" t="s">
        <v>731</v>
      </c>
      <c r="P46" t="s">
        <v>673</v>
      </c>
      <c r="Q46" t="s">
        <v>713</v>
      </c>
      <c r="R46" t="s">
        <v>696</v>
      </c>
      <c r="S46" t="s">
        <v>697</v>
      </c>
      <c r="T46" t="s">
        <v>698</v>
      </c>
      <c r="U46" t="s">
        <v>1390</v>
      </c>
    </row>
    <row r="47" spans="1:21" ht="14.25" x14ac:dyDescent="0.2">
      <c r="A47" t="s">
        <v>1351</v>
      </c>
      <c r="B47" t="s">
        <v>1371</v>
      </c>
      <c r="C47" t="s">
        <v>643</v>
      </c>
      <c r="D47" t="s">
        <v>463</v>
      </c>
      <c r="E47" t="s">
        <v>737</v>
      </c>
      <c r="F47" t="s">
        <v>709</v>
      </c>
      <c r="G47" t="s">
        <v>16</v>
      </c>
      <c r="H47" t="s">
        <v>1390</v>
      </c>
      <c r="I47" t="s">
        <v>727</v>
      </c>
      <c r="J47" t="s">
        <v>1396</v>
      </c>
      <c r="K47" t="s">
        <v>673</v>
      </c>
      <c r="L47" t="s">
        <v>1397</v>
      </c>
      <c r="M47" t="s">
        <v>1386</v>
      </c>
      <c r="N47" t="s">
        <v>639</v>
      </c>
      <c r="O47" t="s">
        <v>731</v>
      </c>
      <c r="P47" t="s">
        <v>673</v>
      </c>
      <c r="Q47" t="s">
        <v>713</v>
      </c>
      <c r="R47" t="s">
        <v>721</v>
      </c>
      <c r="S47" t="s">
        <v>929</v>
      </c>
      <c r="T47" t="s">
        <v>676</v>
      </c>
      <c r="U47" t="s">
        <v>1390</v>
      </c>
    </row>
    <row r="48" spans="1:21" ht="14.25" x14ac:dyDescent="0.2">
      <c r="A48" t="s">
        <v>1351</v>
      </c>
      <c r="B48" t="s">
        <v>1352</v>
      </c>
      <c r="C48" t="s">
        <v>643</v>
      </c>
      <c r="D48" t="s">
        <v>476</v>
      </c>
      <c r="E48" t="s">
        <v>767</v>
      </c>
      <c r="F48" t="s">
        <v>649</v>
      </c>
      <c r="G48" t="s">
        <v>16</v>
      </c>
      <c r="H48" t="s">
        <v>1361</v>
      </c>
      <c r="I48" t="s">
        <v>692</v>
      </c>
      <c r="J48" t="s">
        <v>1365</v>
      </c>
      <c r="K48" t="s">
        <v>673</v>
      </c>
      <c r="L48" t="s">
        <v>1365</v>
      </c>
      <c r="M48" t="s">
        <v>1439</v>
      </c>
      <c r="N48" t="s">
        <v>639</v>
      </c>
      <c r="O48" t="s">
        <v>692</v>
      </c>
      <c r="P48" t="s">
        <v>673</v>
      </c>
      <c r="Q48" t="s">
        <v>700</v>
      </c>
      <c r="R48" t="s">
        <v>657</v>
      </c>
      <c r="S48" t="s">
        <v>657</v>
      </c>
      <c r="T48" t="s">
        <v>658</v>
      </c>
      <c r="U48" t="s">
        <v>1361</v>
      </c>
    </row>
    <row r="49" spans="1:21" ht="14.25" x14ac:dyDescent="0.2">
      <c r="A49" t="s">
        <v>1351</v>
      </c>
      <c r="B49" t="s">
        <v>1352</v>
      </c>
      <c r="C49" t="s">
        <v>643</v>
      </c>
      <c r="D49" t="s">
        <v>476</v>
      </c>
      <c r="E49" t="s">
        <v>767</v>
      </c>
      <c r="F49" t="s">
        <v>649</v>
      </c>
      <c r="G49" t="s">
        <v>16</v>
      </c>
      <c r="H49" t="s">
        <v>1361</v>
      </c>
      <c r="I49" t="s">
        <v>692</v>
      </c>
      <c r="J49" t="s">
        <v>1365</v>
      </c>
      <c r="K49" t="s">
        <v>673</v>
      </c>
      <c r="L49" t="s">
        <v>1365</v>
      </c>
      <c r="M49" t="s">
        <v>1439</v>
      </c>
      <c r="N49" t="s">
        <v>639</v>
      </c>
      <c r="O49" t="s">
        <v>692</v>
      </c>
      <c r="P49" t="s">
        <v>673</v>
      </c>
      <c r="Q49" t="s">
        <v>700</v>
      </c>
      <c r="R49" t="s">
        <v>696</v>
      </c>
      <c r="S49" t="s">
        <v>697</v>
      </c>
      <c r="T49" t="s">
        <v>698</v>
      </c>
      <c r="U49" t="s">
        <v>1361</v>
      </c>
    </row>
    <row r="50" spans="1:21" ht="14.25" x14ac:dyDescent="0.2">
      <c r="A50" t="s">
        <v>1351</v>
      </c>
      <c r="B50" t="s">
        <v>1371</v>
      </c>
      <c r="C50" t="s">
        <v>643</v>
      </c>
      <c r="D50" t="s">
        <v>162</v>
      </c>
      <c r="E50" t="s">
        <v>738</v>
      </c>
      <c r="F50" t="s">
        <v>649</v>
      </c>
      <c r="G50" t="s">
        <v>16</v>
      </c>
      <c r="H50" t="s">
        <v>1398</v>
      </c>
      <c r="I50" t="s">
        <v>727</v>
      </c>
      <c r="J50" t="s">
        <v>1399</v>
      </c>
      <c r="K50" t="s">
        <v>673</v>
      </c>
      <c r="L50" t="s">
        <v>1400</v>
      </c>
      <c r="M50" t="s">
        <v>1401</v>
      </c>
      <c r="N50" t="s">
        <v>639</v>
      </c>
      <c r="O50" t="s">
        <v>739</v>
      </c>
      <c r="P50" t="s">
        <v>673</v>
      </c>
      <c r="Q50" t="s">
        <v>713</v>
      </c>
      <c r="R50" t="s">
        <v>740</v>
      </c>
      <c r="S50" t="s">
        <v>649</v>
      </c>
      <c r="T50" t="s">
        <v>676</v>
      </c>
      <c r="U50" t="s">
        <v>1398</v>
      </c>
    </row>
    <row r="51" spans="1:21" ht="14.25" x14ac:dyDescent="0.2">
      <c r="A51" t="s">
        <v>1351</v>
      </c>
      <c r="B51" t="s">
        <v>1371</v>
      </c>
      <c r="C51" t="s">
        <v>643</v>
      </c>
      <c r="D51" t="s">
        <v>489</v>
      </c>
      <c r="E51" t="s">
        <v>741</v>
      </c>
      <c r="F51" t="s">
        <v>636</v>
      </c>
      <c r="G51" t="s">
        <v>16</v>
      </c>
      <c r="H51" t="s">
        <v>1402</v>
      </c>
      <c r="I51" t="s">
        <v>673</v>
      </c>
      <c r="J51" t="s">
        <v>1403</v>
      </c>
      <c r="K51" t="s">
        <v>656</v>
      </c>
      <c r="L51" t="s">
        <v>1403</v>
      </c>
      <c r="M51" t="s">
        <v>1404</v>
      </c>
      <c r="N51" t="s">
        <v>639</v>
      </c>
      <c r="O51" t="s">
        <v>739</v>
      </c>
      <c r="P51" t="s">
        <v>673</v>
      </c>
      <c r="Q51" t="s">
        <v>695</v>
      </c>
      <c r="R51" t="s">
        <v>742</v>
      </c>
      <c r="S51" t="s">
        <v>743</v>
      </c>
      <c r="T51" t="s">
        <v>676</v>
      </c>
      <c r="U51" t="s">
        <v>1402</v>
      </c>
    </row>
    <row r="52" spans="1:21" ht="14.25" x14ac:dyDescent="0.2">
      <c r="A52" t="s">
        <v>1351</v>
      </c>
      <c r="B52" t="s">
        <v>1371</v>
      </c>
      <c r="C52" t="s">
        <v>643</v>
      </c>
      <c r="D52" t="s">
        <v>199</v>
      </c>
      <c r="E52" t="s">
        <v>744</v>
      </c>
      <c r="F52" t="s">
        <v>649</v>
      </c>
      <c r="G52" t="s">
        <v>16</v>
      </c>
      <c r="H52" t="s">
        <v>1405</v>
      </c>
      <c r="I52" t="s">
        <v>692</v>
      </c>
      <c r="J52" t="s">
        <v>1406</v>
      </c>
      <c r="K52" t="s">
        <v>673</v>
      </c>
      <c r="L52" t="s">
        <v>1407</v>
      </c>
      <c r="M52" t="s">
        <v>1408</v>
      </c>
      <c r="N52" t="s">
        <v>639</v>
      </c>
      <c r="O52" t="s">
        <v>724</v>
      </c>
      <c r="P52" t="s">
        <v>673</v>
      </c>
      <c r="Q52" t="s">
        <v>713</v>
      </c>
      <c r="R52" t="s">
        <v>745</v>
      </c>
      <c r="S52" t="s">
        <v>746</v>
      </c>
      <c r="T52" t="s">
        <v>654</v>
      </c>
      <c r="U52" t="s">
        <v>1405</v>
      </c>
    </row>
    <row r="53" spans="1:21" ht="14.25" x14ac:dyDescent="0.2">
      <c r="A53" t="s">
        <v>1351</v>
      </c>
      <c r="B53" t="s">
        <v>1371</v>
      </c>
      <c r="C53" t="s">
        <v>643</v>
      </c>
      <c r="D53" t="s">
        <v>199</v>
      </c>
      <c r="E53" t="s">
        <v>744</v>
      </c>
      <c r="F53" t="s">
        <v>649</v>
      </c>
      <c r="G53" t="s">
        <v>16</v>
      </c>
      <c r="H53" t="s">
        <v>1405</v>
      </c>
      <c r="I53" t="s">
        <v>692</v>
      </c>
      <c r="J53" t="s">
        <v>1406</v>
      </c>
      <c r="K53" t="s">
        <v>673</v>
      </c>
      <c r="L53" t="s">
        <v>1407</v>
      </c>
      <c r="M53" t="s">
        <v>1408</v>
      </c>
      <c r="N53" t="s">
        <v>639</v>
      </c>
      <c r="O53" t="s">
        <v>724</v>
      </c>
      <c r="P53" t="s">
        <v>673</v>
      </c>
      <c r="Q53" t="s">
        <v>713</v>
      </c>
      <c r="R53" t="s">
        <v>657</v>
      </c>
      <c r="S53" t="s">
        <v>657</v>
      </c>
      <c r="T53" t="s">
        <v>654</v>
      </c>
      <c r="U53" t="s">
        <v>1405</v>
      </c>
    </row>
    <row r="54" spans="1:21" ht="14.25" x14ac:dyDescent="0.2">
      <c r="A54" t="s">
        <v>1351</v>
      </c>
      <c r="B54" t="s">
        <v>1371</v>
      </c>
      <c r="C54" t="s">
        <v>643</v>
      </c>
      <c r="D54" t="s">
        <v>199</v>
      </c>
      <c r="E54" t="s">
        <v>744</v>
      </c>
      <c r="F54" t="s">
        <v>649</v>
      </c>
      <c r="G54" t="s">
        <v>16</v>
      </c>
      <c r="H54" t="s">
        <v>1405</v>
      </c>
      <c r="I54" t="s">
        <v>692</v>
      </c>
      <c r="J54" t="s">
        <v>1406</v>
      </c>
      <c r="K54" t="s">
        <v>673</v>
      </c>
      <c r="L54" t="s">
        <v>1407</v>
      </c>
      <c r="M54" t="s">
        <v>1408</v>
      </c>
      <c r="N54" t="s">
        <v>639</v>
      </c>
      <c r="O54" t="s">
        <v>724</v>
      </c>
      <c r="P54" t="s">
        <v>673</v>
      </c>
      <c r="Q54" t="s">
        <v>713</v>
      </c>
      <c r="R54" t="s">
        <v>696</v>
      </c>
      <c r="S54" t="s">
        <v>697</v>
      </c>
      <c r="T54" t="s">
        <v>698</v>
      </c>
      <c r="U54" t="s">
        <v>1405</v>
      </c>
    </row>
    <row r="55" spans="1:21" ht="14.25" x14ac:dyDescent="0.2">
      <c r="A55" t="s">
        <v>1351</v>
      </c>
      <c r="B55" t="s">
        <v>1371</v>
      </c>
      <c r="C55" t="s">
        <v>643</v>
      </c>
      <c r="D55" t="s">
        <v>199</v>
      </c>
      <c r="E55" t="s">
        <v>744</v>
      </c>
      <c r="F55" t="s">
        <v>649</v>
      </c>
      <c r="G55" t="s">
        <v>16</v>
      </c>
      <c r="H55" t="s">
        <v>1405</v>
      </c>
      <c r="I55" t="s">
        <v>692</v>
      </c>
      <c r="J55" t="s">
        <v>1406</v>
      </c>
      <c r="K55" t="s">
        <v>673</v>
      </c>
      <c r="L55" t="s">
        <v>1407</v>
      </c>
      <c r="M55" t="s">
        <v>1408</v>
      </c>
      <c r="N55" t="s">
        <v>639</v>
      </c>
      <c r="O55" t="s">
        <v>724</v>
      </c>
      <c r="P55" t="s">
        <v>673</v>
      </c>
      <c r="Q55" t="s">
        <v>713</v>
      </c>
      <c r="R55" t="s">
        <v>743</v>
      </c>
      <c r="S55" t="s">
        <v>2370</v>
      </c>
      <c r="T55" t="s">
        <v>676</v>
      </c>
      <c r="U55" t="s">
        <v>1405</v>
      </c>
    </row>
    <row r="56" spans="1:21" ht="14.25" x14ac:dyDescent="0.2">
      <c r="A56" t="s">
        <v>1351</v>
      </c>
      <c r="B56" t="s">
        <v>1371</v>
      </c>
      <c r="C56" t="s">
        <v>643</v>
      </c>
      <c r="D56" t="s">
        <v>496</v>
      </c>
      <c r="E56" t="s">
        <v>747</v>
      </c>
      <c r="F56" t="s">
        <v>649</v>
      </c>
      <c r="G56" t="s">
        <v>16</v>
      </c>
      <c r="H56" t="s">
        <v>1409</v>
      </c>
      <c r="I56" t="s">
        <v>727</v>
      </c>
      <c r="J56" t="s">
        <v>1410</v>
      </c>
      <c r="K56" t="s">
        <v>673</v>
      </c>
      <c r="L56" t="s">
        <v>1411</v>
      </c>
      <c r="M56" t="s">
        <v>1386</v>
      </c>
      <c r="N56" t="s">
        <v>639</v>
      </c>
      <c r="O56" t="s">
        <v>748</v>
      </c>
      <c r="P56" t="s">
        <v>673</v>
      </c>
      <c r="Q56" t="s">
        <v>713</v>
      </c>
      <c r="R56" t="s">
        <v>721</v>
      </c>
      <c r="S56" t="s">
        <v>725</v>
      </c>
      <c r="T56" t="s">
        <v>676</v>
      </c>
      <c r="U56" t="s">
        <v>1409</v>
      </c>
    </row>
    <row r="57" spans="1:21" ht="14.25" x14ac:dyDescent="0.2">
      <c r="A57" t="s">
        <v>1351</v>
      </c>
      <c r="B57" t="s">
        <v>1371</v>
      </c>
      <c r="C57" t="s">
        <v>643</v>
      </c>
      <c r="D57" t="s">
        <v>496</v>
      </c>
      <c r="E57" t="s">
        <v>747</v>
      </c>
      <c r="F57" t="s">
        <v>649</v>
      </c>
      <c r="G57" t="s">
        <v>16</v>
      </c>
      <c r="H57" t="s">
        <v>1409</v>
      </c>
      <c r="I57" t="s">
        <v>727</v>
      </c>
      <c r="J57" t="s">
        <v>1410</v>
      </c>
      <c r="K57" t="s">
        <v>673</v>
      </c>
      <c r="L57" t="s">
        <v>1411</v>
      </c>
      <c r="M57" t="s">
        <v>1386</v>
      </c>
      <c r="N57" t="s">
        <v>639</v>
      </c>
      <c r="O57" t="s">
        <v>748</v>
      </c>
      <c r="P57" t="s">
        <v>673</v>
      </c>
      <c r="Q57" t="s">
        <v>713</v>
      </c>
      <c r="R57" t="s">
        <v>959</v>
      </c>
      <c r="S57" t="s">
        <v>2371</v>
      </c>
      <c r="T57" t="s">
        <v>676</v>
      </c>
      <c r="U57" t="s">
        <v>1409</v>
      </c>
    </row>
    <row r="58" spans="1:21" ht="14.25" x14ac:dyDescent="0.2">
      <c r="A58" t="s">
        <v>1351</v>
      </c>
      <c r="B58" t="s">
        <v>1371</v>
      </c>
      <c r="C58" t="s">
        <v>643</v>
      </c>
      <c r="D58" t="s">
        <v>254</v>
      </c>
      <c r="E58" t="s">
        <v>749</v>
      </c>
      <c r="F58" t="s">
        <v>649</v>
      </c>
      <c r="G58" t="s">
        <v>16</v>
      </c>
      <c r="H58" t="s">
        <v>1412</v>
      </c>
      <c r="I58" t="s">
        <v>673</v>
      </c>
      <c r="J58" t="s">
        <v>1413</v>
      </c>
      <c r="K58" t="s">
        <v>656</v>
      </c>
      <c r="L58" t="s">
        <v>1413</v>
      </c>
      <c r="M58" t="s">
        <v>1414</v>
      </c>
      <c r="N58" t="s">
        <v>639</v>
      </c>
      <c r="O58" t="s">
        <v>673</v>
      </c>
      <c r="P58" t="s">
        <v>656</v>
      </c>
      <c r="Q58" t="s">
        <v>695</v>
      </c>
      <c r="R58" t="s">
        <v>696</v>
      </c>
      <c r="S58" t="s">
        <v>697</v>
      </c>
      <c r="T58" t="s">
        <v>698</v>
      </c>
      <c r="U58" t="s">
        <v>1412</v>
      </c>
    </row>
    <row r="59" spans="1:21" ht="14.25" x14ac:dyDescent="0.2">
      <c r="A59" t="s">
        <v>1351</v>
      </c>
      <c r="B59" t="s">
        <v>1371</v>
      </c>
      <c r="C59" t="s">
        <v>643</v>
      </c>
      <c r="D59" t="s">
        <v>279</v>
      </c>
      <c r="E59" t="s">
        <v>750</v>
      </c>
      <c r="F59" t="s">
        <v>636</v>
      </c>
      <c r="G59" t="s">
        <v>16</v>
      </c>
      <c r="H59" t="s">
        <v>1412</v>
      </c>
      <c r="I59" t="s">
        <v>673</v>
      </c>
      <c r="J59" t="s">
        <v>1413</v>
      </c>
      <c r="K59" t="s">
        <v>656</v>
      </c>
      <c r="L59" t="s">
        <v>1413</v>
      </c>
      <c r="M59" t="s">
        <v>1415</v>
      </c>
      <c r="N59" t="s">
        <v>639</v>
      </c>
      <c r="O59" t="s">
        <v>673</v>
      </c>
      <c r="P59" t="s">
        <v>656</v>
      </c>
      <c r="Q59" t="s">
        <v>695</v>
      </c>
      <c r="R59" t="s">
        <v>643</v>
      </c>
      <c r="S59" t="s">
        <v>643</v>
      </c>
      <c r="T59" t="s">
        <v>643</v>
      </c>
      <c r="U59" t="s">
        <v>1412</v>
      </c>
    </row>
    <row r="60" spans="1:21" ht="14.25" x14ac:dyDescent="0.2">
      <c r="A60" t="s">
        <v>1351</v>
      </c>
      <c r="B60" t="s">
        <v>1371</v>
      </c>
      <c r="C60" t="s">
        <v>643</v>
      </c>
      <c r="D60" t="s">
        <v>505</v>
      </c>
      <c r="E60" t="s">
        <v>751</v>
      </c>
      <c r="F60" t="s">
        <v>649</v>
      </c>
      <c r="G60" t="s">
        <v>16</v>
      </c>
      <c r="H60" t="s">
        <v>1416</v>
      </c>
      <c r="I60" t="s">
        <v>727</v>
      </c>
      <c r="J60" t="s">
        <v>1417</v>
      </c>
      <c r="K60" t="s">
        <v>673</v>
      </c>
      <c r="L60" t="s">
        <v>1418</v>
      </c>
      <c r="M60" t="s">
        <v>1386</v>
      </c>
      <c r="N60" t="s">
        <v>639</v>
      </c>
      <c r="O60" t="s">
        <v>728</v>
      </c>
      <c r="P60" t="s">
        <v>673</v>
      </c>
      <c r="Q60" t="s">
        <v>713</v>
      </c>
      <c r="R60" t="s">
        <v>721</v>
      </c>
      <c r="S60" t="s">
        <v>729</v>
      </c>
      <c r="T60" t="s">
        <v>676</v>
      </c>
      <c r="U60" t="s">
        <v>1416</v>
      </c>
    </row>
    <row r="61" spans="1:21" ht="14.25" x14ac:dyDescent="0.2">
      <c r="A61" t="s">
        <v>1351</v>
      </c>
      <c r="B61" t="s">
        <v>1371</v>
      </c>
      <c r="C61" t="s">
        <v>643</v>
      </c>
      <c r="D61" t="s">
        <v>507</v>
      </c>
      <c r="E61" t="s">
        <v>752</v>
      </c>
      <c r="F61" t="s">
        <v>636</v>
      </c>
      <c r="G61" t="s">
        <v>16</v>
      </c>
      <c r="H61" t="s">
        <v>1416</v>
      </c>
      <c r="I61" t="s">
        <v>673</v>
      </c>
      <c r="J61" t="s">
        <v>1419</v>
      </c>
      <c r="K61" t="s">
        <v>656</v>
      </c>
      <c r="L61" t="s">
        <v>1419</v>
      </c>
      <c r="M61" t="s">
        <v>1420</v>
      </c>
      <c r="N61" t="s">
        <v>639</v>
      </c>
      <c r="O61" t="s">
        <v>673</v>
      </c>
      <c r="P61" t="s">
        <v>656</v>
      </c>
      <c r="Q61" t="s">
        <v>695</v>
      </c>
      <c r="R61" t="s">
        <v>643</v>
      </c>
      <c r="S61" t="s">
        <v>643</v>
      </c>
      <c r="T61" t="s">
        <v>643</v>
      </c>
      <c r="U61" t="s">
        <v>1416</v>
      </c>
    </row>
    <row r="62" spans="1:21" ht="14.25" x14ac:dyDescent="0.2">
      <c r="A62" t="s">
        <v>1351</v>
      </c>
      <c r="B62" t="s">
        <v>1371</v>
      </c>
      <c r="C62" t="s">
        <v>643</v>
      </c>
      <c r="D62" t="s">
        <v>519</v>
      </c>
      <c r="E62" t="s">
        <v>761</v>
      </c>
      <c r="F62" t="s">
        <v>649</v>
      </c>
      <c r="G62" t="s">
        <v>16</v>
      </c>
      <c r="H62" t="s">
        <v>1430</v>
      </c>
      <c r="I62" t="s">
        <v>692</v>
      </c>
      <c r="J62" t="s">
        <v>1431</v>
      </c>
      <c r="K62" t="s">
        <v>673</v>
      </c>
      <c r="L62" t="s">
        <v>1432</v>
      </c>
      <c r="M62" t="s">
        <v>1433</v>
      </c>
      <c r="N62" t="s">
        <v>639</v>
      </c>
      <c r="O62" t="s">
        <v>692</v>
      </c>
      <c r="P62" t="s">
        <v>673</v>
      </c>
      <c r="Q62" t="s">
        <v>700</v>
      </c>
      <c r="R62" t="s">
        <v>652</v>
      </c>
      <c r="S62" t="s">
        <v>762</v>
      </c>
      <c r="T62" t="s">
        <v>654</v>
      </c>
      <c r="U62" t="s">
        <v>1430</v>
      </c>
    </row>
    <row r="63" spans="1:21" ht="14.25" x14ac:dyDescent="0.2">
      <c r="A63" t="s">
        <v>1351</v>
      </c>
      <c r="B63" t="s">
        <v>1371</v>
      </c>
      <c r="C63" t="s">
        <v>643</v>
      </c>
      <c r="D63" t="s">
        <v>519</v>
      </c>
      <c r="E63" t="s">
        <v>761</v>
      </c>
      <c r="F63" t="s">
        <v>649</v>
      </c>
      <c r="G63" t="s">
        <v>16</v>
      </c>
      <c r="H63" t="s">
        <v>1430</v>
      </c>
      <c r="I63" t="s">
        <v>692</v>
      </c>
      <c r="J63" t="s">
        <v>1431</v>
      </c>
      <c r="K63" t="s">
        <v>673</v>
      </c>
      <c r="L63" t="s">
        <v>1432</v>
      </c>
      <c r="M63" t="s">
        <v>1433</v>
      </c>
      <c r="N63" t="s">
        <v>639</v>
      </c>
      <c r="O63" t="s">
        <v>692</v>
      </c>
      <c r="P63" t="s">
        <v>673</v>
      </c>
      <c r="Q63" t="s">
        <v>700</v>
      </c>
      <c r="R63" t="s">
        <v>696</v>
      </c>
      <c r="S63" t="s">
        <v>697</v>
      </c>
      <c r="T63" t="s">
        <v>698</v>
      </c>
      <c r="U63" t="s">
        <v>1430</v>
      </c>
    </row>
    <row r="64" spans="1:21" ht="14.25" x14ac:dyDescent="0.2">
      <c r="A64" t="s">
        <v>1351</v>
      </c>
      <c r="B64" t="s">
        <v>1371</v>
      </c>
      <c r="C64" t="s">
        <v>643</v>
      </c>
      <c r="D64" t="s">
        <v>520</v>
      </c>
      <c r="E64" t="s">
        <v>763</v>
      </c>
      <c r="F64" t="s">
        <v>636</v>
      </c>
      <c r="G64" t="s">
        <v>16</v>
      </c>
      <c r="H64" t="s">
        <v>1430</v>
      </c>
      <c r="I64" t="s">
        <v>673</v>
      </c>
      <c r="J64" t="s">
        <v>1434</v>
      </c>
      <c r="K64" t="s">
        <v>656</v>
      </c>
      <c r="L64" t="s">
        <v>1434</v>
      </c>
      <c r="M64" t="s">
        <v>1435</v>
      </c>
      <c r="N64" t="s">
        <v>639</v>
      </c>
      <c r="O64" t="s">
        <v>673</v>
      </c>
      <c r="P64" t="s">
        <v>656</v>
      </c>
      <c r="Q64" t="s">
        <v>695</v>
      </c>
      <c r="R64" t="s">
        <v>742</v>
      </c>
      <c r="S64" t="s">
        <v>743</v>
      </c>
      <c r="T64" t="s">
        <v>676</v>
      </c>
      <c r="U64" t="s">
        <v>1430</v>
      </c>
    </row>
    <row r="65" spans="1:21" ht="14.25" x14ac:dyDescent="0.2">
      <c r="A65" t="s">
        <v>1351</v>
      </c>
      <c r="B65" t="s">
        <v>1371</v>
      </c>
      <c r="C65" t="s">
        <v>643</v>
      </c>
      <c r="D65" t="s">
        <v>765</v>
      </c>
      <c r="E65" t="s">
        <v>764</v>
      </c>
      <c r="F65" t="s">
        <v>649</v>
      </c>
      <c r="G65" t="s">
        <v>16</v>
      </c>
      <c r="H65" t="s">
        <v>1436</v>
      </c>
      <c r="I65" t="s">
        <v>718</v>
      </c>
      <c r="J65" t="s">
        <v>2477</v>
      </c>
      <c r="K65" t="s">
        <v>673</v>
      </c>
      <c r="L65" t="s">
        <v>1437</v>
      </c>
      <c r="M65" t="s">
        <v>1383</v>
      </c>
      <c r="N65" t="s">
        <v>687</v>
      </c>
      <c r="O65" t="s">
        <v>720</v>
      </c>
      <c r="P65" t="s">
        <v>673</v>
      </c>
      <c r="Q65" t="s">
        <v>713</v>
      </c>
      <c r="R65" t="s">
        <v>721</v>
      </c>
      <c r="S65" t="s">
        <v>725</v>
      </c>
      <c r="T65" t="s">
        <v>676</v>
      </c>
      <c r="U65" t="s">
        <v>1436</v>
      </c>
    </row>
    <row r="66" spans="1:21" ht="14.25" x14ac:dyDescent="0.2">
      <c r="A66" t="s">
        <v>1351</v>
      </c>
      <c r="B66" t="s">
        <v>1371</v>
      </c>
      <c r="C66" t="s">
        <v>643</v>
      </c>
      <c r="D66" t="s">
        <v>765</v>
      </c>
      <c r="E66" t="s">
        <v>764</v>
      </c>
      <c r="F66" t="s">
        <v>649</v>
      </c>
      <c r="G66" t="s">
        <v>16</v>
      </c>
      <c r="H66" t="s">
        <v>1436</v>
      </c>
      <c r="I66" t="s">
        <v>718</v>
      </c>
      <c r="J66" t="s">
        <v>2477</v>
      </c>
      <c r="K66" t="s">
        <v>673</v>
      </c>
      <c r="L66" t="s">
        <v>1437</v>
      </c>
      <c r="M66" t="s">
        <v>1383</v>
      </c>
      <c r="N66" t="s">
        <v>687</v>
      </c>
      <c r="O66" t="s">
        <v>720</v>
      </c>
      <c r="P66" t="s">
        <v>673</v>
      </c>
      <c r="Q66" t="s">
        <v>713</v>
      </c>
      <c r="R66" t="s">
        <v>959</v>
      </c>
      <c r="S66" t="s">
        <v>2371</v>
      </c>
      <c r="T66" t="s">
        <v>676</v>
      </c>
      <c r="U66" t="s">
        <v>1436</v>
      </c>
    </row>
    <row r="67" spans="1:21" ht="14.25" x14ac:dyDescent="0.2">
      <c r="A67" t="s">
        <v>1351</v>
      </c>
      <c r="B67" t="s">
        <v>1371</v>
      </c>
      <c r="C67" t="s">
        <v>643</v>
      </c>
      <c r="D67" t="s">
        <v>765</v>
      </c>
      <c r="E67" t="s">
        <v>764</v>
      </c>
      <c r="F67" t="s">
        <v>649</v>
      </c>
      <c r="G67" t="s">
        <v>16</v>
      </c>
      <c r="H67" t="s">
        <v>1436</v>
      </c>
      <c r="I67" t="s">
        <v>718</v>
      </c>
      <c r="J67" t="s">
        <v>2477</v>
      </c>
      <c r="K67" t="s">
        <v>673</v>
      </c>
      <c r="L67" t="s">
        <v>1437</v>
      </c>
      <c r="M67" t="s">
        <v>1383</v>
      </c>
      <c r="N67" t="s">
        <v>687</v>
      </c>
      <c r="O67" t="s">
        <v>720</v>
      </c>
      <c r="P67" t="s">
        <v>673</v>
      </c>
      <c r="Q67" t="s">
        <v>713</v>
      </c>
      <c r="R67" t="s">
        <v>721</v>
      </c>
      <c r="S67" t="s">
        <v>2372</v>
      </c>
      <c r="T67" t="s">
        <v>676</v>
      </c>
      <c r="U67" t="s">
        <v>1436</v>
      </c>
    </row>
    <row r="68" spans="1:21" ht="14.25" x14ac:dyDescent="0.2">
      <c r="A68" t="s">
        <v>1351</v>
      </c>
      <c r="B68" t="s">
        <v>1371</v>
      </c>
      <c r="C68" t="s">
        <v>643</v>
      </c>
      <c r="D68" t="s">
        <v>765</v>
      </c>
      <c r="E68" t="s">
        <v>764</v>
      </c>
      <c r="F68" t="s">
        <v>649</v>
      </c>
      <c r="G68" t="s">
        <v>16</v>
      </c>
      <c r="H68" t="s">
        <v>1436</v>
      </c>
      <c r="I68" t="s">
        <v>718</v>
      </c>
      <c r="J68" t="s">
        <v>2477</v>
      </c>
      <c r="K68" t="s">
        <v>673</v>
      </c>
      <c r="L68" t="s">
        <v>1437</v>
      </c>
      <c r="M68" t="s">
        <v>1383</v>
      </c>
      <c r="N68" t="s">
        <v>687</v>
      </c>
      <c r="O68" t="s">
        <v>720</v>
      </c>
      <c r="P68" t="s">
        <v>673</v>
      </c>
      <c r="Q68" t="s">
        <v>713</v>
      </c>
      <c r="R68" t="s">
        <v>721</v>
      </c>
      <c r="S68" t="s">
        <v>2373</v>
      </c>
      <c r="T68" t="s">
        <v>676</v>
      </c>
      <c r="U68" t="s">
        <v>1436</v>
      </c>
    </row>
    <row r="69" spans="1:21" ht="14.25" x14ac:dyDescent="0.2">
      <c r="A69" t="s">
        <v>1351</v>
      </c>
      <c r="B69" t="s">
        <v>1371</v>
      </c>
      <c r="C69" t="s">
        <v>643</v>
      </c>
      <c r="D69" t="s">
        <v>765</v>
      </c>
      <c r="E69" t="s">
        <v>764</v>
      </c>
      <c r="F69" t="s">
        <v>649</v>
      </c>
      <c r="G69" t="s">
        <v>16</v>
      </c>
      <c r="H69" t="s">
        <v>1436</v>
      </c>
      <c r="I69" t="s">
        <v>718</v>
      </c>
      <c r="J69" t="s">
        <v>2477</v>
      </c>
      <c r="K69" t="s">
        <v>673</v>
      </c>
      <c r="L69" t="s">
        <v>1437</v>
      </c>
      <c r="M69" t="s">
        <v>1383</v>
      </c>
      <c r="N69" t="s">
        <v>687</v>
      </c>
      <c r="O69" t="s">
        <v>720</v>
      </c>
      <c r="P69" t="s">
        <v>673</v>
      </c>
      <c r="Q69" t="s">
        <v>713</v>
      </c>
      <c r="R69" t="s">
        <v>830</v>
      </c>
      <c r="S69" t="s">
        <v>2374</v>
      </c>
      <c r="T69" t="s">
        <v>676</v>
      </c>
      <c r="U69" t="s">
        <v>1436</v>
      </c>
    </row>
    <row r="70" spans="1:21" ht="14.25" x14ac:dyDescent="0.2">
      <c r="A70" t="s">
        <v>1351</v>
      </c>
      <c r="B70" t="s">
        <v>1371</v>
      </c>
      <c r="C70" t="s">
        <v>643</v>
      </c>
      <c r="D70" t="s">
        <v>769</v>
      </c>
      <c r="E70" t="s">
        <v>768</v>
      </c>
      <c r="F70" t="s">
        <v>649</v>
      </c>
      <c r="G70" t="s">
        <v>16</v>
      </c>
      <c r="H70" t="s">
        <v>1440</v>
      </c>
      <c r="I70" t="s">
        <v>727</v>
      </c>
      <c r="J70" t="s">
        <v>1441</v>
      </c>
      <c r="K70" t="s">
        <v>673</v>
      </c>
      <c r="L70" t="s">
        <v>1442</v>
      </c>
      <c r="M70" t="s">
        <v>1386</v>
      </c>
      <c r="N70" t="s">
        <v>639</v>
      </c>
      <c r="O70" t="s">
        <v>731</v>
      </c>
      <c r="P70" t="s">
        <v>673</v>
      </c>
      <c r="Q70" t="s">
        <v>713</v>
      </c>
      <c r="R70" t="s">
        <v>721</v>
      </c>
      <c r="S70" t="s">
        <v>725</v>
      </c>
      <c r="T70" t="s">
        <v>676</v>
      </c>
      <c r="U70" t="s">
        <v>1440</v>
      </c>
    </row>
    <row r="71" spans="1:21" ht="14.25" x14ac:dyDescent="0.2">
      <c r="A71" t="s">
        <v>1351</v>
      </c>
      <c r="B71" t="s">
        <v>1371</v>
      </c>
      <c r="C71" t="s">
        <v>643</v>
      </c>
      <c r="D71" t="s">
        <v>769</v>
      </c>
      <c r="E71" t="s">
        <v>768</v>
      </c>
      <c r="F71" t="s">
        <v>649</v>
      </c>
      <c r="G71" t="s">
        <v>16</v>
      </c>
      <c r="H71" t="s">
        <v>1440</v>
      </c>
      <c r="I71" t="s">
        <v>727</v>
      </c>
      <c r="J71" t="s">
        <v>1441</v>
      </c>
      <c r="K71" t="s">
        <v>673</v>
      </c>
      <c r="L71" t="s">
        <v>1442</v>
      </c>
      <c r="M71" t="s">
        <v>1386</v>
      </c>
      <c r="N71" t="s">
        <v>639</v>
      </c>
      <c r="O71" t="s">
        <v>731</v>
      </c>
      <c r="P71" t="s">
        <v>673</v>
      </c>
      <c r="Q71" t="s">
        <v>713</v>
      </c>
      <c r="R71" t="s">
        <v>959</v>
      </c>
      <c r="S71" t="s">
        <v>2371</v>
      </c>
      <c r="T71" t="s">
        <v>676</v>
      </c>
      <c r="U71" t="s">
        <v>1440</v>
      </c>
    </row>
    <row r="72" spans="1:21" ht="14.25" x14ac:dyDescent="0.2">
      <c r="A72" t="s">
        <v>1351</v>
      </c>
      <c r="B72" t="s">
        <v>1371</v>
      </c>
      <c r="C72" t="s">
        <v>643</v>
      </c>
      <c r="D72" t="s">
        <v>769</v>
      </c>
      <c r="E72" t="s">
        <v>768</v>
      </c>
      <c r="F72" t="s">
        <v>649</v>
      </c>
      <c r="G72" t="s">
        <v>16</v>
      </c>
      <c r="H72" t="s">
        <v>1440</v>
      </c>
      <c r="I72" t="s">
        <v>727</v>
      </c>
      <c r="J72" t="s">
        <v>1441</v>
      </c>
      <c r="K72" t="s">
        <v>673</v>
      </c>
      <c r="L72" t="s">
        <v>1442</v>
      </c>
      <c r="M72" t="s">
        <v>1386</v>
      </c>
      <c r="N72" t="s">
        <v>639</v>
      </c>
      <c r="O72" t="s">
        <v>731</v>
      </c>
      <c r="P72" t="s">
        <v>673</v>
      </c>
      <c r="Q72" t="s">
        <v>713</v>
      </c>
      <c r="R72" t="s">
        <v>721</v>
      </c>
      <c r="S72" t="s">
        <v>760</v>
      </c>
      <c r="T72" t="s">
        <v>676</v>
      </c>
      <c r="U72" t="s">
        <v>1440</v>
      </c>
    </row>
    <row r="73" spans="1:21" ht="14.25" x14ac:dyDescent="0.2">
      <c r="A73" t="s">
        <v>1351</v>
      </c>
      <c r="B73" t="s">
        <v>1371</v>
      </c>
      <c r="C73" t="s">
        <v>643</v>
      </c>
      <c r="D73" t="s">
        <v>769</v>
      </c>
      <c r="E73" t="s">
        <v>768</v>
      </c>
      <c r="F73" t="s">
        <v>649</v>
      </c>
      <c r="G73" t="s">
        <v>16</v>
      </c>
      <c r="H73" t="s">
        <v>1440</v>
      </c>
      <c r="I73" t="s">
        <v>727</v>
      </c>
      <c r="J73" t="s">
        <v>1441</v>
      </c>
      <c r="K73" t="s">
        <v>673</v>
      </c>
      <c r="L73" t="s">
        <v>1442</v>
      </c>
      <c r="M73" t="s">
        <v>1386</v>
      </c>
      <c r="N73" t="s">
        <v>639</v>
      </c>
      <c r="O73" t="s">
        <v>731</v>
      </c>
      <c r="P73" t="s">
        <v>673</v>
      </c>
      <c r="Q73" t="s">
        <v>713</v>
      </c>
      <c r="R73" t="s">
        <v>721</v>
      </c>
      <c r="S73" t="s">
        <v>841</v>
      </c>
      <c r="T73" t="s">
        <v>676</v>
      </c>
      <c r="U73" t="s">
        <v>1440</v>
      </c>
    </row>
    <row r="74" spans="1:21" ht="14.25" x14ac:dyDescent="0.2">
      <c r="A74" t="s">
        <v>1351</v>
      </c>
      <c r="B74" t="s">
        <v>1371</v>
      </c>
      <c r="C74" t="s">
        <v>643</v>
      </c>
      <c r="D74" t="s">
        <v>523</v>
      </c>
      <c r="E74" t="s">
        <v>832</v>
      </c>
      <c r="F74" t="s">
        <v>636</v>
      </c>
      <c r="G74" t="s">
        <v>16</v>
      </c>
      <c r="H74" t="s">
        <v>1440</v>
      </c>
      <c r="I74" t="s">
        <v>673</v>
      </c>
      <c r="J74" t="s">
        <v>1507</v>
      </c>
      <c r="K74" t="s">
        <v>656</v>
      </c>
      <c r="L74" t="s">
        <v>1507</v>
      </c>
      <c r="M74" t="s">
        <v>1508</v>
      </c>
      <c r="N74" t="s">
        <v>639</v>
      </c>
      <c r="O74" t="s">
        <v>673</v>
      </c>
      <c r="P74" t="s">
        <v>656</v>
      </c>
      <c r="Q74" t="s">
        <v>695</v>
      </c>
      <c r="R74" t="s">
        <v>643</v>
      </c>
      <c r="S74" t="s">
        <v>643</v>
      </c>
      <c r="T74" t="s">
        <v>643</v>
      </c>
      <c r="U74" t="s">
        <v>1440</v>
      </c>
    </row>
    <row r="75" spans="1:21" ht="14.25" x14ac:dyDescent="0.2">
      <c r="A75" t="s">
        <v>1351</v>
      </c>
      <c r="B75" t="s">
        <v>1352</v>
      </c>
      <c r="C75" t="s">
        <v>643</v>
      </c>
      <c r="D75" t="s">
        <v>524</v>
      </c>
      <c r="E75" t="s">
        <v>849</v>
      </c>
      <c r="F75" t="s">
        <v>636</v>
      </c>
      <c r="G75" t="s">
        <v>16</v>
      </c>
      <c r="H75" t="s">
        <v>1528</v>
      </c>
      <c r="I75" t="s">
        <v>692</v>
      </c>
      <c r="J75" t="s">
        <v>1529</v>
      </c>
      <c r="K75" t="s">
        <v>673</v>
      </c>
      <c r="L75" t="s">
        <v>1529</v>
      </c>
      <c r="M75" t="s">
        <v>1439</v>
      </c>
      <c r="N75" t="s">
        <v>639</v>
      </c>
      <c r="O75" t="s">
        <v>692</v>
      </c>
      <c r="P75" t="s">
        <v>673</v>
      </c>
      <c r="Q75" t="s">
        <v>700</v>
      </c>
      <c r="R75" t="s">
        <v>643</v>
      </c>
      <c r="S75" t="s">
        <v>643</v>
      </c>
      <c r="T75" t="s">
        <v>643</v>
      </c>
      <c r="U75" t="s">
        <v>1528</v>
      </c>
    </row>
    <row r="76" spans="1:21" ht="14.25" x14ac:dyDescent="0.2">
      <c r="A76" t="s">
        <v>1351</v>
      </c>
      <c r="B76" t="s">
        <v>1352</v>
      </c>
      <c r="C76" t="s">
        <v>643</v>
      </c>
      <c r="D76" t="s">
        <v>525</v>
      </c>
      <c r="E76" t="s">
        <v>850</v>
      </c>
      <c r="F76" t="s">
        <v>636</v>
      </c>
      <c r="G76" t="s">
        <v>16</v>
      </c>
      <c r="H76" t="s">
        <v>1530</v>
      </c>
      <c r="I76" t="s">
        <v>692</v>
      </c>
      <c r="J76" t="s">
        <v>1531</v>
      </c>
      <c r="K76" t="s">
        <v>673</v>
      </c>
      <c r="L76" t="s">
        <v>1531</v>
      </c>
      <c r="M76" t="s">
        <v>1532</v>
      </c>
      <c r="N76" t="s">
        <v>639</v>
      </c>
      <c r="O76" t="s">
        <v>692</v>
      </c>
      <c r="P76" t="s">
        <v>673</v>
      </c>
      <c r="Q76" t="s">
        <v>700</v>
      </c>
      <c r="R76" t="s">
        <v>643</v>
      </c>
      <c r="S76" t="s">
        <v>643</v>
      </c>
      <c r="T76" t="s">
        <v>643</v>
      </c>
      <c r="U76" t="s">
        <v>1530</v>
      </c>
    </row>
    <row r="77" spans="1:21" ht="14.25" x14ac:dyDescent="0.2">
      <c r="A77" t="s">
        <v>1351</v>
      </c>
      <c r="B77" t="s">
        <v>1352</v>
      </c>
      <c r="C77" t="s">
        <v>643</v>
      </c>
      <c r="D77" t="s">
        <v>526</v>
      </c>
      <c r="E77" t="s">
        <v>851</v>
      </c>
      <c r="F77" t="s">
        <v>636</v>
      </c>
      <c r="G77" t="s">
        <v>16</v>
      </c>
      <c r="H77" t="s">
        <v>1533</v>
      </c>
      <c r="I77" t="s">
        <v>692</v>
      </c>
      <c r="J77" t="s">
        <v>1534</v>
      </c>
      <c r="K77" t="s">
        <v>673</v>
      </c>
      <c r="L77" t="s">
        <v>1534</v>
      </c>
      <c r="M77" t="s">
        <v>1535</v>
      </c>
      <c r="N77" t="s">
        <v>639</v>
      </c>
      <c r="O77" t="s">
        <v>692</v>
      </c>
      <c r="P77" t="s">
        <v>673</v>
      </c>
      <c r="Q77" t="s">
        <v>700</v>
      </c>
      <c r="R77" t="s">
        <v>643</v>
      </c>
      <c r="S77" t="s">
        <v>643</v>
      </c>
      <c r="T77" t="s">
        <v>643</v>
      </c>
      <c r="U77" t="s">
        <v>1533</v>
      </c>
    </row>
    <row r="78" spans="1:21" ht="14.25" x14ac:dyDescent="0.2">
      <c r="A78" t="s">
        <v>1351</v>
      </c>
      <c r="B78" t="s">
        <v>1371</v>
      </c>
      <c r="C78" t="s">
        <v>643</v>
      </c>
      <c r="D78" t="s">
        <v>161</v>
      </c>
      <c r="E78" t="s">
        <v>1117</v>
      </c>
      <c r="F78" t="s">
        <v>649</v>
      </c>
      <c r="G78" t="s">
        <v>27</v>
      </c>
      <c r="H78" t="s">
        <v>1915</v>
      </c>
      <c r="I78" t="s">
        <v>692</v>
      </c>
      <c r="J78" t="s">
        <v>1916</v>
      </c>
      <c r="K78" t="s">
        <v>673</v>
      </c>
      <c r="L78" t="s">
        <v>1917</v>
      </c>
      <c r="M78" t="s">
        <v>1386</v>
      </c>
      <c r="N78" t="s">
        <v>639</v>
      </c>
      <c r="O78" t="s">
        <v>724</v>
      </c>
      <c r="P78" t="s">
        <v>673</v>
      </c>
      <c r="Q78" t="s">
        <v>713</v>
      </c>
      <c r="R78" t="s">
        <v>721</v>
      </c>
      <c r="S78" t="s">
        <v>1118</v>
      </c>
      <c r="T78" t="s">
        <v>676</v>
      </c>
      <c r="U78" t="s">
        <v>1915</v>
      </c>
    </row>
    <row r="79" spans="1:21" ht="14.25" x14ac:dyDescent="0.2">
      <c r="A79" t="s">
        <v>1351</v>
      </c>
      <c r="B79" t="s">
        <v>1352</v>
      </c>
      <c r="C79" t="s">
        <v>643</v>
      </c>
      <c r="D79" t="s">
        <v>116</v>
      </c>
      <c r="E79" t="s">
        <v>992</v>
      </c>
      <c r="F79" t="s">
        <v>636</v>
      </c>
      <c r="G79" t="s">
        <v>925</v>
      </c>
      <c r="H79" t="s">
        <v>1361</v>
      </c>
      <c r="I79" t="s">
        <v>673</v>
      </c>
      <c r="J79" t="s">
        <v>1365</v>
      </c>
      <c r="K79" t="s">
        <v>656</v>
      </c>
      <c r="L79" t="s">
        <v>1365</v>
      </c>
      <c r="M79" t="s">
        <v>1356</v>
      </c>
      <c r="N79" t="s">
        <v>639</v>
      </c>
      <c r="O79" t="s">
        <v>673</v>
      </c>
      <c r="P79" t="s">
        <v>656</v>
      </c>
      <c r="Q79" t="s">
        <v>695</v>
      </c>
      <c r="R79" t="s">
        <v>643</v>
      </c>
      <c r="S79" t="s">
        <v>643</v>
      </c>
      <c r="T79" t="s">
        <v>643</v>
      </c>
      <c r="U79" t="s">
        <v>1361</v>
      </c>
    </row>
    <row r="80" spans="1:21" ht="14.25" x14ac:dyDescent="0.2">
      <c r="A80" t="s">
        <v>1351</v>
      </c>
      <c r="B80" t="s">
        <v>1371</v>
      </c>
      <c r="C80" t="s">
        <v>643</v>
      </c>
      <c r="D80" t="s">
        <v>163</v>
      </c>
      <c r="E80" t="s">
        <v>1164</v>
      </c>
      <c r="F80" t="s">
        <v>636</v>
      </c>
      <c r="G80" t="s">
        <v>37</v>
      </c>
      <c r="H80" t="s">
        <v>1430</v>
      </c>
      <c r="I80" t="s">
        <v>673</v>
      </c>
      <c r="J80" t="s">
        <v>1434</v>
      </c>
      <c r="K80" t="s">
        <v>656</v>
      </c>
      <c r="L80" t="s">
        <v>1434</v>
      </c>
      <c r="M80" t="s">
        <v>1435</v>
      </c>
      <c r="N80" t="s">
        <v>639</v>
      </c>
      <c r="O80" t="s">
        <v>673</v>
      </c>
      <c r="P80" t="s">
        <v>656</v>
      </c>
      <c r="Q80" t="s">
        <v>695</v>
      </c>
      <c r="R80" t="s">
        <v>714</v>
      </c>
      <c r="S80" t="s">
        <v>714</v>
      </c>
      <c r="T80" t="s">
        <v>654</v>
      </c>
      <c r="U80" t="s">
        <v>1430</v>
      </c>
    </row>
    <row r="81" spans="1:21" ht="14.25" x14ac:dyDescent="0.2">
      <c r="A81" t="s">
        <v>1351</v>
      </c>
      <c r="B81" t="s">
        <v>1371</v>
      </c>
      <c r="C81" t="s">
        <v>643</v>
      </c>
      <c r="D81" t="s">
        <v>493</v>
      </c>
      <c r="E81" t="s">
        <v>1165</v>
      </c>
      <c r="F81" t="s">
        <v>649</v>
      </c>
      <c r="G81" t="s">
        <v>37</v>
      </c>
      <c r="H81" t="s">
        <v>1986</v>
      </c>
      <c r="I81" t="s">
        <v>643</v>
      </c>
      <c r="J81" t="s">
        <v>643</v>
      </c>
      <c r="K81" t="s">
        <v>676</v>
      </c>
      <c r="L81" t="s">
        <v>1987</v>
      </c>
      <c r="M81" t="s">
        <v>1566</v>
      </c>
      <c r="N81" t="s">
        <v>639</v>
      </c>
      <c r="O81" t="s">
        <v>673</v>
      </c>
      <c r="P81" t="s">
        <v>656</v>
      </c>
      <c r="Q81" t="s">
        <v>643</v>
      </c>
      <c r="R81" t="s">
        <v>71</v>
      </c>
      <c r="S81" t="s">
        <v>657</v>
      </c>
      <c r="T81" t="s">
        <v>676</v>
      </c>
      <c r="U81" t="s">
        <v>1986</v>
      </c>
    </row>
    <row r="82" spans="1:21" ht="14.25" x14ac:dyDescent="0.2">
      <c r="A82" t="s">
        <v>1351</v>
      </c>
      <c r="B82" t="s">
        <v>1371</v>
      </c>
      <c r="C82" t="s">
        <v>643</v>
      </c>
      <c r="D82" t="s">
        <v>552</v>
      </c>
      <c r="E82" t="s">
        <v>1233</v>
      </c>
      <c r="F82" t="s">
        <v>649</v>
      </c>
      <c r="G82" t="s">
        <v>34</v>
      </c>
      <c r="H82" t="s">
        <v>1430</v>
      </c>
      <c r="I82" t="s">
        <v>692</v>
      </c>
      <c r="J82" t="s">
        <v>2103</v>
      </c>
      <c r="K82" t="s">
        <v>673</v>
      </c>
      <c r="L82" t="s">
        <v>2104</v>
      </c>
      <c r="M82" t="s">
        <v>1433</v>
      </c>
      <c r="N82" t="s">
        <v>639</v>
      </c>
      <c r="O82" t="s">
        <v>692</v>
      </c>
      <c r="P82" t="s">
        <v>673</v>
      </c>
      <c r="Q82" t="s">
        <v>700</v>
      </c>
      <c r="R82" t="s">
        <v>652</v>
      </c>
      <c r="S82" t="s">
        <v>1234</v>
      </c>
      <c r="T82" t="s">
        <v>654</v>
      </c>
      <c r="U82" t="s">
        <v>1430</v>
      </c>
    </row>
    <row r="83" spans="1:21" ht="14.25" x14ac:dyDescent="0.2">
      <c r="A83" t="s">
        <v>1351</v>
      </c>
      <c r="B83" t="s">
        <v>1371</v>
      </c>
      <c r="C83" t="s">
        <v>643</v>
      </c>
      <c r="D83" t="s">
        <v>552</v>
      </c>
      <c r="E83" t="s">
        <v>1233</v>
      </c>
      <c r="F83" t="s">
        <v>649</v>
      </c>
      <c r="G83" t="s">
        <v>34</v>
      </c>
      <c r="H83" t="s">
        <v>1430</v>
      </c>
      <c r="I83" t="s">
        <v>692</v>
      </c>
      <c r="J83" t="s">
        <v>2103</v>
      </c>
      <c r="K83" t="s">
        <v>673</v>
      </c>
      <c r="L83" t="s">
        <v>2104</v>
      </c>
      <c r="M83" t="s">
        <v>1433</v>
      </c>
      <c r="N83" t="s">
        <v>639</v>
      </c>
      <c r="O83" t="s">
        <v>692</v>
      </c>
      <c r="P83" t="s">
        <v>673</v>
      </c>
      <c r="Q83" t="s">
        <v>700</v>
      </c>
      <c r="R83" t="s">
        <v>696</v>
      </c>
      <c r="S83" t="s">
        <v>697</v>
      </c>
      <c r="T83" t="s">
        <v>698</v>
      </c>
      <c r="U83" t="s">
        <v>1430</v>
      </c>
    </row>
    <row r="84" spans="1:21" ht="14.25" x14ac:dyDescent="0.2">
      <c r="A84" t="s">
        <v>1351</v>
      </c>
      <c r="B84" t="s">
        <v>1352</v>
      </c>
      <c r="C84" t="s">
        <v>643</v>
      </c>
      <c r="D84" t="s">
        <v>478</v>
      </c>
      <c r="E84" t="s">
        <v>1278</v>
      </c>
      <c r="F84" t="s">
        <v>636</v>
      </c>
      <c r="G84" t="s">
        <v>34</v>
      </c>
      <c r="H84" t="s">
        <v>1713</v>
      </c>
      <c r="I84" t="s">
        <v>692</v>
      </c>
      <c r="J84" t="s">
        <v>2165</v>
      </c>
      <c r="K84" t="s">
        <v>673</v>
      </c>
      <c r="L84" t="s">
        <v>2165</v>
      </c>
      <c r="M84" t="s">
        <v>1715</v>
      </c>
      <c r="N84" t="s">
        <v>639</v>
      </c>
      <c r="O84" t="s">
        <v>692</v>
      </c>
      <c r="P84" t="s">
        <v>673</v>
      </c>
      <c r="Q84" t="s">
        <v>700</v>
      </c>
      <c r="R84" t="s">
        <v>643</v>
      </c>
      <c r="S84" t="s">
        <v>643</v>
      </c>
      <c r="T84" t="s">
        <v>643</v>
      </c>
      <c r="U84" t="s">
        <v>1713</v>
      </c>
    </row>
    <row r="85" spans="1:21" ht="14.25" x14ac:dyDescent="0.2">
      <c r="A85" t="s">
        <v>1351</v>
      </c>
      <c r="B85" t="s">
        <v>1352</v>
      </c>
      <c r="C85" t="s">
        <v>643</v>
      </c>
      <c r="D85" t="s">
        <v>483</v>
      </c>
      <c r="E85" t="s">
        <v>1283</v>
      </c>
      <c r="F85" t="s">
        <v>636</v>
      </c>
      <c r="G85" t="s">
        <v>34</v>
      </c>
      <c r="H85" t="s">
        <v>1713</v>
      </c>
      <c r="I85" t="s">
        <v>692</v>
      </c>
      <c r="J85" t="s">
        <v>2165</v>
      </c>
      <c r="K85" t="s">
        <v>673</v>
      </c>
      <c r="L85" t="s">
        <v>2165</v>
      </c>
      <c r="M85" t="s">
        <v>1715</v>
      </c>
      <c r="N85" t="s">
        <v>639</v>
      </c>
      <c r="O85" t="s">
        <v>692</v>
      </c>
      <c r="P85" t="s">
        <v>673</v>
      </c>
      <c r="Q85" t="s">
        <v>700</v>
      </c>
      <c r="R85" t="s">
        <v>643</v>
      </c>
      <c r="S85" t="s">
        <v>643</v>
      </c>
      <c r="T85" t="s">
        <v>643</v>
      </c>
      <c r="U85" t="s">
        <v>1713</v>
      </c>
    </row>
    <row r="86" spans="1:21" ht="14.25" x14ac:dyDescent="0.2">
      <c r="A86" t="s">
        <v>1351</v>
      </c>
      <c r="B86" t="s">
        <v>1371</v>
      </c>
      <c r="C86" t="s">
        <v>643</v>
      </c>
      <c r="D86" t="s">
        <v>120</v>
      </c>
      <c r="E86" t="s">
        <v>1238</v>
      </c>
      <c r="F86" t="s">
        <v>649</v>
      </c>
      <c r="G86" t="s">
        <v>40</v>
      </c>
      <c r="H86" t="s">
        <v>2109</v>
      </c>
      <c r="I86" t="s">
        <v>727</v>
      </c>
      <c r="J86" t="s">
        <v>2110</v>
      </c>
      <c r="K86" t="s">
        <v>673</v>
      </c>
      <c r="L86" t="s">
        <v>2111</v>
      </c>
      <c r="M86" t="s">
        <v>1386</v>
      </c>
      <c r="N86" t="s">
        <v>639</v>
      </c>
      <c r="O86" t="s">
        <v>748</v>
      </c>
      <c r="P86" t="s">
        <v>673</v>
      </c>
      <c r="Q86" t="s">
        <v>713</v>
      </c>
      <c r="R86" t="s">
        <v>729</v>
      </c>
      <c r="S86" t="s">
        <v>773</v>
      </c>
      <c r="T86" t="s">
        <v>676</v>
      </c>
      <c r="U86" t="s">
        <v>2109</v>
      </c>
    </row>
    <row r="87" spans="1:21" ht="14.25" x14ac:dyDescent="0.2">
      <c r="A87" t="s">
        <v>1351</v>
      </c>
      <c r="B87" t="s">
        <v>1371</v>
      </c>
      <c r="C87" t="s">
        <v>643</v>
      </c>
      <c r="D87" t="s">
        <v>120</v>
      </c>
      <c r="E87" t="s">
        <v>1238</v>
      </c>
      <c r="F87" t="s">
        <v>649</v>
      </c>
      <c r="G87" t="s">
        <v>40</v>
      </c>
      <c r="H87" t="s">
        <v>2109</v>
      </c>
      <c r="I87" t="s">
        <v>727</v>
      </c>
      <c r="J87" t="s">
        <v>2110</v>
      </c>
      <c r="K87" t="s">
        <v>673</v>
      </c>
      <c r="L87" t="s">
        <v>2111</v>
      </c>
      <c r="M87" t="s">
        <v>1386</v>
      </c>
      <c r="N87" t="s">
        <v>639</v>
      </c>
      <c r="O87" t="s">
        <v>748</v>
      </c>
      <c r="P87" t="s">
        <v>673</v>
      </c>
      <c r="Q87" t="s">
        <v>713</v>
      </c>
      <c r="R87" t="s">
        <v>721</v>
      </c>
      <c r="S87" t="s">
        <v>1953</v>
      </c>
      <c r="T87" t="s">
        <v>676</v>
      </c>
      <c r="U87" t="s">
        <v>2109</v>
      </c>
    </row>
    <row r="88" spans="1:21" ht="14.25" x14ac:dyDescent="0.2">
      <c r="A88" t="s">
        <v>1294</v>
      </c>
      <c r="B88" t="s">
        <v>1446</v>
      </c>
      <c r="C88" t="s">
        <v>643</v>
      </c>
      <c r="D88" t="s">
        <v>461</v>
      </c>
      <c r="E88" t="s">
        <v>772</v>
      </c>
      <c r="F88" t="s">
        <v>649</v>
      </c>
      <c r="G88" t="s">
        <v>16</v>
      </c>
      <c r="H88" t="s">
        <v>1447</v>
      </c>
      <c r="I88" t="s">
        <v>673</v>
      </c>
      <c r="J88" t="s">
        <v>1448</v>
      </c>
      <c r="K88" t="s">
        <v>656</v>
      </c>
      <c r="L88" t="s">
        <v>1448</v>
      </c>
      <c r="M88" t="s">
        <v>1449</v>
      </c>
      <c r="N88" t="s">
        <v>639</v>
      </c>
      <c r="O88" t="s">
        <v>673</v>
      </c>
      <c r="P88" t="s">
        <v>656</v>
      </c>
      <c r="Q88" t="s">
        <v>695</v>
      </c>
      <c r="R88" t="s">
        <v>721</v>
      </c>
      <c r="S88" t="s">
        <v>773</v>
      </c>
      <c r="T88" t="s">
        <v>676</v>
      </c>
      <c r="U88" t="s">
        <v>1447</v>
      </c>
    </row>
    <row r="89" spans="1:21" ht="14.25" x14ac:dyDescent="0.2">
      <c r="A89" t="s">
        <v>1294</v>
      </c>
      <c r="B89" t="s">
        <v>1446</v>
      </c>
      <c r="C89" t="s">
        <v>643</v>
      </c>
      <c r="D89" t="s">
        <v>461</v>
      </c>
      <c r="E89" t="s">
        <v>772</v>
      </c>
      <c r="F89" t="s">
        <v>649</v>
      </c>
      <c r="G89" t="s">
        <v>16</v>
      </c>
      <c r="H89" t="s">
        <v>1447</v>
      </c>
      <c r="I89" t="s">
        <v>673</v>
      </c>
      <c r="J89" t="s">
        <v>1448</v>
      </c>
      <c r="K89" t="s">
        <v>656</v>
      </c>
      <c r="L89" t="s">
        <v>1448</v>
      </c>
      <c r="M89" t="s">
        <v>1449</v>
      </c>
      <c r="N89" t="s">
        <v>639</v>
      </c>
      <c r="O89" t="s">
        <v>673</v>
      </c>
      <c r="P89" t="s">
        <v>656</v>
      </c>
      <c r="Q89" t="s">
        <v>695</v>
      </c>
      <c r="R89" t="s">
        <v>782</v>
      </c>
      <c r="S89" t="s">
        <v>783</v>
      </c>
      <c r="T89" t="s">
        <v>676</v>
      </c>
      <c r="U89" t="s">
        <v>1447</v>
      </c>
    </row>
    <row r="90" spans="1:21" ht="14.25" x14ac:dyDescent="0.2">
      <c r="A90" t="s">
        <v>1450</v>
      </c>
      <c r="B90" t="s">
        <v>1451</v>
      </c>
      <c r="C90" t="s">
        <v>643</v>
      </c>
      <c r="D90" t="s">
        <v>1276</v>
      </c>
      <c r="E90" t="s">
        <v>1275</v>
      </c>
      <c r="F90" t="s">
        <v>709</v>
      </c>
      <c r="G90" t="s">
        <v>16</v>
      </c>
      <c r="H90" t="s">
        <v>2160</v>
      </c>
      <c r="I90" t="s">
        <v>698</v>
      </c>
      <c r="J90" t="s">
        <v>2161</v>
      </c>
      <c r="K90" t="s">
        <v>673</v>
      </c>
      <c r="L90" t="s">
        <v>2161</v>
      </c>
      <c r="M90" t="s">
        <v>1307</v>
      </c>
      <c r="N90" t="s">
        <v>639</v>
      </c>
      <c r="O90" t="s">
        <v>698</v>
      </c>
      <c r="P90" t="s">
        <v>673</v>
      </c>
      <c r="Q90" t="s">
        <v>778</v>
      </c>
      <c r="R90" t="s">
        <v>657</v>
      </c>
      <c r="S90" t="s">
        <v>657</v>
      </c>
      <c r="T90" t="s">
        <v>658</v>
      </c>
      <c r="U90" t="s">
        <v>2160</v>
      </c>
    </row>
    <row r="91" spans="1:21" ht="14.25" x14ac:dyDescent="0.2">
      <c r="A91" t="s">
        <v>1450</v>
      </c>
      <c r="B91" t="s">
        <v>1451</v>
      </c>
      <c r="C91" t="s">
        <v>643</v>
      </c>
      <c r="D91" t="s">
        <v>1276</v>
      </c>
      <c r="E91" t="s">
        <v>1275</v>
      </c>
      <c r="F91" t="s">
        <v>709</v>
      </c>
      <c r="G91" t="s">
        <v>16</v>
      </c>
      <c r="H91" t="s">
        <v>2160</v>
      </c>
      <c r="I91" t="s">
        <v>698</v>
      </c>
      <c r="J91" t="s">
        <v>2161</v>
      </c>
      <c r="K91" t="s">
        <v>673</v>
      </c>
      <c r="L91" t="s">
        <v>2161</v>
      </c>
      <c r="M91" t="s">
        <v>1307</v>
      </c>
      <c r="N91" t="s">
        <v>639</v>
      </c>
      <c r="O91" t="s">
        <v>698</v>
      </c>
      <c r="P91" t="s">
        <v>673</v>
      </c>
      <c r="Q91" t="s">
        <v>778</v>
      </c>
      <c r="R91" t="s">
        <v>721</v>
      </c>
      <c r="S91" t="s">
        <v>776</v>
      </c>
      <c r="T91" t="s">
        <v>676</v>
      </c>
      <c r="U91" t="s">
        <v>2160</v>
      </c>
    </row>
    <row r="92" spans="1:21" ht="14.25" x14ac:dyDescent="0.2">
      <c r="A92" t="s">
        <v>1294</v>
      </c>
      <c r="B92" t="s">
        <v>1446</v>
      </c>
      <c r="C92" t="s">
        <v>643</v>
      </c>
      <c r="D92" t="s">
        <v>340</v>
      </c>
      <c r="E92" t="s">
        <v>781</v>
      </c>
      <c r="F92" t="s">
        <v>636</v>
      </c>
      <c r="G92" t="s">
        <v>16</v>
      </c>
      <c r="H92" t="s">
        <v>1459</v>
      </c>
      <c r="I92" t="s">
        <v>673</v>
      </c>
      <c r="J92" t="s">
        <v>1460</v>
      </c>
      <c r="K92" t="s">
        <v>656</v>
      </c>
      <c r="L92" t="s">
        <v>1460</v>
      </c>
      <c r="M92" t="s">
        <v>1461</v>
      </c>
      <c r="N92" t="s">
        <v>639</v>
      </c>
      <c r="O92" t="s">
        <v>673</v>
      </c>
      <c r="P92" t="s">
        <v>656</v>
      </c>
      <c r="Q92" t="s">
        <v>695</v>
      </c>
      <c r="R92" t="s">
        <v>782</v>
      </c>
      <c r="S92" t="s">
        <v>783</v>
      </c>
      <c r="T92" t="s">
        <v>676</v>
      </c>
      <c r="U92" t="s">
        <v>1459</v>
      </c>
    </row>
    <row r="93" spans="1:21" ht="14.25" x14ac:dyDescent="0.2">
      <c r="A93" t="s">
        <v>1294</v>
      </c>
      <c r="B93" t="s">
        <v>1446</v>
      </c>
      <c r="C93" t="s">
        <v>643</v>
      </c>
      <c r="D93" t="s">
        <v>354</v>
      </c>
      <c r="E93" t="s">
        <v>784</v>
      </c>
      <c r="F93" t="s">
        <v>649</v>
      </c>
      <c r="G93" t="s">
        <v>664</v>
      </c>
      <c r="H93" t="s">
        <v>1462</v>
      </c>
      <c r="I93" t="s">
        <v>785</v>
      </c>
      <c r="J93" t="s">
        <v>1463</v>
      </c>
      <c r="K93" t="s">
        <v>637</v>
      </c>
      <c r="L93" t="s">
        <v>2551</v>
      </c>
      <c r="M93" t="s">
        <v>2552</v>
      </c>
      <c r="N93" t="s">
        <v>639</v>
      </c>
      <c r="O93" t="s">
        <v>785</v>
      </c>
      <c r="P93" t="s">
        <v>637</v>
      </c>
      <c r="Q93" t="s">
        <v>786</v>
      </c>
      <c r="R93" t="s">
        <v>782</v>
      </c>
      <c r="S93" t="s">
        <v>783</v>
      </c>
      <c r="T93" t="s">
        <v>676</v>
      </c>
      <c r="U93" t="s">
        <v>1462</v>
      </c>
    </row>
    <row r="94" spans="1:21" ht="14.25" x14ac:dyDescent="0.2">
      <c r="A94" t="s">
        <v>1294</v>
      </c>
      <c r="B94" t="s">
        <v>1446</v>
      </c>
      <c r="C94" t="s">
        <v>643</v>
      </c>
      <c r="D94" t="s">
        <v>354</v>
      </c>
      <c r="E94" t="s">
        <v>784</v>
      </c>
      <c r="F94" t="s">
        <v>649</v>
      </c>
      <c r="G94" t="s">
        <v>664</v>
      </c>
      <c r="H94" t="s">
        <v>1462</v>
      </c>
      <c r="I94" t="s">
        <v>785</v>
      </c>
      <c r="J94" t="s">
        <v>1463</v>
      </c>
      <c r="K94" t="s">
        <v>637</v>
      </c>
      <c r="L94" t="s">
        <v>2551</v>
      </c>
      <c r="M94" t="s">
        <v>2552</v>
      </c>
      <c r="N94" t="s">
        <v>639</v>
      </c>
      <c r="O94" t="s">
        <v>785</v>
      </c>
      <c r="P94" t="s">
        <v>637</v>
      </c>
      <c r="Q94" t="s">
        <v>786</v>
      </c>
      <c r="R94" t="s">
        <v>721</v>
      </c>
      <c r="S94" t="s">
        <v>2375</v>
      </c>
      <c r="T94" t="s">
        <v>676</v>
      </c>
      <c r="U94" t="s">
        <v>1462</v>
      </c>
    </row>
    <row r="95" spans="1:21" ht="14.25" x14ac:dyDescent="0.2">
      <c r="A95" t="s">
        <v>1464</v>
      </c>
      <c r="B95" t="s">
        <v>1465</v>
      </c>
      <c r="C95" t="s">
        <v>643</v>
      </c>
      <c r="D95" t="s">
        <v>350</v>
      </c>
      <c r="E95" t="s">
        <v>788</v>
      </c>
      <c r="F95" t="s">
        <v>2376</v>
      </c>
      <c r="G95" t="s">
        <v>16</v>
      </c>
      <c r="H95" t="s">
        <v>1466</v>
      </c>
      <c r="I95" t="s">
        <v>789</v>
      </c>
      <c r="J95" t="s">
        <v>2478</v>
      </c>
      <c r="K95" t="s">
        <v>790</v>
      </c>
      <c r="L95" t="s">
        <v>2479</v>
      </c>
      <c r="M95" t="s">
        <v>2480</v>
      </c>
      <c r="N95" t="s">
        <v>639</v>
      </c>
      <c r="O95" t="s">
        <v>791</v>
      </c>
      <c r="P95" t="s">
        <v>790</v>
      </c>
      <c r="Q95" t="s">
        <v>792</v>
      </c>
      <c r="R95" t="s">
        <v>793</v>
      </c>
      <c r="S95" t="s">
        <v>794</v>
      </c>
      <c r="T95" t="s">
        <v>703</v>
      </c>
      <c r="U95" t="s">
        <v>1466</v>
      </c>
    </row>
    <row r="96" spans="1:21" ht="14.25" x14ac:dyDescent="0.2">
      <c r="A96" t="s">
        <v>1464</v>
      </c>
      <c r="B96" t="s">
        <v>1465</v>
      </c>
      <c r="C96" t="s">
        <v>643</v>
      </c>
      <c r="D96" t="s">
        <v>350</v>
      </c>
      <c r="E96" t="s">
        <v>788</v>
      </c>
      <c r="F96" t="s">
        <v>2376</v>
      </c>
      <c r="G96" t="s">
        <v>16</v>
      </c>
      <c r="H96" t="s">
        <v>1466</v>
      </c>
      <c r="I96" t="s">
        <v>789</v>
      </c>
      <c r="J96" t="s">
        <v>2478</v>
      </c>
      <c r="K96" t="s">
        <v>790</v>
      </c>
      <c r="L96" t="s">
        <v>2479</v>
      </c>
      <c r="M96" t="s">
        <v>2480</v>
      </c>
      <c r="N96" t="s">
        <v>639</v>
      </c>
      <c r="O96" t="s">
        <v>791</v>
      </c>
      <c r="P96" t="s">
        <v>790</v>
      </c>
      <c r="Q96" t="s">
        <v>792</v>
      </c>
      <c r="R96" t="s">
        <v>797</v>
      </c>
      <c r="S96" t="s">
        <v>2377</v>
      </c>
      <c r="T96" t="s">
        <v>703</v>
      </c>
      <c r="U96" t="s">
        <v>1466</v>
      </c>
    </row>
    <row r="97" spans="1:21" ht="14.25" x14ac:dyDescent="0.2">
      <c r="A97" t="s">
        <v>1464</v>
      </c>
      <c r="B97" t="s">
        <v>1465</v>
      </c>
      <c r="C97" t="s">
        <v>643</v>
      </c>
      <c r="D97" t="s">
        <v>350</v>
      </c>
      <c r="E97" t="s">
        <v>788</v>
      </c>
      <c r="F97" t="s">
        <v>2376</v>
      </c>
      <c r="G97" t="s">
        <v>16</v>
      </c>
      <c r="H97" t="s">
        <v>1466</v>
      </c>
      <c r="I97" t="s">
        <v>789</v>
      </c>
      <c r="J97" t="s">
        <v>2478</v>
      </c>
      <c r="K97" t="s">
        <v>790</v>
      </c>
      <c r="L97" t="s">
        <v>2479</v>
      </c>
      <c r="M97" t="s">
        <v>2480</v>
      </c>
      <c r="N97" t="s">
        <v>639</v>
      </c>
      <c r="O97" t="s">
        <v>791</v>
      </c>
      <c r="P97" t="s">
        <v>790</v>
      </c>
      <c r="Q97" t="s">
        <v>792</v>
      </c>
      <c r="R97" t="s">
        <v>2378</v>
      </c>
      <c r="S97" t="s">
        <v>2379</v>
      </c>
      <c r="T97" t="s">
        <v>2380</v>
      </c>
      <c r="U97" t="s">
        <v>1466</v>
      </c>
    </row>
    <row r="98" spans="1:21" ht="14.25" x14ac:dyDescent="0.2">
      <c r="A98" t="s">
        <v>1464</v>
      </c>
      <c r="B98" t="s">
        <v>1465</v>
      </c>
      <c r="C98" t="s">
        <v>643</v>
      </c>
      <c r="D98" t="s">
        <v>350</v>
      </c>
      <c r="E98" t="s">
        <v>788</v>
      </c>
      <c r="F98" t="s">
        <v>2376</v>
      </c>
      <c r="G98" t="s">
        <v>16</v>
      </c>
      <c r="H98" t="s">
        <v>1466</v>
      </c>
      <c r="I98" t="s">
        <v>789</v>
      </c>
      <c r="J98" t="s">
        <v>2478</v>
      </c>
      <c r="K98" t="s">
        <v>790</v>
      </c>
      <c r="L98" t="s">
        <v>2479</v>
      </c>
      <c r="M98" t="s">
        <v>2480</v>
      </c>
      <c r="N98" t="s">
        <v>639</v>
      </c>
      <c r="O98" t="s">
        <v>791</v>
      </c>
      <c r="P98" t="s">
        <v>790</v>
      </c>
      <c r="Q98" t="s">
        <v>792</v>
      </c>
      <c r="R98" t="s">
        <v>2481</v>
      </c>
      <c r="S98" t="s">
        <v>2482</v>
      </c>
      <c r="T98" t="s">
        <v>2380</v>
      </c>
      <c r="U98" t="s">
        <v>1466</v>
      </c>
    </row>
    <row r="99" spans="1:21" ht="14.25" x14ac:dyDescent="0.2">
      <c r="A99" t="s">
        <v>1464</v>
      </c>
      <c r="B99" t="s">
        <v>1465</v>
      </c>
      <c r="C99" t="s">
        <v>643</v>
      </c>
      <c r="D99" t="s">
        <v>362</v>
      </c>
      <c r="E99" t="s">
        <v>795</v>
      </c>
      <c r="F99" t="s">
        <v>649</v>
      </c>
      <c r="G99" t="s">
        <v>16</v>
      </c>
      <c r="H99" t="s">
        <v>1468</v>
      </c>
      <c r="I99" t="s">
        <v>789</v>
      </c>
      <c r="J99" t="s">
        <v>1469</v>
      </c>
      <c r="K99" t="s">
        <v>790</v>
      </c>
      <c r="L99" t="s">
        <v>1470</v>
      </c>
      <c r="M99" t="s">
        <v>1471</v>
      </c>
      <c r="N99" t="s">
        <v>639</v>
      </c>
      <c r="O99" t="s">
        <v>789</v>
      </c>
      <c r="P99" t="s">
        <v>790</v>
      </c>
      <c r="Q99" t="s">
        <v>796</v>
      </c>
      <c r="R99" t="s">
        <v>797</v>
      </c>
      <c r="S99" t="s">
        <v>798</v>
      </c>
      <c r="T99" t="s">
        <v>703</v>
      </c>
      <c r="U99" t="s">
        <v>1468</v>
      </c>
    </row>
    <row r="100" spans="1:21" ht="14.25" x14ac:dyDescent="0.2">
      <c r="A100" t="s">
        <v>1464</v>
      </c>
      <c r="B100" t="s">
        <v>1465</v>
      </c>
      <c r="C100" t="s">
        <v>643</v>
      </c>
      <c r="D100" t="s">
        <v>362</v>
      </c>
      <c r="E100" t="s">
        <v>795</v>
      </c>
      <c r="F100" t="s">
        <v>649</v>
      </c>
      <c r="G100" t="s">
        <v>16</v>
      </c>
      <c r="H100" t="s">
        <v>1468</v>
      </c>
      <c r="I100" t="s">
        <v>789</v>
      </c>
      <c r="J100" t="s">
        <v>1469</v>
      </c>
      <c r="K100" t="s">
        <v>790</v>
      </c>
      <c r="L100" t="s">
        <v>1470</v>
      </c>
      <c r="M100" t="s">
        <v>1471</v>
      </c>
      <c r="N100" t="s">
        <v>639</v>
      </c>
      <c r="O100" t="s">
        <v>789</v>
      </c>
      <c r="P100" t="s">
        <v>790</v>
      </c>
      <c r="Q100" t="s">
        <v>796</v>
      </c>
      <c r="R100" t="s">
        <v>2381</v>
      </c>
      <c r="S100" t="s">
        <v>2382</v>
      </c>
      <c r="T100" t="s">
        <v>703</v>
      </c>
      <c r="U100" t="s">
        <v>1468</v>
      </c>
    </row>
    <row r="101" spans="1:21" ht="14.25" x14ac:dyDescent="0.2">
      <c r="A101" t="s">
        <v>1464</v>
      </c>
      <c r="B101" t="s">
        <v>1465</v>
      </c>
      <c r="C101" t="s">
        <v>643</v>
      </c>
      <c r="D101" t="s">
        <v>392</v>
      </c>
      <c r="E101" t="s">
        <v>799</v>
      </c>
      <c r="F101" t="s">
        <v>709</v>
      </c>
      <c r="G101" t="s">
        <v>16</v>
      </c>
      <c r="H101" t="s">
        <v>1472</v>
      </c>
      <c r="I101" t="s">
        <v>789</v>
      </c>
      <c r="J101" t="s">
        <v>1473</v>
      </c>
      <c r="K101" t="s">
        <v>790</v>
      </c>
      <c r="L101" t="s">
        <v>1474</v>
      </c>
      <c r="M101" t="s">
        <v>1475</v>
      </c>
      <c r="N101" t="s">
        <v>639</v>
      </c>
      <c r="O101" t="s">
        <v>800</v>
      </c>
      <c r="P101" t="s">
        <v>790</v>
      </c>
      <c r="Q101" t="s">
        <v>792</v>
      </c>
      <c r="R101" t="s">
        <v>801</v>
      </c>
      <c r="S101" t="s">
        <v>802</v>
      </c>
      <c r="T101" t="s">
        <v>703</v>
      </c>
      <c r="U101" t="s">
        <v>1472</v>
      </c>
    </row>
    <row r="102" spans="1:21" ht="14.25" x14ac:dyDescent="0.2">
      <c r="A102" t="s">
        <v>1464</v>
      </c>
      <c r="B102" t="s">
        <v>1465</v>
      </c>
      <c r="C102" t="s">
        <v>643</v>
      </c>
      <c r="D102" t="s">
        <v>2191</v>
      </c>
      <c r="E102" t="s">
        <v>803</v>
      </c>
      <c r="F102" t="s">
        <v>649</v>
      </c>
      <c r="G102" t="s">
        <v>16</v>
      </c>
      <c r="H102" t="s">
        <v>1468</v>
      </c>
      <c r="I102" t="s">
        <v>789</v>
      </c>
      <c r="J102" t="s">
        <v>1476</v>
      </c>
      <c r="K102" t="s">
        <v>790</v>
      </c>
      <c r="L102" t="s">
        <v>1477</v>
      </c>
      <c r="M102" t="s">
        <v>1475</v>
      </c>
      <c r="N102" t="s">
        <v>639</v>
      </c>
      <c r="O102" t="s">
        <v>791</v>
      </c>
      <c r="P102" t="s">
        <v>790</v>
      </c>
      <c r="Q102" t="s">
        <v>792</v>
      </c>
      <c r="R102" t="s">
        <v>801</v>
      </c>
      <c r="S102" t="s">
        <v>802</v>
      </c>
      <c r="T102" t="s">
        <v>703</v>
      </c>
      <c r="U102" t="s">
        <v>1468</v>
      </c>
    </row>
    <row r="103" spans="1:21" ht="14.25" x14ac:dyDescent="0.2">
      <c r="A103" t="s">
        <v>1464</v>
      </c>
      <c r="B103" t="s">
        <v>1465</v>
      </c>
      <c r="C103" t="s">
        <v>643</v>
      </c>
      <c r="D103" t="s">
        <v>419</v>
      </c>
      <c r="E103" t="s">
        <v>804</v>
      </c>
      <c r="F103" t="s">
        <v>709</v>
      </c>
      <c r="G103" t="s">
        <v>16</v>
      </c>
      <c r="H103" t="s">
        <v>1468</v>
      </c>
      <c r="I103" t="s">
        <v>789</v>
      </c>
      <c r="J103" t="s">
        <v>1478</v>
      </c>
      <c r="K103" t="s">
        <v>790</v>
      </c>
      <c r="L103" t="s">
        <v>1479</v>
      </c>
      <c r="M103" t="s">
        <v>1480</v>
      </c>
      <c r="N103" t="s">
        <v>639</v>
      </c>
      <c r="O103" t="s">
        <v>789</v>
      </c>
      <c r="P103" t="s">
        <v>790</v>
      </c>
      <c r="Q103" t="s">
        <v>796</v>
      </c>
      <c r="R103" t="s">
        <v>805</v>
      </c>
      <c r="S103" t="s">
        <v>806</v>
      </c>
      <c r="T103" t="s">
        <v>703</v>
      </c>
      <c r="U103" t="s">
        <v>1468</v>
      </c>
    </row>
    <row r="104" spans="1:21" ht="14.25" x14ac:dyDescent="0.2">
      <c r="A104" t="s">
        <v>1464</v>
      </c>
      <c r="B104" t="s">
        <v>1465</v>
      </c>
      <c r="C104" t="s">
        <v>643</v>
      </c>
      <c r="D104" t="s">
        <v>419</v>
      </c>
      <c r="E104" t="s">
        <v>804</v>
      </c>
      <c r="F104" t="s">
        <v>709</v>
      </c>
      <c r="G104" t="s">
        <v>16</v>
      </c>
      <c r="H104" t="s">
        <v>1468</v>
      </c>
      <c r="I104" t="s">
        <v>789</v>
      </c>
      <c r="J104" t="s">
        <v>1478</v>
      </c>
      <c r="K104" t="s">
        <v>790</v>
      </c>
      <c r="L104" t="s">
        <v>1479</v>
      </c>
      <c r="M104" t="s">
        <v>1480</v>
      </c>
      <c r="N104" t="s">
        <v>639</v>
      </c>
      <c r="O104" t="s">
        <v>789</v>
      </c>
      <c r="P104" t="s">
        <v>790</v>
      </c>
      <c r="Q104" t="s">
        <v>796</v>
      </c>
      <c r="R104" t="s">
        <v>2383</v>
      </c>
      <c r="S104" t="s">
        <v>2384</v>
      </c>
      <c r="T104" t="s">
        <v>703</v>
      </c>
      <c r="U104" t="s">
        <v>1468</v>
      </c>
    </row>
    <row r="105" spans="1:21" ht="14.25" x14ac:dyDescent="0.2">
      <c r="A105" t="s">
        <v>1464</v>
      </c>
      <c r="B105" t="s">
        <v>1465</v>
      </c>
      <c r="C105" t="s">
        <v>643</v>
      </c>
      <c r="D105" t="s">
        <v>419</v>
      </c>
      <c r="E105" t="s">
        <v>804</v>
      </c>
      <c r="F105" t="s">
        <v>709</v>
      </c>
      <c r="G105" t="s">
        <v>16</v>
      </c>
      <c r="H105" t="s">
        <v>1468</v>
      </c>
      <c r="I105" t="s">
        <v>789</v>
      </c>
      <c r="J105" t="s">
        <v>1478</v>
      </c>
      <c r="K105" t="s">
        <v>790</v>
      </c>
      <c r="L105" t="s">
        <v>1479</v>
      </c>
      <c r="M105" t="s">
        <v>1480</v>
      </c>
      <c r="N105" t="s">
        <v>639</v>
      </c>
      <c r="O105" t="s">
        <v>789</v>
      </c>
      <c r="P105" t="s">
        <v>790</v>
      </c>
      <c r="Q105" t="s">
        <v>796</v>
      </c>
      <c r="R105" t="s">
        <v>2381</v>
      </c>
      <c r="S105" t="s">
        <v>2382</v>
      </c>
      <c r="T105" t="s">
        <v>703</v>
      </c>
      <c r="U105" t="s">
        <v>1468</v>
      </c>
    </row>
    <row r="106" spans="1:21" ht="14.25" x14ac:dyDescent="0.2">
      <c r="A106" t="s">
        <v>1464</v>
      </c>
      <c r="B106" t="s">
        <v>1465</v>
      </c>
      <c r="C106" t="s">
        <v>643</v>
      </c>
      <c r="D106" t="s">
        <v>419</v>
      </c>
      <c r="E106" t="s">
        <v>804</v>
      </c>
      <c r="F106" t="s">
        <v>709</v>
      </c>
      <c r="G106" t="s">
        <v>16</v>
      </c>
      <c r="H106" t="s">
        <v>1468</v>
      </c>
      <c r="I106" t="s">
        <v>789</v>
      </c>
      <c r="J106" t="s">
        <v>1478</v>
      </c>
      <c r="K106" t="s">
        <v>790</v>
      </c>
      <c r="L106" t="s">
        <v>1479</v>
      </c>
      <c r="M106" t="s">
        <v>1480</v>
      </c>
      <c r="N106" t="s">
        <v>639</v>
      </c>
      <c r="O106" t="s">
        <v>789</v>
      </c>
      <c r="P106" t="s">
        <v>790</v>
      </c>
      <c r="Q106" t="s">
        <v>796</v>
      </c>
      <c r="R106" t="s">
        <v>2385</v>
      </c>
      <c r="S106" t="s">
        <v>2386</v>
      </c>
      <c r="T106" t="s">
        <v>703</v>
      </c>
      <c r="U106" t="s">
        <v>1468</v>
      </c>
    </row>
    <row r="107" spans="1:21" ht="14.25" x14ac:dyDescent="0.2">
      <c r="A107" t="s">
        <v>1464</v>
      </c>
      <c r="B107" t="s">
        <v>1481</v>
      </c>
      <c r="C107" t="s">
        <v>643</v>
      </c>
      <c r="D107" t="s">
        <v>479</v>
      </c>
      <c r="E107" t="s">
        <v>807</v>
      </c>
      <c r="F107" t="s">
        <v>649</v>
      </c>
      <c r="G107" t="s">
        <v>16</v>
      </c>
      <c r="H107" t="s">
        <v>1482</v>
      </c>
      <c r="I107" t="s">
        <v>643</v>
      </c>
      <c r="J107" t="s">
        <v>643</v>
      </c>
      <c r="K107" t="s">
        <v>698</v>
      </c>
      <c r="L107" t="s">
        <v>1483</v>
      </c>
      <c r="M107" t="s">
        <v>1484</v>
      </c>
      <c r="N107" t="s">
        <v>639</v>
      </c>
      <c r="O107" t="s">
        <v>790</v>
      </c>
      <c r="P107" t="s">
        <v>656</v>
      </c>
      <c r="Q107" t="s">
        <v>643</v>
      </c>
      <c r="R107" t="s">
        <v>808</v>
      </c>
      <c r="S107" t="s">
        <v>809</v>
      </c>
      <c r="T107" t="s">
        <v>698</v>
      </c>
      <c r="U107" t="s">
        <v>1482</v>
      </c>
    </row>
    <row r="108" spans="1:21" ht="14.25" x14ac:dyDescent="0.2">
      <c r="A108" t="s">
        <v>1464</v>
      </c>
      <c r="B108" t="s">
        <v>1481</v>
      </c>
      <c r="C108" t="s">
        <v>643</v>
      </c>
      <c r="D108" t="s">
        <v>479</v>
      </c>
      <c r="E108" t="s">
        <v>807</v>
      </c>
      <c r="F108" t="s">
        <v>649</v>
      </c>
      <c r="G108" t="s">
        <v>16</v>
      </c>
      <c r="H108" t="s">
        <v>1482</v>
      </c>
      <c r="I108" t="s">
        <v>643</v>
      </c>
      <c r="J108" t="s">
        <v>643</v>
      </c>
      <c r="K108" t="s">
        <v>698</v>
      </c>
      <c r="L108" t="s">
        <v>1483</v>
      </c>
      <c r="M108" t="s">
        <v>1484</v>
      </c>
      <c r="N108" t="s">
        <v>639</v>
      </c>
      <c r="O108" t="s">
        <v>790</v>
      </c>
      <c r="P108" t="s">
        <v>656</v>
      </c>
      <c r="Q108" t="s">
        <v>643</v>
      </c>
      <c r="R108" t="s">
        <v>721</v>
      </c>
      <c r="S108" t="s">
        <v>776</v>
      </c>
      <c r="T108" t="s">
        <v>676</v>
      </c>
      <c r="U108" t="s">
        <v>1482</v>
      </c>
    </row>
    <row r="109" spans="1:21" ht="14.25" x14ac:dyDescent="0.2">
      <c r="A109" t="s">
        <v>1464</v>
      </c>
      <c r="B109" t="s">
        <v>1465</v>
      </c>
      <c r="C109" t="s">
        <v>643</v>
      </c>
      <c r="D109" t="s">
        <v>487</v>
      </c>
      <c r="E109" t="s">
        <v>810</v>
      </c>
      <c r="F109" t="s">
        <v>709</v>
      </c>
      <c r="G109" t="s">
        <v>16</v>
      </c>
      <c r="H109" t="s">
        <v>1485</v>
      </c>
      <c r="I109" t="s">
        <v>811</v>
      </c>
      <c r="J109" t="s">
        <v>2483</v>
      </c>
      <c r="K109" t="s">
        <v>790</v>
      </c>
      <c r="L109" t="s">
        <v>2484</v>
      </c>
      <c r="M109" t="s">
        <v>1554</v>
      </c>
      <c r="N109" t="s">
        <v>639</v>
      </c>
      <c r="O109" t="s">
        <v>791</v>
      </c>
      <c r="P109" t="s">
        <v>790</v>
      </c>
      <c r="Q109" t="s">
        <v>796</v>
      </c>
      <c r="R109" t="s">
        <v>797</v>
      </c>
      <c r="S109" t="s">
        <v>812</v>
      </c>
      <c r="T109" t="s">
        <v>703</v>
      </c>
      <c r="U109" t="s">
        <v>1485</v>
      </c>
    </row>
    <row r="110" spans="1:21" ht="14.25" x14ac:dyDescent="0.2">
      <c r="A110" t="s">
        <v>1464</v>
      </c>
      <c r="B110" t="s">
        <v>1465</v>
      </c>
      <c r="C110" t="s">
        <v>643</v>
      </c>
      <c r="D110" t="s">
        <v>487</v>
      </c>
      <c r="E110" t="s">
        <v>810</v>
      </c>
      <c r="F110" t="s">
        <v>709</v>
      </c>
      <c r="G110" t="s">
        <v>16</v>
      </c>
      <c r="H110" t="s">
        <v>1485</v>
      </c>
      <c r="I110" t="s">
        <v>811</v>
      </c>
      <c r="J110" t="s">
        <v>2483</v>
      </c>
      <c r="K110" t="s">
        <v>790</v>
      </c>
      <c r="L110" t="s">
        <v>2484</v>
      </c>
      <c r="M110" t="s">
        <v>1554</v>
      </c>
      <c r="N110" t="s">
        <v>639</v>
      </c>
      <c r="O110" t="s">
        <v>791</v>
      </c>
      <c r="P110" t="s">
        <v>790</v>
      </c>
      <c r="Q110" t="s">
        <v>796</v>
      </c>
      <c r="R110" t="s">
        <v>1029</v>
      </c>
      <c r="S110" t="s">
        <v>2387</v>
      </c>
      <c r="T110" t="s">
        <v>703</v>
      </c>
      <c r="U110" t="s">
        <v>1485</v>
      </c>
    </row>
    <row r="111" spans="1:21" ht="14.25" x14ac:dyDescent="0.2">
      <c r="A111" t="s">
        <v>1464</v>
      </c>
      <c r="B111" t="s">
        <v>1465</v>
      </c>
      <c r="C111" t="s">
        <v>643</v>
      </c>
      <c r="D111" t="s">
        <v>487</v>
      </c>
      <c r="E111" t="s">
        <v>810</v>
      </c>
      <c r="F111" t="s">
        <v>709</v>
      </c>
      <c r="G111" t="s">
        <v>16</v>
      </c>
      <c r="H111" t="s">
        <v>1485</v>
      </c>
      <c r="I111" t="s">
        <v>811</v>
      </c>
      <c r="J111" t="s">
        <v>2483</v>
      </c>
      <c r="K111" t="s">
        <v>790</v>
      </c>
      <c r="L111" t="s">
        <v>2484</v>
      </c>
      <c r="M111" t="s">
        <v>1554</v>
      </c>
      <c r="N111" t="s">
        <v>639</v>
      </c>
      <c r="O111" t="s">
        <v>791</v>
      </c>
      <c r="P111" t="s">
        <v>790</v>
      </c>
      <c r="Q111" t="s">
        <v>796</v>
      </c>
      <c r="R111" t="s">
        <v>2388</v>
      </c>
      <c r="S111" t="s">
        <v>2389</v>
      </c>
      <c r="T111" t="s">
        <v>2380</v>
      </c>
      <c r="U111" t="s">
        <v>1485</v>
      </c>
    </row>
    <row r="112" spans="1:21" ht="14.25" x14ac:dyDescent="0.2">
      <c r="A112" t="s">
        <v>1294</v>
      </c>
      <c r="B112" t="s">
        <v>1295</v>
      </c>
      <c r="C112" t="s">
        <v>643</v>
      </c>
      <c r="D112" t="s">
        <v>814</v>
      </c>
      <c r="E112" t="s">
        <v>813</v>
      </c>
      <c r="F112" t="s">
        <v>636</v>
      </c>
      <c r="G112" t="s">
        <v>16</v>
      </c>
      <c r="H112" t="s">
        <v>1308</v>
      </c>
      <c r="I112" t="s">
        <v>643</v>
      </c>
      <c r="J112" t="s">
        <v>643</v>
      </c>
      <c r="K112" t="s">
        <v>703</v>
      </c>
      <c r="L112" t="s">
        <v>1486</v>
      </c>
      <c r="M112" t="s">
        <v>1487</v>
      </c>
      <c r="N112" t="s">
        <v>639</v>
      </c>
      <c r="O112" t="s">
        <v>637</v>
      </c>
      <c r="P112" t="s">
        <v>656</v>
      </c>
      <c r="Q112" t="s">
        <v>643</v>
      </c>
      <c r="R112" t="s">
        <v>721</v>
      </c>
      <c r="S112" t="s">
        <v>815</v>
      </c>
      <c r="T112" t="s">
        <v>676</v>
      </c>
      <c r="U112" t="s">
        <v>1308</v>
      </c>
    </row>
    <row r="113" spans="1:21" ht="14.25" x14ac:dyDescent="0.2">
      <c r="A113" t="s">
        <v>1294</v>
      </c>
      <c r="B113" t="s">
        <v>1295</v>
      </c>
      <c r="C113" t="s">
        <v>643</v>
      </c>
      <c r="D113" t="s">
        <v>469</v>
      </c>
      <c r="E113" t="s">
        <v>816</v>
      </c>
      <c r="F113" t="s">
        <v>636</v>
      </c>
      <c r="G113" t="s">
        <v>16</v>
      </c>
      <c r="H113" t="s">
        <v>1488</v>
      </c>
      <c r="I113" t="s">
        <v>643</v>
      </c>
      <c r="J113" t="s">
        <v>643</v>
      </c>
      <c r="K113" t="s">
        <v>703</v>
      </c>
      <c r="L113" t="s">
        <v>1489</v>
      </c>
      <c r="M113" t="s">
        <v>1490</v>
      </c>
      <c r="N113" t="s">
        <v>639</v>
      </c>
      <c r="O113" t="s">
        <v>637</v>
      </c>
      <c r="P113" t="s">
        <v>656</v>
      </c>
      <c r="Q113" t="s">
        <v>643</v>
      </c>
      <c r="R113" t="s">
        <v>643</v>
      </c>
      <c r="S113" t="s">
        <v>643</v>
      </c>
      <c r="T113" t="s">
        <v>643</v>
      </c>
      <c r="U113" t="s">
        <v>1488</v>
      </c>
    </row>
    <row r="114" spans="1:21" ht="14.25" x14ac:dyDescent="0.2">
      <c r="A114" t="s">
        <v>1294</v>
      </c>
      <c r="B114" t="s">
        <v>1299</v>
      </c>
      <c r="C114" t="s">
        <v>643</v>
      </c>
      <c r="D114" t="s">
        <v>146</v>
      </c>
      <c r="E114" t="s">
        <v>648</v>
      </c>
      <c r="F114" t="s">
        <v>649</v>
      </c>
      <c r="G114" t="s">
        <v>16</v>
      </c>
      <c r="H114" t="s">
        <v>1304</v>
      </c>
      <c r="I114" t="s">
        <v>646</v>
      </c>
      <c r="J114" t="s">
        <v>1305</v>
      </c>
      <c r="K114" t="s">
        <v>637</v>
      </c>
      <c r="L114" t="s">
        <v>1306</v>
      </c>
      <c r="M114" t="s">
        <v>1307</v>
      </c>
      <c r="N114" t="s">
        <v>639</v>
      </c>
      <c r="O114" t="s">
        <v>650</v>
      </c>
      <c r="P114" t="s">
        <v>637</v>
      </c>
      <c r="Q114" t="s">
        <v>651</v>
      </c>
      <c r="R114" t="s">
        <v>652</v>
      </c>
      <c r="S114" t="s">
        <v>653</v>
      </c>
      <c r="T114" t="s">
        <v>654</v>
      </c>
      <c r="U114" t="s">
        <v>1304</v>
      </c>
    </row>
    <row r="115" spans="1:21" ht="14.25" x14ac:dyDescent="0.2">
      <c r="A115" t="s">
        <v>1320</v>
      </c>
      <c r="B115" t="s">
        <v>1321</v>
      </c>
      <c r="C115" t="s">
        <v>643</v>
      </c>
      <c r="D115" t="s">
        <v>377</v>
      </c>
      <c r="E115" t="s">
        <v>671</v>
      </c>
      <c r="F115" t="s">
        <v>649</v>
      </c>
      <c r="G115" t="s">
        <v>16</v>
      </c>
      <c r="H115" t="s">
        <v>1325</v>
      </c>
      <c r="I115" t="s">
        <v>669</v>
      </c>
      <c r="J115" t="s">
        <v>1326</v>
      </c>
      <c r="K115" t="s">
        <v>673</v>
      </c>
      <c r="L115" t="s">
        <v>2345</v>
      </c>
      <c r="M115" t="s">
        <v>2346</v>
      </c>
      <c r="N115" t="s">
        <v>639</v>
      </c>
      <c r="O115" t="s">
        <v>669</v>
      </c>
      <c r="P115" t="s">
        <v>673</v>
      </c>
      <c r="Q115" t="s">
        <v>670</v>
      </c>
      <c r="R115" t="s">
        <v>674</v>
      </c>
      <c r="S115" t="s">
        <v>675</v>
      </c>
      <c r="T115" t="s">
        <v>676</v>
      </c>
      <c r="U115" t="s">
        <v>1325</v>
      </c>
    </row>
    <row r="116" spans="1:21" ht="14.25" x14ac:dyDescent="0.2">
      <c r="A116" t="s">
        <v>1320</v>
      </c>
      <c r="B116" t="s">
        <v>1321</v>
      </c>
      <c r="C116" t="s">
        <v>643</v>
      </c>
      <c r="D116" t="s">
        <v>377</v>
      </c>
      <c r="E116" t="s">
        <v>671</v>
      </c>
      <c r="F116" t="s">
        <v>649</v>
      </c>
      <c r="G116" t="s">
        <v>16</v>
      </c>
      <c r="H116" t="s">
        <v>1325</v>
      </c>
      <c r="I116" t="s">
        <v>669</v>
      </c>
      <c r="J116" t="s">
        <v>1326</v>
      </c>
      <c r="K116" t="s">
        <v>673</v>
      </c>
      <c r="L116" t="s">
        <v>2345</v>
      </c>
      <c r="M116" t="s">
        <v>2346</v>
      </c>
      <c r="N116" t="s">
        <v>639</v>
      </c>
      <c r="O116" t="s">
        <v>669</v>
      </c>
      <c r="P116" t="s">
        <v>673</v>
      </c>
      <c r="Q116" t="s">
        <v>670</v>
      </c>
      <c r="R116" t="s">
        <v>2390</v>
      </c>
      <c r="S116" t="s">
        <v>2391</v>
      </c>
      <c r="T116" t="s">
        <v>703</v>
      </c>
      <c r="U116" t="s">
        <v>1325</v>
      </c>
    </row>
    <row r="117" spans="1:21" ht="14.25" x14ac:dyDescent="0.2">
      <c r="A117" t="s">
        <v>1450</v>
      </c>
      <c r="B117" t="s">
        <v>1451</v>
      </c>
      <c r="C117" t="s">
        <v>643</v>
      </c>
      <c r="D117" t="s">
        <v>440</v>
      </c>
      <c r="E117" t="s">
        <v>825</v>
      </c>
      <c r="F117" t="s">
        <v>709</v>
      </c>
      <c r="G117" t="s">
        <v>16</v>
      </c>
      <c r="H117" t="s">
        <v>1497</v>
      </c>
      <c r="I117" t="s">
        <v>643</v>
      </c>
      <c r="J117" t="s">
        <v>643</v>
      </c>
      <c r="K117" t="s">
        <v>654</v>
      </c>
      <c r="L117" t="s">
        <v>1498</v>
      </c>
      <c r="M117" t="s">
        <v>1499</v>
      </c>
      <c r="N117" t="s">
        <v>639</v>
      </c>
      <c r="O117" t="s">
        <v>698</v>
      </c>
      <c r="P117" t="s">
        <v>673</v>
      </c>
      <c r="Q117" t="s">
        <v>643</v>
      </c>
      <c r="R117" t="s">
        <v>721</v>
      </c>
      <c r="S117" t="s">
        <v>776</v>
      </c>
      <c r="T117" t="s">
        <v>676</v>
      </c>
      <c r="U117" t="s">
        <v>1497</v>
      </c>
    </row>
    <row r="118" spans="1:21" ht="14.25" x14ac:dyDescent="0.2">
      <c r="A118" t="s">
        <v>1320</v>
      </c>
      <c r="B118" t="s">
        <v>1321</v>
      </c>
      <c r="C118" t="s">
        <v>643</v>
      </c>
      <c r="D118" t="s">
        <v>822</v>
      </c>
      <c r="E118" t="s">
        <v>821</v>
      </c>
      <c r="F118" t="s">
        <v>709</v>
      </c>
      <c r="G118" t="s">
        <v>16</v>
      </c>
      <c r="H118" t="s">
        <v>1494</v>
      </c>
      <c r="I118" t="s">
        <v>669</v>
      </c>
      <c r="J118" t="s">
        <v>1495</v>
      </c>
      <c r="K118" t="s">
        <v>673</v>
      </c>
      <c r="L118" t="s">
        <v>1496</v>
      </c>
      <c r="M118" t="s">
        <v>1338</v>
      </c>
      <c r="N118" t="s">
        <v>639</v>
      </c>
      <c r="O118" t="s">
        <v>682</v>
      </c>
      <c r="P118" t="s">
        <v>673</v>
      </c>
      <c r="Q118" t="s">
        <v>683</v>
      </c>
      <c r="R118" t="s">
        <v>823</v>
      </c>
      <c r="S118" t="s">
        <v>824</v>
      </c>
      <c r="T118" t="s">
        <v>654</v>
      </c>
      <c r="U118" t="s">
        <v>1494</v>
      </c>
    </row>
    <row r="119" spans="1:21" ht="14.25" x14ac:dyDescent="0.2">
      <c r="A119" t="s">
        <v>1320</v>
      </c>
      <c r="B119" t="s">
        <v>1321</v>
      </c>
      <c r="C119" t="s">
        <v>643</v>
      </c>
      <c r="D119" t="s">
        <v>822</v>
      </c>
      <c r="E119" t="s">
        <v>821</v>
      </c>
      <c r="F119" t="s">
        <v>709</v>
      </c>
      <c r="G119" t="s">
        <v>16</v>
      </c>
      <c r="H119" t="s">
        <v>1494</v>
      </c>
      <c r="I119" t="s">
        <v>669</v>
      </c>
      <c r="J119" t="s">
        <v>1495</v>
      </c>
      <c r="K119" t="s">
        <v>673</v>
      </c>
      <c r="L119" t="s">
        <v>1496</v>
      </c>
      <c r="M119" t="s">
        <v>1338</v>
      </c>
      <c r="N119" t="s">
        <v>639</v>
      </c>
      <c r="O119" t="s">
        <v>682</v>
      </c>
      <c r="P119" t="s">
        <v>673</v>
      </c>
      <c r="Q119" t="s">
        <v>683</v>
      </c>
      <c r="R119" t="s">
        <v>696</v>
      </c>
      <c r="S119" t="s">
        <v>697</v>
      </c>
      <c r="T119" t="s">
        <v>698</v>
      </c>
      <c r="U119" t="s">
        <v>1494</v>
      </c>
    </row>
    <row r="120" spans="1:21" ht="14.25" x14ac:dyDescent="0.2">
      <c r="A120" t="s">
        <v>1450</v>
      </c>
      <c r="B120" t="s">
        <v>1451</v>
      </c>
      <c r="C120" t="s">
        <v>643</v>
      </c>
      <c r="D120" t="s">
        <v>122</v>
      </c>
      <c r="E120" t="s">
        <v>1042</v>
      </c>
      <c r="F120" t="s">
        <v>649</v>
      </c>
      <c r="G120" t="s">
        <v>16</v>
      </c>
      <c r="H120" t="s">
        <v>1774</v>
      </c>
      <c r="I120" t="s">
        <v>643</v>
      </c>
      <c r="J120" t="s">
        <v>643</v>
      </c>
      <c r="K120" t="s">
        <v>654</v>
      </c>
      <c r="L120" t="s">
        <v>1775</v>
      </c>
      <c r="M120" t="s">
        <v>1776</v>
      </c>
      <c r="N120" t="s">
        <v>639</v>
      </c>
      <c r="O120" t="s">
        <v>698</v>
      </c>
      <c r="P120" t="s">
        <v>673</v>
      </c>
      <c r="Q120" t="s">
        <v>643</v>
      </c>
      <c r="R120" t="s">
        <v>696</v>
      </c>
      <c r="S120" t="s">
        <v>697</v>
      </c>
      <c r="T120" t="s">
        <v>698</v>
      </c>
      <c r="U120" t="s">
        <v>1774</v>
      </c>
    </row>
    <row r="121" spans="1:21" ht="14.25" x14ac:dyDescent="0.2">
      <c r="A121" t="s">
        <v>1450</v>
      </c>
      <c r="B121" t="s">
        <v>1451</v>
      </c>
      <c r="C121" t="s">
        <v>643</v>
      </c>
      <c r="D121" t="s">
        <v>168</v>
      </c>
      <c r="E121" t="s">
        <v>1284</v>
      </c>
      <c r="F121" t="s">
        <v>649</v>
      </c>
      <c r="G121" t="s">
        <v>16</v>
      </c>
      <c r="H121" t="s">
        <v>2169</v>
      </c>
      <c r="I121" t="s">
        <v>643</v>
      </c>
      <c r="J121" t="s">
        <v>643</v>
      </c>
      <c r="K121" t="s">
        <v>654</v>
      </c>
      <c r="L121" t="s">
        <v>2170</v>
      </c>
      <c r="M121" t="s">
        <v>1370</v>
      </c>
      <c r="N121" t="s">
        <v>639</v>
      </c>
      <c r="O121" t="s">
        <v>698</v>
      </c>
      <c r="P121" t="s">
        <v>673</v>
      </c>
      <c r="Q121" t="s">
        <v>643</v>
      </c>
      <c r="R121" t="s">
        <v>643</v>
      </c>
      <c r="S121" t="s">
        <v>643</v>
      </c>
      <c r="T121" t="s">
        <v>643</v>
      </c>
      <c r="U121" t="s">
        <v>2169</v>
      </c>
    </row>
    <row r="122" spans="1:21" ht="14.25" x14ac:dyDescent="0.2">
      <c r="A122" t="s">
        <v>1294</v>
      </c>
      <c r="B122" t="s">
        <v>1446</v>
      </c>
      <c r="C122" t="s">
        <v>643</v>
      </c>
      <c r="D122" t="s">
        <v>341</v>
      </c>
      <c r="E122" t="s">
        <v>834</v>
      </c>
      <c r="F122" t="s">
        <v>649</v>
      </c>
      <c r="G122" t="s">
        <v>664</v>
      </c>
      <c r="H122" t="s">
        <v>1512</v>
      </c>
      <c r="I122" t="s">
        <v>698</v>
      </c>
      <c r="J122" t="s">
        <v>1513</v>
      </c>
      <c r="K122" t="s">
        <v>673</v>
      </c>
      <c r="L122" t="s">
        <v>1514</v>
      </c>
      <c r="M122" t="s">
        <v>1515</v>
      </c>
      <c r="N122" t="s">
        <v>639</v>
      </c>
      <c r="O122" t="s">
        <v>835</v>
      </c>
      <c r="P122" t="s">
        <v>673</v>
      </c>
      <c r="Q122" t="s">
        <v>786</v>
      </c>
      <c r="R122" t="s">
        <v>652</v>
      </c>
      <c r="S122" t="s">
        <v>836</v>
      </c>
      <c r="T122" t="s">
        <v>654</v>
      </c>
      <c r="U122" t="s">
        <v>1512</v>
      </c>
    </row>
    <row r="123" spans="1:21" ht="14.25" x14ac:dyDescent="0.2">
      <c r="A123" t="s">
        <v>1294</v>
      </c>
      <c r="B123" t="s">
        <v>1446</v>
      </c>
      <c r="C123" t="s">
        <v>643</v>
      </c>
      <c r="D123" t="s">
        <v>341</v>
      </c>
      <c r="E123" t="s">
        <v>834</v>
      </c>
      <c r="F123" t="s">
        <v>649</v>
      </c>
      <c r="G123" t="s">
        <v>664</v>
      </c>
      <c r="H123" t="s">
        <v>1512</v>
      </c>
      <c r="I123" t="s">
        <v>698</v>
      </c>
      <c r="J123" t="s">
        <v>1513</v>
      </c>
      <c r="K123" t="s">
        <v>673</v>
      </c>
      <c r="L123" t="s">
        <v>1514</v>
      </c>
      <c r="M123" t="s">
        <v>1515</v>
      </c>
      <c r="N123" t="s">
        <v>639</v>
      </c>
      <c r="O123" t="s">
        <v>835</v>
      </c>
      <c r="P123" t="s">
        <v>673</v>
      </c>
      <c r="Q123" t="s">
        <v>786</v>
      </c>
      <c r="R123" t="s">
        <v>714</v>
      </c>
      <c r="S123" t="s">
        <v>714</v>
      </c>
      <c r="T123" t="s">
        <v>654</v>
      </c>
      <c r="U123" t="s">
        <v>1512</v>
      </c>
    </row>
    <row r="124" spans="1:21" ht="14.25" x14ac:dyDescent="0.2">
      <c r="A124" t="s">
        <v>1294</v>
      </c>
      <c r="B124" t="s">
        <v>1446</v>
      </c>
      <c r="C124" t="s">
        <v>643</v>
      </c>
      <c r="D124" t="s">
        <v>341</v>
      </c>
      <c r="E124" t="s">
        <v>834</v>
      </c>
      <c r="F124" t="s">
        <v>649</v>
      </c>
      <c r="G124" t="s">
        <v>664</v>
      </c>
      <c r="H124" t="s">
        <v>1512</v>
      </c>
      <c r="I124" t="s">
        <v>698</v>
      </c>
      <c r="J124" t="s">
        <v>1513</v>
      </c>
      <c r="K124" t="s">
        <v>673</v>
      </c>
      <c r="L124" t="s">
        <v>1514</v>
      </c>
      <c r="M124" t="s">
        <v>1515</v>
      </c>
      <c r="N124" t="s">
        <v>639</v>
      </c>
      <c r="O124" t="s">
        <v>835</v>
      </c>
      <c r="P124" t="s">
        <v>673</v>
      </c>
      <c r="Q124" t="s">
        <v>786</v>
      </c>
      <c r="R124" t="s">
        <v>721</v>
      </c>
      <c r="S124" t="s">
        <v>776</v>
      </c>
      <c r="T124" t="s">
        <v>676</v>
      </c>
      <c r="U124" t="s">
        <v>1512</v>
      </c>
    </row>
    <row r="125" spans="1:21" ht="14.25" x14ac:dyDescent="0.2">
      <c r="A125" t="s">
        <v>1294</v>
      </c>
      <c r="B125" t="s">
        <v>1446</v>
      </c>
      <c r="C125" t="s">
        <v>643</v>
      </c>
      <c r="D125" t="s">
        <v>341</v>
      </c>
      <c r="E125" t="s">
        <v>834</v>
      </c>
      <c r="F125" t="s">
        <v>649</v>
      </c>
      <c r="G125" t="s">
        <v>664</v>
      </c>
      <c r="H125" t="s">
        <v>1512</v>
      </c>
      <c r="I125" t="s">
        <v>698</v>
      </c>
      <c r="J125" t="s">
        <v>1513</v>
      </c>
      <c r="K125" t="s">
        <v>673</v>
      </c>
      <c r="L125" t="s">
        <v>1514</v>
      </c>
      <c r="M125" t="s">
        <v>1515</v>
      </c>
      <c r="N125" t="s">
        <v>639</v>
      </c>
      <c r="O125" t="s">
        <v>835</v>
      </c>
      <c r="P125" t="s">
        <v>673</v>
      </c>
      <c r="Q125" t="s">
        <v>786</v>
      </c>
      <c r="R125" t="s">
        <v>782</v>
      </c>
      <c r="S125" t="s">
        <v>783</v>
      </c>
      <c r="T125" t="s">
        <v>676</v>
      </c>
      <c r="U125" t="s">
        <v>1512</v>
      </c>
    </row>
    <row r="126" spans="1:21" ht="14.25" x14ac:dyDescent="0.2">
      <c r="A126" t="s">
        <v>1294</v>
      </c>
      <c r="B126" t="s">
        <v>1446</v>
      </c>
      <c r="C126" t="s">
        <v>643</v>
      </c>
      <c r="D126" t="s">
        <v>341</v>
      </c>
      <c r="E126" t="s">
        <v>834</v>
      </c>
      <c r="F126" t="s">
        <v>649</v>
      </c>
      <c r="G126" t="s">
        <v>664</v>
      </c>
      <c r="H126" t="s">
        <v>1512</v>
      </c>
      <c r="I126" t="s">
        <v>698</v>
      </c>
      <c r="J126" t="s">
        <v>1513</v>
      </c>
      <c r="K126" t="s">
        <v>673</v>
      </c>
      <c r="L126" t="s">
        <v>1514</v>
      </c>
      <c r="M126" t="s">
        <v>1515</v>
      </c>
      <c r="N126" t="s">
        <v>639</v>
      </c>
      <c r="O126" t="s">
        <v>835</v>
      </c>
      <c r="P126" t="s">
        <v>673</v>
      </c>
      <c r="Q126" t="s">
        <v>786</v>
      </c>
      <c r="R126" t="s">
        <v>782</v>
      </c>
      <c r="S126" t="s">
        <v>2392</v>
      </c>
      <c r="T126" t="s">
        <v>676</v>
      </c>
      <c r="U126" t="s">
        <v>1512</v>
      </c>
    </row>
    <row r="127" spans="1:21" ht="14.25" x14ac:dyDescent="0.2">
      <c r="A127" t="s">
        <v>1450</v>
      </c>
      <c r="B127" t="s">
        <v>1451</v>
      </c>
      <c r="C127" t="s">
        <v>643</v>
      </c>
      <c r="D127" t="s">
        <v>1125</v>
      </c>
      <c r="E127" t="s">
        <v>1124</v>
      </c>
      <c r="F127" t="s">
        <v>636</v>
      </c>
      <c r="G127" t="s">
        <v>16</v>
      </c>
      <c r="H127" t="s">
        <v>1924</v>
      </c>
      <c r="I127" t="s">
        <v>643</v>
      </c>
      <c r="J127" t="s">
        <v>643</v>
      </c>
      <c r="K127" t="s">
        <v>654</v>
      </c>
      <c r="L127" t="s">
        <v>1925</v>
      </c>
      <c r="M127" t="s">
        <v>1440</v>
      </c>
      <c r="N127" t="s">
        <v>639</v>
      </c>
      <c r="O127" t="s">
        <v>673</v>
      </c>
      <c r="P127" t="s">
        <v>656</v>
      </c>
      <c r="Q127" t="s">
        <v>643</v>
      </c>
      <c r="R127" t="s">
        <v>643</v>
      </c>
      <c r="S127" t="s">
        <v>643</v>
      </c>
      <c r="T127" t="s">
        <v>643</v>
      </c>
      <c r="U127" t="s">
        <v>1924</v>
      </c>
    </row>
    <row r="128" spans="1:21" ht="14.25" x14ac:dyDescent="0.2">
      <c r="A128" t="s">
        <v>1294</v>
      </c>
      <c r="B128" t="s">
        <v>1295</v>
      </c>
      <c r="C128" t="s">
        <v>643</v>
      </c>
      <c r="D128" t="s">
        <v>843</v>
      </c>
      <c r="E128" t="s">
        <v>842</v>
      </c>
      <c r="F128" t="s">
        <v>636</v>
      </c>
      <c r="G128" t="s">
        <v>34</v>
      </c>
      <c r="H128" t="s">
        <v>1519</v>
      </c>
      <c r="I128" t="s">
        <v>643</v>
      </c>
      <c r="J128" t="s">
        <v>643</v>
      </c>
      <c r="K128" t="s">
        <v>654</v>
      </c>
      <c r="L128" t="s">
        <v>1520</v>
      </c>
      <c r="M128" t="s">
        <v>1521</v>
      </c>
      <c r="N128" t="s">
        <v>639</v>
      </c>
      <c r="O128" t="s">
        <v>844</v>
      </c>
      <c r="P128" t="s">
        <v>637</v>
      </c>
      <c r="Q128" t="s">
        <v>643</v>
      </c>
      <c r="R128" t="s">
        <v>643</v>
      </c>
      <c r="S128" t="s">
        <v>643</v>
      </c>
      <c r="T128" t="s">
        <v>643</v>
      </c>
      <c r="U128" t="s">
        <v>1519</v>
      </c>
    </row>
    <row r="129" spans="1:21" ht="14.25" x14ac:dyDescent="0.2">
      <c r="A129" t="s">
        <v>1294</v>
      </c>
      <c r="B129" t="s">
        <v>1311</v>
      </c>
      <c r="C129" t="s">
        <v>643</v>
      </c>
      <c r="D129" t="s">
        <v>241</v>
      </c>
      <c r="E129" t="s">
        <v>845</v>
      </c>
      <c r="F129" t="s">
        <v>636</v>
      </c>
      <c r="G129" t="s">
        <v>664</v>
      </c>
      <c r="H129" t="s">
        <v>1368</v>
      </c>
      <c r="I129" t="s">
        <v>643</v>
      </c>
      <c r="J129" t="s">
        <v>643</v>
      </c>
      <c r="K129" t="s">
        <v>654</v>
      </c>
      <c r="L129" t="s">
        <v>1522</v>
      </c>
      <c r="M129" t="s">
        <v>1370</v>
      </c>
      <c r="N129" t="s">
        <v>639</v>
      </c>
      <c r="O129" t="s">
        <v>846</v>
      </c>
      <c r="P129" t="s">
        <v>637</v>
      </c>
      <c r="Q129" t="s">
        <v>643</v>
      </c>
      <c r="R129" t="s">
        <v>643</v>
      </c>
      <c r="S129" t="s">
        <v>643</v>
      </c>
      <c r="T129" t="s">
        <v>643</v>
      </c>
      <c r="U129" t="s">
        <v>1368</v>
      </c>
    </row>
    <row r="130" spans="1:21" ht="14.25" x14ac:dyDescent="0.2">
      <c r="A130" t="s">
        <v>1294</v>
      </c>
      <c r="B130" t="s">
        <v>1523</v>
      </c>
      <c r="C130" t="s">
        <v>643</v>
      </c>
      <c r="D130" t="s">
        <v>444</v>
      </c>
      <c r="E130" t="s">
        <v>847</v>
      </c>
      <c r="F130" t="s">
        <v>636</v>
      </c>
      <c r="G130" t="s">
        <v>16</v>
      </c>
      <c r="H130" t="s">
        <v>1524</v>
      </c>
      <c r="I130" t="s">
        <v>643</v>
      </c>
      <c r="J130" t="s">
        <v>643</v>
      </c>
      <c r="K130" t="s">
        <v>654</v>
      </c>
      <c r="L130" t="s">
        <v>1525</v>
      </c>
      <c r="M130" t="s">
        <v>1526</v>
      </c>
      <c r="N130" t="s">
        <v>639</v>
      </c>
      <c r="O130" t="s">
        <v>637</v>
      </c>
      <c r="P130" t="s">
        <v>656</v>
      </c>
      <c r="Q130" t="s">
        <v>643</v>
      </c>
      <c r="R130" t="s">
        <v>643</v>
      </c>
      <c r="S130" t="s">
        <v>643</v>
      </c>
      <c r="T130" t="s">
        <v>643</v>
      </c>
      <c r="U130" t="s">
        <v>1524</v>
      </c>
    </row>
    <row r="131" spans="1:21" ht="14.25" x14ac:dyDescent="0.2">
      <c r="A131" t="s">
        <v>1294</v>
      </c>
      <c r="B131" t="s">
        <v>1523</v>
      </c>
      <c r="C131" t="s">
        <v>643</v>
      </c>
      <c r="D131" t="s">
        <v>450</v>
      </c>
      <c r="E131" t="s">
        <v>848</v>
      </c>
      <c r="F131" t="s">
        <v>636</v>
      </c>
      <c r="G131" t="s">
        <v>16</v>
      </c>
      <c r="H131" t="s">
        <v>1524</v>
      </c>
      <c r="I131" t="s">
        <v>643</v>
      </c>
      <c r="J131" t="s">
        <v>643</v>
      </c>
      <c r="K131" t="s">
        <v>654</v>
      </c>
      <c r="L131" t="s">
        <v>1527</v>
      </c>
      <c r="M131" t="s">
        <v>1526</v>
      </c>
      <c r="N131" t="s">
        <v>639</v>
      </c>
      <c r="O131" t="s">
        <v>637</v>
      </c>
      <c r="P131" t="s">
        <v>656</v>
      </c>
      <c r="Q131" t="s">
        <v>643</v>
      </c>
      <c r="R131" t="s">
        <v>643</v>
      </c>
      <c r="S131" t="s">
        <v>643</v>
      </c>
      <c r="T131" t="s">
        <v>643</v>
      </c>
      <c r="U131" t="s">
        <v>1524</v>
      </c>
    </row>
    <row r="132" spans="1:21" ht="14.25" x14ac:dyDescent="0.2">
      <c r="A132" t="s">
        <v>1351</v>
      </c>
      <c r="B132" t="s">
        <v>1352</v>
      </c>
      <c r="C132" t="s">
        <v>643</v>
      </c>
      <c r="D132" t="s">
        <v>159</v>
      </c>
      <c r="E132" t="s">
        <v>708</v>
      </c>
      <c r="F132" t="s">
        <v>709</v>
      </c>
      <c r="G132" t="s">
        <v>16</v>
      </c>
      <c r="H132" t="s">
        <v>1368</v>
      </c>
      <c r="I132" t="s">
        <v>643</v>
      </c>
      <c r="J132" t="s">
        <v>643</v>
      </c>
      <c r="K132" t="s">
        <v>654</v>
      </c>
      <c r="L132" t="s">
        <v>1369</v>
      </c>
      <c r="M132" t="s">
        <v>1370</v>
      </c>
      <c r="N132" t="s">
        <v>639</v>
      </c>
      <c r="O132" t="s">
        <v>692</v>
      </c>
      <c r="P132" t="s">
        <v>673</v>
      </c>
      <c r="Q132" t="s">
        <v>643</v>
      </c>
      <c r="R132" t="s">
        <v>657</v>
      </c>
      <c r="S132" t="s">
        <v>657</v>
      </c>
      <c r="T132" t="s">
        <v>654</v>
      </c>
      <c r="U132" t="s">
        <v>1368</v>
      </c>
    </row>
    <row r="133" spans="1:21" ht="14.25" x14ac:dyDescent="0.2">
      <c r="A133" t="s">
        <v>1351</v>
      </c>
      <c r="B133" t="s">
        <v>1352</v>
      </c>
      <c r="C133" t="s">
        <v>643</v>
      </c>
      <c r="D133" t="s">
        <v>159</v>
      </c>
      <c r="E133" t="s">
        <v>708</v>
      </c>
      <c r="F133" t="s">
        <v>709</v>
      </c>
      <c r="G133" t="s">
        <v>16</v>
      </c>
      <c r="H133" t="s">
        <v>1368</v>
      </c>
      <c r="I133" t="s">
        <v>643</v>
      </c>
      <c r="J133" t="s">
        <v>643</v>
      </c>
      <c r="K133" t="s">
        <v>654</v>
      </c>
      <c r="L133" t="s">
        <v>1369</v>
      </c>
      <c r="M133" t="s">
        <v>1370</v>
      </c>
      <c r="N133" t="s">
        <v>639</v>
      </c>
      <c r="O133" t="s">
        <v>692</v>
      </c>
      <c r="P133" t="s">
        <v>673</v>
      </c>
      <c r="Q133" t="s">
        <v>643</v>
      </c>
      <c r="R133" t="s">
        <v>2393</v>
      </c>
      <c r="S133" t="s">
        <v>2394</v>
      </c>
      <c r="T133" t="s">
        <v>654</v>
      </c>
      <c r="U133" t="s">
        <v>1368</v>
      </c>
    </row>
    <row r="134" spans="1:21" ht="14.25" x14ac:dyDescent="0.2">
      <c r="A134" t="s">
        <v>1351</v>
      </c>
      <c r="B134" t="s">
        <v>1352</v>
      </c>
      <c r="C134" t="s">
        <v>643</v>
      </c>
      <c r="D134" t="s">
        <v>159</v>
      </c>
      <c r="E134" t="s">
        <v>708</v>
      </c>
      <c r="F134" t="s">
        <v>709</v>
      </c>
      <c r="G134" t="s">
        <v>16</v>
      </c>
      <c r="H134" t="s">
        <v>1368</v>
      </c>
      <c r="I134" t="s">
        <v>643</v>
      </c>
      <c r="J134" t="s">
        <v>643</v>
      </c>
      <c r="K134" t="s">
        <v>654</v>
      </c>
      <c r="L134" t="s">
        <v>1369</v>
      </c>
      <c r="M134" t="s">
        <v>1370</v>
      </c>
      <c r="N134" t="s">
        <v>639</v>
      </c>
      <c r="O134" t="s">
        <v>692</v>
      </c>
      <c r="P134" t="s">
        <v>673</v>
      </c>
      <c r="Q134" t="s">
        <v>643</v>
      </c>
      <c r="R134" t="s">
        <v>657</v>
      </c>
      <c r="S134" t="s">
        <v>657</v>
      </c>
      <c r="T134" t="s">
        <v>654</v>
      </c>
      <c r="U134" t="s">
        <v>1368</v>
      </c>
    </row>
    <row r="135" spans="1:21" ht="14.25" x14ac:dyDescent="0.2">
      <c r="A135" t="s">
        <v>1351</v>
      </c>
      <c r="B135" t="s">
        <v>1352</v>
      </c>
      <c r="C135" t="s">
        <v>643</v>
      </c>
      <c r="D135" t="s">
        <v>159</v>
      </c>
      <c r="E135" t="s">
        <v>708</v>
      </c>
      <c r="F135" t="s">
        <v>709</v>
      </c>
      <c r="G135" t="s">
        <v>16</v>
      </c>
      <c r="H135" t="s">
        <v>1368</v>
      </c>
      <c r="I135" t="s">
        <v>643</v>
      </c>
      <c r="J135" t="s">
        <v>643</v>
      </c>
      <c r="K135" t="s">
        <v>654</v>
      </c>
      <c r="L135" t="s">
        <v>1369</v>
      </c>
      <c r="M135" t="s">
        <v>1370</v>
      </c>
      <c r="N135" t="s">
        <v>639</v>
      </c>
      <c r="O135" t="s">
        <v>692</v>
      </c>
      <c r="P135" t="s">
        <v>673</v>
      </c>
      <c r="Q135" t="s">
        <v>643</v>
      </c>
      <c r="R135" t="s">
        <v>911</v>
      </c>
      <c r="S135" t="s">
        <v>776</v>
      </c>
      <c r="T135" t="s">
        <v>676</v>
      </c>
      <c r="U135" t="s">
        <v>1368</v>
      </c>
    </row>
    <row r="136" spans="1:21" ht="14.25" x14ac:dyDescent="0.2">
      <c r="A136" t="s">
        <v>1351</v>
      </c>
      <c r="B136" t="s">
        <v>1352</v>
      </c>
      <c r="C136" t="s">
        <v>643</v>
      </c>
      <c r="D136" t="s">
        <v>159</v>
      </c>
      <c r="E136" t="s">
        <v>708</v>
      </c>
      <c r="F136" t="s">
        <v>709</v>
      </c>
      <c r="G136" t="s">
        <v>16</v>
      </c>
      <c r="H136" t="s">
        <v>1368</v>
      </c>
      <c r="I136" t="s">
        <v>643</v>
      </c>
      <c r="J136" t="s">
        <v>643</v>
      </c>
      <c r="K136" t="s">
        <v>654</v>
      </c>
      <c r="L136" t="s">
        <v>1369</v>
      </c>
      <c r="M136" t="s">
        <v>1370</v>
      </c>
      <c r="N136" t="s">
        <v>639</v>
      </c>
      <c r="O136" t="s">
        <v>692</v>
      </c>
      <c r="P136" t="s">
        <v>673</v>
      </c>
      <c r="Q136" t="s">
        <v>643</v>
      </c>
      <c r="R136" t="s">
        <v>696</v>
      </c>
      <c r="S136" t="s">
        <v>697</v>
      </c>
      <c r="T136" t="s">
        <v>698</v>
      </c>
      <c r="U136" t="s">
        <v>1368</v>
      </c>
    </row>
    <row r="137" spans="1:21" ht="14.25" x14ac:dyDescent="0.2">
      <c r="A137" t="s">
        <v>1464</v>
      </c>
      <c r="B137" t="s">
        <v>1481</v>
      </c>
      <c r="C137" t="s">
        <v>643</v>
      </c>
      <c r="D137" t="s">
        <v>375</v>
      </c>
      <c r="E137" t="s">
        <v>854</v>
      </c>
      <c r="F137" t="s">
        <v>649</v>
      </c>
      <c r="G137" t="s">
        <v>16</v>
      </c>
      <c r="H137" t="s">
        <v>1542</v>
      </c>
      <c r="I137" t="s">
        <v>855</v>
      </c>
      <c r="J137" t="s">
        <v>1543</v>
      </c>
      <c r="K137" t="s">
        <v>643</v>
      </c>
      <c r="L137" t="s">
        <v>643</v>
      </c>
      <c r="M137" t="s">
        <v>1544</v>
      </c>
      <c r="N137" t="s">
        <v>687</v>
      </c>
      <c r="O137" t="s">
        <v>856</v>
      </c>
      <c r="P137" t="s">
        <v>790</v>
      </c>
      <c r="Q137" t="s">
        <v>857</v>
      </c>
      <c r="R137" t="s">
        <v>801</v>
      </c>
      <c r="S137" t="s">
        <v>858</v>
      </c>
      <c r="T137" t="s">
        <v>703</v>
      </c>
      <c r="U137" t="s">
        <v>1542</v>
      </c>
    </row>
    <row r="138" spans="1:21" ht="14.25" x14ac:dyDescent="0.2">
      <c r="A138" t="s">
        <v>1294</v>
      </c>
      <c r="B138" t="s">
        <v>1446</v>
      </c>
      <c r="C138" t="s">
        <v>643</v>
      </c>
      <c r="D138" t="s">
        <v>366</v>
      </c>
      <c r="E138" t="s">
        <v>859</v>
      </c>
      <c r="F138" t="s">
        <v>636</v>
      </c>
      <c r="G138" t="s">
        <v>16</v>
      </c>
      <c r="H138" t="s">
        <v>1545</v>
      </c>
      <c r="I138" t="s">
        <v>643</v>
      </c>
      <c r="J138" t="s">
        <v>643</v>
      </c>
      <c r="K138" t="s">
        <v>654</v>
      </c>
      <c r="L138" t="s">
        <v>1546</v>
      </c>
      <c r="M138" t="s">
        <v>1547</v>
      </c>
      <c r="N138" t="s">
        <v>639</v>
      </c>
      <c r="O138" t="s">
        <v>698</v>
      </c>
      <c r="P138" t="s">
        <v>673</v>
      </c>
      <c r="Q138" t="s">
        <v>643</v>
      </c>
      <c r="R138" t="s">
        <v>782</v>
      </c>
      <c r="S138" t="s">
        <v>783</v>
      </c>
      <c r="T138" t="s">
        <v>676</v>
      </c>
      <c r="U138" t="s">
        <v>1545</v>
      </c>
    </row>
    <row r="139" spans="1:21" ht="14.25" x14ac:dyDescent="0.2">
      <c r="A139" t="s">
        <v>1548</v>
      </c>
      <c r="B139" t="s">
        <v>1549</v>
      </c>
      <c r="C139" t="s">
        <v>643</v>
      </c>
      <c r="D139" t="s">
        <v>129</v>
      </c>
      <c r="E139" t="s">
        <v>861</v>
      </c>
      <c r="F139" t="s">
        <v>636</v>
      </c>
      <c r="G139" t="s">
        <v>664</v>
      </c>
      <c r="H139" t="s">
        <v>1485</v>
      </c>
      <c r="I139" t="s">
        <v>643</v>
      </c>
      <c r="J139" t="s">
        <v>643</v>
      </c>
      <c r="K139" t="s">
        <v>654</v>
      </c>
      <c r="L139" t="s">
        <v>1550</v>
      </c>
      <c r="M139" t="s">
        <v>1551</v>
      </c>
      <c r="N139" t="s">
        <v>639</v>
      </c>
      <c r="O139" t="s">
        <v>790</v>
      </c>
      <c r="P139" t="s">
        <v>790</v>
      </c>
      <c r="Q139" t="s">
        <v>643</v>
      </c>
      <c r="R139" t="s">
        <v>643</v>
      </c>
      <c r="S139" t="s">
        <v>643</v>
      </c>
      <c r="T139" t="s">
        <v>643</v>
      </c>
      <c r="U139" t="s">
        <v>1485</v>
      </c>
    </row>
    <row r="140" spans="1:21" ht="14.25" x14ac:dyDescent="0.2">
      <c r="A140" t="s">
        <v>1351</v>
      </c>
      <c r="B140" t="s">
        <v>1352</v>
      </c>
      <c r="C140" t="s">
        <v>643</v>
      </c>
      <c r="D140" t="s">
        <v>118</v>
      </c>
      <c r="E140" t="s">
        <v>1001</v>
      </c>
      <c r="F140" t="s">
        <v>636</v>
      </c>
      <c r="G140" t="s">
        <v>37</v>
      </c>
      <c r="H140" t="s">
        <v>1713</v>
      </c>
      <c r="I140" t="s">
        <v>643</v>
      </c>
      <c r="J140" t="s">
        <v>643</v>
      </c>
      <c r="K140" t="s">
        <v>654</v>
      </c>
      <c r="L140" t="s">
        <v>1714</v>
      </c>
      <c r="M140" t="s">
        <v>1715</v>
      </c>
      <c r="N140" t="s">
        <v>639</v>
      </c>
      <c r="O140" t="s">
        <v>692</v>
      </c>
      <c r="P140" t="s">
        <v>673</v>
      </c>
      <c r="Q140" t="s">
        <v>643</v>
      </c>
      <c r="R140" t="s">
        <v>643</v>
      </c>
      <c r="S140" t="s">
        <v>643</v>
      </c>
      <c r="T140" t="s">
        <v>643</v>
      </c>
      <c r="U140" t="s">
        <v>1713</v>
      </c>
    </row>
    <row r="141" spans="1:21" ht="14.25" x14ac:dyDescent="0.2">
      <c r="A141" t="s">
        <v>1294</v>
      </c>
      <c r="B141" t="s">
        <v>1446</v>
      </c>
      <c r="C141" t="s">
        <v>643</v>
      </c>
      <c r="D141" t="s">
        <v>864</v>
      </c>
      <c r="E141" t="s">
        <v>863</v>
      </c>
      <c r="F141" t="s">
        <v>636</v>
      </c>
      <c r="G141" t="s">
        <v>37</v>
      </c>
      <c r="H141" t="s">
        <v>1555</v>
      </c>
      <c r="I141" t="s">
        <v>643</v>
      </c>
      <c r="J141" t="s">
        <v>643</v>
      </c>
      <c r="K141" t="s">
        <v>654</v>
      </c>
      <c r="L141" t="s">
        <v>1556</v>
      </c>
      <c r="M141" t="s">
        <v>1557</v>
      </c>
      <c r="N141" t="s">
        <v>639</v>
      </c>
      <c r="O141" t="s">
        <v>698</v>
      </c>
      <c r="P141" t="s">
        <v>673</v>
      </c>
      <c r="Q141" t="s">
        <v>643</v>
      </c>
      <c r="R141" t="s">
        <v>782</v>
      </c>
      <c r="S141" t="s">
        <v>783</v>
      </c>
      <c r="T141" t="s">
        <v>676</v>
      </c>
      <c r="U141" t="s">
        <v>1555</v>
      </c>
    </row>
    <row r="142" spans="1:21" ht="14.25" x14ac:dyDescent="0.2">
      <c r="A142" t="s">
        <v>1320</v>
      </c>
      <c r="B142" t="s">
        <v>1558</v>
      </c>
      <c r="C142" t="s">
        <v>643</v>
      </c>
      <c r="D142" t="s">
        <v>867</v>
      </c>
      <c r="E142" t="s">
        <v>866</v>
      </c>
      <c r="F142" t="s">
        <v>649</v>
      </c>
      <c r="G142" t="s">
        <v>16</v>
      </c>
      <c r="H142" t="s">
        <v>1559</v>
      </c>
      <c r="I142" t="s">
        <v>669</v>
      </c>
      <c r="J142" t="s">
        <v>1560</v>
      </c>
      <c r="K142" t="s">
        <v>673</v>
      </c>
      <c r="L142" t="s">
        <v>1561</v>
      </c>
      <c r="M142" t="s">
        <v>1562</v>
      </c>
      <c r="N142" t="s">
        <v>639</v>
      </c>
      <c r="O142" t="s">
        <v>669</v>
      </c>
      <c r="P142" t="s">
        <v>673</v>
      </c>
      <c r="Q142" t="s">
        <v>670</v>
      </c>
      <c r="R142" t="s">
        <v>721</v>
      </c>
      <c r="S142" t="s">
        <v>868</v>
      </c>
      <c r="T142" t="s">
        <v>676</v>
      </c>
      <c r="U142" t="s">
        <v>1559</v>
      </c>
    </row>
    <row r="143" spans="1:21" ht="14.25" x14ac:dyDescent="0.2">
      <c r="A143" t="s">
        <v>1320</v>
      </c>
      <c r="B143" t="s">
        <v>1558</v>
      </c>
      <c r="C143" t="s">
        <v>643</v>
      </c>
      <c r="D143" t="s">
        <v>871</v>
      </c>
      <c r="E143" t="s">
        <v>870</v>
      </c>
      <c r="F143" t="s">
        <v>649</v>
      </c>
      <c r="G143" t="s">
        <v>16</v>
      </c>
      <c r="H143" t="s">
        <v>1563</v>
      </c>
      <c r="I143" t="s">
        <v>727</v>
      </c>
      <c r="J143" t="s">
        <v>1564</v>
      </c>
      <c r="K143" t="s">
        <v>673</v>
      </c>
      <c r="L143" t="s">
        <v>1565</v>
      </c>
      <c r="M143" t="s">
        <v>1566</v>
      </c>
      <c r="N143" t="s">
        <v>639</v>
      </c>
      <c r="O143" t="s">
        <v>872</v>
      </c>
      <c r="P143" t="s">
        <v>673</v>
      </c>
      <c r="Q143" t="s">
        <v>670</v>
      </c>
      <c r="R143" t="s">
        <v>729</v>
      </c>
      <c r="S143" t="s">
        <v>801</v>
      </c>
      <c r="T143" t="s">
        <v>676</v>
      </c>
      <c r="U143" t="s">
        <v>1563</v>
      </c>
    </row>
    <row r="144" spans="1:21" ht="14.25" x14ac:dyDescent="0.2">
      <c r="A144" t="s">
        <v>1320</v>
      </c>
      <c r="B144" t="s">
        <v>1558</v>
      </c>
      <c r="C144" t="s">
        <v>643</v>
      </c>
      <c r="D144" t="s">
        <v>443</v>
      </c>
      <c r="E144" t="s">
        <v>873</v>
      </c>
      <c r="F144" t="s">
        <v>649</v>
      </c>
      <c r="G144" t="s">
        <v>16</v>
      </c>
      <c r="H144" t="s">
        <v>1563</v>
      </c>
      <c r="I144" t="s">
        <v>727</v>
      </c>
      <c r="J144" t="s">
        <v>1567</v>
      </c>
      <c r="K144" t="s">
        <v>673</v>
      </c>
      <c r="L144" t="s">
        <v>1568</v>
      </c>
      <c r="M144" t="s">
        <v>1566</v>
      </c>
      <c r="N144" t="s">
        <v>639</v>
      </c>
      <c r="O144" t="s">
        <v>874</v>
      </c>
      <c r="P144" t="s">
        <v>673</v>
      </c>
      <c r="Q144" t="s">
        <v>670</v>
      </c>
      <c r="R144" t="s">
        <v>722</v>
      </c>
      <c r="S144" t="s">
        <v>801</v>
      </c>
      <c r="T144" t="s">
        <v>676</v>
      </c>
      <c r="U144" t="s">
        <v>1563</v>
      </c>
    </row>
    <row r="145" spans="1:21" ht="14.25" x14ac:dyDescent="0.2">
      <c r="A145" t="s">
        <v>1320</v>
      </c>
      <c r="B145" t="s">
        <v>1558</v>
      </c>
      <c r="C145" t="s">
        <v>643</v>
      </c>
      <c r="D145" t="s">
        <v>179</v>
      </c>
      <c r="E145" t="s">
        <v>875</v>
      </c>
      <c r="F145" t="s">
        <v>636</v>
      </c>
      <c r="G145" t="s">
        <v>664</v>
      </c>
      <c r="H145" t="s">
        <v>1563</v>
      </c>
      <c r="I145" t="s">
        <v>643</v>
      </c>
      <c r="J145" t="s">
        <v>643</v>
      </c>
      <c r="K145" t="s">
        <v>654</v>
      </c>
      <c r="L145" t="s">
        <v>1569</v>
      </c>
      <c r="M145" t="s">
        <v>1570</v>
      </c>
      <c r="N145" t="s">
        <v>639</v>
      </c>
      <c r="O145" t="s">
        <v>669</v>
      </c>
      <c r="P145" t="s">
        <v>673</v>
      </c>
      <c r="Q145" t="s">
        <v>643</v>
      </c>
      <c r="R145" t="s">
        <v>643</v>
      </c>
      <c r="S145" t="s">
        <v>643</v>
      </c>
      <c r="T145" t="s">
        <v>643</v>
      </c>
      <c r="U145" t="s">
        <v>1563</v>
      </c>
    </row>
    <row r="146" spans="1:21" ht="14.25" x14ac:dyDescent="0.2">
      <c r="A146" t="s">
        <v>1351</v>
      </c>
      <c r="B146" t="s">
        <v>1371</v>
      </c>
      <c r="C146" t="s">
        <v>643</v>
      </c>
      <c r="D146" t="s">
        <v>494</v>
      </c>
      <c r="E146" t="s">
        <v>1166</v>
      </c>
      <c r="F146" t="s">
        <v>636</v>
      </c>
      <c r="G146" t="s">
        <v>37</v>
      </c>
      <c r="H146" t="s">
        <v>1988</v>
      </c>
      <c r="I146" t="s">
        <v>643</v>
      </c>
      <c r="J146" t="s">
        <v>643</v>
      </c>
      <c r="K146" t="s">
        <v>654</v>
      </c>
      <c r="L146" t="s">
        <v>1989</v>
      </c>
      <c r="M146" t="s">
        <v>1990</v>
      </c>
      <c r="N146" t="s">
        <v>639</v>
      </c>
      <c r="O146" t="s">
        <v>692</v>
      </c>
      <c r="P146" t="s">
        <v>656</v>
      </c>
      <c r="Q146" t="s">
        <v>643</v>
      </c>
      <c r="R146" t="s">
        <v>643</v>
      </c>
      <c r="S146" t="s">
        <v>643</v>
      </c>
      <c r="T146" t="s">
        <v>643</v>
      </c>
      <c r="U146" t="s">
        <v>1988</v>
      </c>
    </row>
    <row r="147" spans="1:21" ht="14.25" x14ac:dyDescent="0.2">
      <c r="A147" t="s">
        <v>1464</v>
      </c>
      <c r="B147" t="s">
        <v>1572</v>
      </c>
      <c r="C147" t="s">
        <v>643</v>
      </c>
      <c r="D147" t="s">
        <v>512</v>
      </c>
      <c r="E147" t="s">
        <v>877</v>
      </c>
      <c r="F147" t="s">
        <v>636</v>
      </c>
      <c r="G147" t="s">
        <v>16</v>
      </c>
      <c r="H147" t="s">
        <v>1573</v>
      </c>
      <c r="I147" t="s">
        <v>643</v>
      </c>
      <c r="J147" t="s">
        <v>643</v>
      </c>
      <c r="K147" t="s">
        <v>703</v>
      </c>
      <c r="L147" t="s">
        <v>1574</v>
      </c>
      <c r="M147" t="s">
        <v>1575</v>
      </c>
      <c r="N147" t="s">
        <v>639</v>
      </c>
      <c r="O147" t="s">
        <v>878</v>
      </c>
      <c r="P147" t="s">
        <v>790</v>
      </c>
      <c r="Q147" t="s">
        <v>643</v>
      </c>
      <c r="R147" t="s">
        <v>643</v>
      </c>
      <c r="S147" t="s">
        <v>643</v>
      </c>
      <c r="T147" t="s">
        <v>643</v>
      </c>
      <c r="U147" t="s">
        <v>1573</v>
      </c>
    </row>
    <row r="148" spans="1:21" ht="14.25" x14ac:dyDescent="0.2">
      <c r="A148" t="s">
        <v>1464</v>
      </c>
      <c r="B148" t="s">
        <v>1572</v>
      </c>
      <c r="C148" t="s">
        <v>643</v>
      </c>
      <c r="D148" t="s">
        <v>880</v>
      </c>
      <c r="E148" t="s">
        <v>879</v>
      </c>
      <c r="F148" t="s">
        <v>649</v>
      </c>
      <c r="G148" t="s">
        <v>16</v>
      </c>
      <c r="H148" t="s">
        <v>1573</v>
      </c>
      <c r="I148" t="s">
        <v>643</v>
      </c>
      <c r="J148" t="s">
        <v>643</v>
      </c>
      <c r="K148" t="s">
        <v>703</v>
      </c>
      <c r="L148" t="s">
        <v>1576</v>
      </c>
      <c r="M148" t="s">
        <v>1577</v>
      </c>
      <c r="N148" t="s">
        <v>639</v>
      </c>
      <c r="O148" t="s">
        <v>878</v>
      </c>
      <c r="P148" t="s">
        <v>790</v>
      </c>
      <c r="Q148" t="s">
        <v>643</v>
      </c>
      <c r="R148" t="s">
        <v>881</v>
      </c>
      <c r="S148" t="s">
        <v>882</v>
      </c>
      <c r="T148" t="s">
        <v>703</v>
      </c>
      <c r="U148" t="s">
        <v>1573</v>
      </c>
    </row>
    <row r="149" spans="1:21" ht="14.25" x14ac:dyDescent="0.2">
      <c r="A149" t="s">
        <v>1464</v>
      </c>
      <c r="B149" t="s">
        <v>1572</v>
      </c>
      <c r="C149" t="s">
        <v>643</v>
      </c>
      <c r="D149" t="s">
        <v>884</v>
      </c>
      <c r="E149" t="s">
        <v>883</v>
      </c>
      <c r="F149" t="s">
        <v>649</v>
      </c>
      <c r="G149" t="s">
        <v>16</v>
      </c>
      <c r="H149" t="s">
        <v>1573</v>
      </c>
      <c r="I149" t="s">
        <v>643</v>
      </c>
      <c r="J149" t="s">
        <v>643</v>
      </c>
      <c r="K149" t="s">
        <v>703</v>
      </c>
      <c r="L149" t="s">
        <v>1578</v>
      </c>
      <c r="M149" t="s">
        <v>1577</v>
      </c>
      <c r="N149" t="s">
        <v>639</v>
      </c>
      <c r="O149" t="s">
        <v>878</v>
      </c>
      <c r="P149" t="s">
        <v>790</v>
      </c>
      <c r="Q149" t="s">
        <v>643</v>
      </c>
      <c r="R149" t="s">
        <v>881</v>
      </c>
      <c r="S149" t="s">
        <v>882</v>
      </c>
      <c r="T149" t="s">
        <v>703</v>
      </c>
      <c r="U149" t="s">
        <v>1573</v>
      </c>
    </row>
    <row r="150" spans="1:21" ht="14.25" x14ac:dyDescent="0.2">
      <c r="A150" t="s">
        <v>1464</v>
      </c>
      <c r="B150" t="s">
        <v>1572</v>
      </c>
      <c r="C150" t="s">
        <v>643</v>
      </c>
      <c r="D150" t="s">
        <v>884</v>
      </c>
      <c r="E150" t="s">
        <v>883</v>
      </c>
      <c r="F150" t="s">
        <v>649</v>
      </c>
      <c r="G150" t="s">
        <v>16</v>
      </c>
      <c r="H150" t="s">
        <v>1573</v>
      </c>
      <c r="I150" t="s">
        <v>643</v>
      </c>
      <c r="J150" t="s">
        <v>643</v>
      </c>
      <c r="K150" t="s">
        <v>703</v>
      </c>
      <c r="L150" t="s">
        <v>1578</v>
      </c>
      <c r="M150" t="s">
        <v>1577</v>
      </c>
      <c r="N150" t="s">
        <v>639</v>
      </c>
      <c r="O150" t="s">
        <v>878</v>
      </c>
      <c r="P150" t="s">
        <v>790</v>
      </c>
      <c r="Q150" t="s">
        <v>643</v>
      </c>
      <c r="R150" t="s">
        <v>2395</v>
      </c>
      <c r="S150" t="s">
        <v>2395</v>
      </c>
      <c r="T150" t="s">
        <v>703</v>
      </c>
      <c r="U150" t="s">
        <v>1573</v>
      </c>
    </row>
    <row r="151" spans="1:21" ht="14.25" x14ac:dyDescent="0.2">
      <c r="A151" t="s">
        <v>1464</v>
      </c>
      <c r="B151" t="s">
        <v>1572</v>
      </c>
      <c r="C151" t="s">
        <v>643</v>
      </c>
      <c r="D151" t="s">
        <v>886</v>
      </c>
      <c r="E151" t="s">
        <v>885</v>
      </c>
      <c r="F151" t="s">
        <v>649</v>
      </c>
      <c r="G151" t="s">
        <v>16</v>
      </c>
      <c r="H151" t="s">
        <v>1579</v>
      </c>
      <c r="I151" t="s">
        <v>643</v>
      </c>
      <c r="J151" t="s">
        <v>643</v>
      </c>
      <c r="K151" t="s">
        <v>703</v>
      </c>
      <c r="L151" t="s">
        <v>1580</v>
      </c>
      <c r="M151" t="s">
        <v>1577</v>
      </c>
      <c r="N151" t="s">
        <v>639</v>
      </c>
      <c r="O151" t="s">
        <v>878</v>
      </c>
      <c r="P151" t="s">
        <v>790</v>
      </c>
      <c r="Q151" t="s">
        <v>643</v>
      </c>
      <c r="R151" t="s">
        <v>881</v>
      </c>
      <c r="S151" t="s">
        <v>882</v>
      </c>
      <c r="T151" t="s">
        <v>703</v>
      </c>
      <c r="U151" t="s">
        <v>1579</v>
      </c>
    </row>
    <row r="152" spans="1:21" ht="14.25" x14ac:dyDescent="0.2">
      <c r="A152" t="s">
        <v>1464</v>
      </c>
      <c r="B152" t="s">
        <v>1572</v>
      </c>
      <c r="C152" t="s">
        <v>643</v>
      </c>
      <c r="D152" t="s">
        <v>497</v>
      </c>
      <c r="E152" t="s">
        <v>887</v>
      </c>
      <c r="F152" t="s">
        <v>636</v>
      </c>
      <c r="G152" t="s">
        <v>16</v>
      </c>
      <c r="H152" t="s">
        <v>1573</v>
      </c>
      <c r="I152" t="s">
        <v>643</v>
      </c>
      <c r="J152" t="s">
        <v>643</v>
      </c>
      <c r="K152" t="s">
        <v>703</v>
      </c>
      <c r="L152" t="s">
        <v>1581</v>
      </c>
      <c r="M152" t="s">
        <v>1575</v>
      </c>
      <c r="N152" t="s">
        <v>639</v>
      </c>
      <c r="O152" t="s">
        <v>878</v>
      </c>
      <c r="P152" t="s">
        <v>790</v>
      </c>
      <c r="Q152" t="s">
        <v>643</v>
      </c>
      <c r="R152" t="s">
        <v>643</v>
      </c>
      <c r="S152" t="s">
        <v>643</v>
      </c>
      <c r="T152" t="s">
        <v>643</v>
      </c>
      <c r="U152" t="s">
        <v>1573</v>
      </c>
    </row>
    <row r="153" spans="1:21" ht="14.25" x14ac:dyDescent="0.2">
      <c r="A153" t="s">
        <v>1464</v>
      </c>
      <c r="B153" t="s">
        <v>1572</v>
      </c>
      <c r="C153" t="s">
        <v>643</v>
      </c>
      <c r="D153" t="s">
        <v>502</v>
      </c>
      <c r="E153" t="s">
        <v>888</v>
      </c>
      <c r="F153" t="s">
        <v>649</v>
      </c>
      <c r="G153" t="s">
        <v>16</v>
      </c>
      <c r="H153" t="s">
        <v>1573</v>
      </c>
      <c r="I153" t="s">
        <v>643</v>
      </c>
      <c r="J153" t="s">
        <v>643</v>
      </c>
      <c r="K153" t="s">
        <v>703</v>
      </c>
      <c r="L153" t="s">
        <v>1582</v>
      </c>
      <c r="M153" t="s">
        <v>1577</v>
      </c>
      <c r="N153" t="s">
        <v>639</v>
      </c>
      <c r="O153" t="s">
        <v>878</v>
      </c>
      <c r="P153" t="s">
        <v>790</v>
      </c>
      <c r="Q153" t="s">
        <v>643</v>
      </c>
      <c r="R153" t="s">
        <v>881</v>
      </c>
      <c r="S153" t="s">
        <v>882</v>
      </c>
      <c r="T153" t="s">
        <v>703</v>
      </c>
      <c r="U153" t="s">
        <v>1573</v>
      </c>
    </row>
    <row r="154" spans="1:21" ht="14.25" x14ac:dyDescent="0.2">
      <c r="A154" t="s">
        <v>1464</v>
      </c>
      <c r="B154" t="s">
        <v>1572</v>
      </c>
      <c r="C154" t="s">
        <v>643</v>
      </c>
      <c r="D154" t="s">
        <v>508</v>
      </c>
      <c r="E154" t="s">
        <v>889</v>
      </c>
      <c r="F154" t="s">
        <v>649</v>
      </c>
      <c r="G154" t="s">
        <v>16</v>
      </c>
      <c r="H154" t="s">
        <v>1573</v>
      </c>
      <c r="I154" t="s">
        <v>643</v>
      </c>
      <c r="J154" t="s">
        <v>643</v>
      </c>
      <c r="K154" t="s">
        <v>703</v>
      </c>
      <c r="L154" t="s">
        <v>1583</v>
      </c>
      <c r="M154" t="s">
        <v>1577</v>
      </c>
      <c r="N154" t="s">
        <v>639</v>
      </c>
      <c r="O154" t="s">
        <v>878</v>
      </c>
      <c r="P154" t="s">
        <v>790</v>
      </c>
      <c r="Q154" t="s">
        <v>643</v>
      </c>
      <c r="R154" t="s">
        <v>881</v>
      </c>
      <c r="S154" t="s">
        <v>882</v>
      </c>
      <c r="T154" t="s">
        <v>703</v>
      </c>
      <c r="U154" t="s">
        <v>1573</v>
      </c>
    </row>
    <row r="155" spans="1:21" ht="14.25" x14ac:dyDescent="0.2">
      <c r="A155" t="s">
        <v>1464</v>
      </c>
      <c r="B155" t="s">
        <v>1584</v>
      </c>
      <c r="C155" t="s">
        <v>643</v>
      </c>
      <c r="D155" t="s">
        <v>460</v>
      </c>
      <c r="E155" t="s">
        <v>890</v>
      </c>
      <c r="F155" t="s">
        <v>636</v>
      </c>
      <c r="G155" t="s">
        <v>16</v>
      </c>
      <c r="H155" t="s">
        <v>1585</v>
      </c>
      <c r="I155" t="s">
        <v>643</v>
      </c>
      <c r="J155" t="s">
        <v>643</v>
      </c>
      <c r="K155" t="s">
        <v>703</v>
      </c>
      <c r="L155" t="s">
        <v>1586</v>
      </c>
      <c r="M155" t="s">
        <v>1587</v>
      </c>
      <c r="N155" t="s">
        <v>639</v>
      </c>
      <c r="O155" t="s">
        <v>790</v>
      </c>
      <c r="P155" t="s">
        <v>790</v>
      </c>
      <c r="Q155" t="s">
        <v>643</v>
      </c>
      <c r="R155" t="s">
        <v>643</v>
      </c>
      <c r="S155" t="s">
        <v>643</v>
      </c>
      <c r="T155" t="s">
        <v>643</v>
      </c>
      <c r="U155" t="s">
        <v>1585</v>
      </c>
    </row>
    <row r="156" spans="1:21" ht="14.25" x14ac:dyDescent="0.2">
      <c r="A156" t="s">
        <v>1464</v>
      </c>
      <c r="B156" t="s">
        <v>1584</v>
      </c>
      <c r="C156" t="s">
        <v>643</v>
      </c>
      <c r="D156" t="s">
        <v>320</v>
      </c>
      <c r="E156" t="s">
        <v>891</v>
      </c>
      <c r="F156" t="s">
        <v>649</v>
      </c>
      <c r="G156" t="s">
        <v>27</v>
      </c>
      <c r="H156" t="s">
        <v>1588</v>
      </c>
      <c r="I156" t="s">
        <v>643</v>
      </c>
      <c r="J156" t="s">
        <v>643</v>
      </c>
      <c r="K156" t="s">
        <v>643</v>
      </c>
      <c r="L156" t="s">
        <v>643</v>
      </c>
      <c r="M156" t="s">
        <v>1492</v>
      </c>
      <c r="N156" t="s">
        <v>687</v>
      </c>
      <c r="O156" t="s">
        <v>790</v>
      </c>
      <c r="P156" t="s">
        <v>790</v>
      </c>
      <c r="Q156" t="s">
        <v>643</v>
      </c>
      <c r="R156" t="s">
        <v>892</v>
      </c>
      <c r="S156" t="s">
        <v>893</v>
      </c>
      <c r="T156" t="s">
        <v>703</v>
      </c>
      <c r="U156" t="s">
        <v>1588</v>
      </c>
    </row>
    <row r="157" spans="1:21" ht="14.25" x14ac:dyDescent="0.2">
      <c r="A157" t="s">
        <v>1464</v>
      </c>
      <c r="B157" t="s">
        <v>1584</v>
      </c>
      <c r="C157" t="s">
        <v>643</v>
      </c>
      <c r="D157" t="s">
        <v>320</v>
      </c>
      <c r="E157" t="s">
        <v>891</v>
      </c>
      <c r="F157" t="s">
        <v>649</v>
      </c>
      <c r="G157" t="s">
        <v>27</v>
      </c>
      <c r="H157" t="s">
        <v>1588</v>
      </c>
      <c r="I157" t="s">
        <v>643</v>
      </c>
      <c r="J157" t="s">
        <v>643</v>
      </c>
      <c r="K157" t="s">
        <v>643</v>
      </c>
      <c r="L157" t="s">
        <v>643</v>
      </c>
      <c r="M157" t="s">
        <v>1492</v>
      </c>
      <c r="N157" t="s">
        <v>687</v>
      </c>
      <c r="O157" t="s">
        <v>790</v>
      </c>
      <c r="P157" t="s">
        <v>790</v>
      </c>
      <c r="Q157" t="s">
        <v>643</v>
      </c>
      <c r="R157" t="s">
        <v>66</v>
      </c>
      <c r="S157" t="s">
        <v>2553</v>
      </c>
      <c r="T157" t="s">
        <v>2554</v>
      </c>
      <c r="U157" t="s">
        <v>1588</v>
      </c>
    </row>
    <row r="158" spans="1:21" ht="14.25" x14ac:dyDescent="0.2">
      <c r="A158" t="s">
        <v>1464</v>
      </c>
      <c r="B158" t="s">
        <v>1584</v>
      </c>
      <c r="C158" t="s">
        <v>643</v>
      </c>
      <c r="D158" t="s">
        <v>337</v>
      </c>
      <c r="E158" t="s">
        <v>894</v>
      </c>
      <c r="F158" t="s">
        <v>649</v>
      </c>
      <c r="G158" t="s">
        <v>27</v>
      </c>
      <c r="H158" t="s">
        <v>1589</v>
      </c>
      <c r="I158" t="s">
        <v>790</v>
      </c>
      <c r="J158" t="s">
        <v>1590</v>
      </c>
      <c r="K158" t="s">
        <v>790</v>
      </c>
      <c r="L158" t="s">
        <v>1591</v>
      </c>
      <c r="M158" t="s">
        <v>1592</v>
      </c>
      <c r="N158" t="s">
        <v>639</v>
      </c>
      <c r="O158" t="s">
        <v>790</v>
      </c>
      <c r="P158" t="s">
        <v>790</v>
      </c>
      <c r="Q158" t="s">
        <v>895</v>
      </c>
      <c r="R158" t="s">
        <v>896</v>
      </c>
      <c r="S158" t="s">
        <v>897</v>
      </c>
      <c r="T158" t="s">
        <v>703</v>
      </c>
      <c r="U158" t="s">
        <v>1589</v>
      </c>
    </row>
    <row r="159" spans="1:21" ht="14.25" x14ac:dyDescent="0.2">
      <c r="A159" t="s">
        <v>1464</v>
      </c>
      <c r="B159" t="s">
        <v>1584</v>
      </c>
      <c r="C159" t="s">
        <v>643</v>
      </c>
      <c r="D159" t="s">
        <v>351</v>
      </c>
      <c r="E159" t="s">
        <v>898</v>
      </c>
      <c r="F159" t="s">
        <v>636</v>
      </c>
      <c r="G159" t="s">
        <v>27</v>
      </c>
      <c r="H159" t="s">
        <v>1589</v>
      </c>
      <c r="I159" t="s">
        <v>643</v>
      </c>
      <c r="J159" t="s">
        <v>643</v>
      </c>
      <c r="K159" t="s">
        <v>703</v>
      </c>
      <c r="L159" t="s">
        <v>1593</v>
      </c>
      <c r="M159" t="s">
        <v>1594</v>
      </c>
      <c r="N159" t="s">
        <v>639</v>
      </c>
      <c r="O159" t="s">
        <v>790</v>
      </c>
      <c r="P159" t="s">
        <v>790</v>
      </c>
      <c r="Q159" t="s">
        <v>643</v>
      </c>
      <c r="R159" t="s">
        <v>892</v>
      </c>
      <c r="S159" t="s">
        <v>899</v>
      </c>
      <c r="T159" t="s">
        <v>703</v>
      </c>
      <c r="U159" t="s">
        <v>1589</v>
      </c>
    </row>
    <row r="160" spans="1:21" ht="14.25" x14ac:dyDescent="0.2">
      <c r="A160" t="s">
        <v>1351</v>
      </c>
      <c r="B160" t="s">
        <v>1371</v>
      </c>
      <c r="C160" t="s">
        <v>643</v>
      </c>
      <c r="D160" t="s">
        <v>530</v>
      </c>
      <c r="E160" t="s">
        <v>900</v>
      </c>
      <c r="F160" t="s">
        <v>636</v>
      </c>
      <c r="G160" t="s">
        <v>16</v>
      </c>
      <c r="H160" t="s">
        <v>1509</v>
      </c>
      <c r="I160" t="s">
        <v>643</v>
      </c>
      <c r="J160" t="s">
        <v>643</v>
      </c>
      <c r="K160" t="s">
        <v>654</v>
      </c>
      <c r="L160" t="s">
        <v>1595</v>
      </c>
      <c r="M160" t="s">
        <v>1511</v>
      </c>
      <c r="N160" t="s">
        <v>639</v>
      </c>
      <c r="O160" t="s">
        <v>718</v>
      </c>
      <c r="P160" t="s">
        <v>673</v>
      </c>
      <c r="Q160" t="s">
        <v>643</v>
      </c>
      <c r="R160" t="s">
        <v>643</v>
      </c>
      <c r="S160" t="s">
        <v>643</v>
      </c>
      <c r="T160" t="s">
        <v>643</v>
      </c>
      <c r="U160" t="s">
        <v>1509</v>
      </c>
    </row>
    <row r="161" spans="1:21" ht="14.25" x14ac:dyDescent="0.2">
      <c r="A161" t="s">
        <v>1351</v>
      </c>
      <c r="B161" t="s">
        <v>1371</v>
      </c>
      <c r="C161" t="s">
        <v>643</v>
      </c>
      <c r="D161" t="s">
        <v>531</v>
      </c>
      <c r="E161" t="s">
        <v>901</v>
      </c>
      <c r="F161" t="s">
        <v>636</v>
      </c>
      <c r="G161" t="s">
        <v>16</v>
      </c>
      <c r="H161" t="s">
        <v>1509</v>
      </c>
      <c r="I161" t="s">
        <v>643</v>
      </c>
      <c r="J161" t="s">
        <v>643</v>
      </c>
      <c r="K161" t="s">
        <v>654</v>
      </c>
      <c r="L161" t="s">
        <v>1596</v>
      </c>
      <c r="M161" t="s">
        <v>1511</v>
      </c>
      <c r="N161" t="s">
        <v>639</v>
      </c>
      <c r="O161" t="s">
        <v>718</v>
      </c>
      <c r="P161" t="s">
        <v>673</v>
      </c>
      <c r="Q161" t="s">
        <v>643</v>
      </c>
      <c r="R161" t="s">
        <v>643</v>
      </c>
      <c r="S161" t="s">
        <v>643</v>
      </c>
      <c r="T161" t="s">
        <v>643</v>
      </c>
      <c r="U161" t="s">
        <v>1509</v>
      </c>
    </row>
    <row r="162" spans="1:21" ht="14.25" x14ac:dyDescent="0.2">
      <c r="A162" t="s">
        <v>1351</v>
      </c>
      <c r="B162" t="s">
        <v>1371</v>
      </c>
      <c r="C162" t="s">
        <v>643</v>
      </c>
      <c r="D162" t="s">
        <v>532</v>
      </c>
      <c r="E162" t="s">
        <v>902</v>
      </c>
      <c r="F162" t="s">
        <v>649</v>
      </c>
      <c r="G162" t="s">
        <v>16</v>
      </c>
      <c r="H162" t="s">
        <v>1597</v>
      </c>
      <c r="I162" t="s">
        <v>692</v>
      </c>
      <c r="J162" t="s">
        <v>1598</v>
      </c>
      <c r="K162" t="s">
        <v>673</v>
      </c>
      <c r="L162" t="s">
        <v>1599</v>
      </c>
      <c r="M162" t="s">
        <v>1386</v>
      </c>
      <c r="N162" t="s">
        <v>639</v>
      </c>
      <c r="O162" t="s">
        <v>724</v>
      </c>
      <c r="P162" t="s">
        <v>673</v>
      </c>
      <c r="Q162" t="s">
        <v>713</v>
      </c>
      <c r="R162" t="s">
        <v>721</v>
      </c>
      <c r="S162" t="s">
        <v>841</v>
      </c>
      <c r="T162" t="s">
        <v>676</v>
      </c>
      <c r="U162" t="s">
        <v>1597</v>
      </c>
    </row>
    <row r="163" spans="1:21" ht="14.25" x14ac:dyDescent="0.2">
      <c r="A163" t="s">
        <v>1351</v>
      </c>
      <c r="B163" t="s">
        <v>1371</v>
      </c>
      <c r="C163" t="s">
        <v>643</v>
      </c>
      <c r="D163" t="s">
        <v>532</v>
      </c>
      <c r="E163" t="s">
        <v>902</v>
      </c>
      <c r="F163" t="s">
        <v>649</v>
      </c>
      <c r="G163" t="s">
        <v>16</v>
      </c>
      <c r="H163" t="s">
        <v>1597</v>
      </c>
      <c r="I163" t="s">
        <v>692</v>
      </c>
      <c r="J163" t="s">
        <v>1598</v>
      </c>
      <c r="K163" t="s">
        <v>673</v>
      </c>
      <c r="L163" t="s">
        <v>1599</v>
      </c>
      <c r="M163" t="s">
        <v>1386</v>
      </c>
      <c r="N163" t="s">
        <v>639</v>
      </c>
      <c r="O163" t="s">
        <v>724</v>
      </c>
      <c r="P163" t="s">
        <v>673</v>
      </c>
      <c r="Q163" t="s">
        <v>713</v>
      </c>
      <c r="R163" t="s">
        <v>959</v>
      </c>
      <c r="S163" t="s">
        <v>2396</v>
      </c>
      <c r="T163" t="s">
        <v>676</v>
      </c>
      <c r="U163" t="s">
        <v>1597</v>
      </c>
    </row>
    <row r="164" spans="1:21" ht="14.25" x14ac:dyDescent="0.2">
      <c r="A164" t="s">
        <v>1351</v>
      </c>
      <c r="B164" t="s">
        <v>1371</v>
      </c>
      <c r="C164" t="s">
        <v>643</v>
      </c>
      <c r="D164" t="s">
        <v>417</v>
      </c>
      <c r="E164" t="s">
        <v>717</v>
      </c>
      <c r="F164" t="s">
        <v>636</v>
      </c>
      <c r="G164" t="s">
        <v>16</v>
      </c>
      <c r="H164" t="s">
        <v>1378</v>
      </c>
      <c r="I164" t="s">
        <v>643</v>
      </c>
      <c r="J164" t="s">
        <v>643</v>
      </c>
      <c r="K164" t="s">
        <v>654</v>
      </c>
      <c r="L164" t="s">
        <v>1379</v>
      </c>
      <c r="M164" t="s">
        <v>1380</v>
      </c>
      <c r="N164" t="s">
        <v>639</v>
      </c>
      <c r="O164" t="s">
        <v>718</v>
      </c>
      <c r="P164" t="s">
        <v>673</v>
      </c>
      <c r="Q164" t="s">
        <v>643</v>
      </c>
      <c r="R164" t="s">
        <v>643</v>
      </c>
      <c r="S164" t="s">
        <v>643</v>
      </c>
      <c r="T164" t="s">
        <v>643</v>
      </c>
      <c r="U164" t="s">
        <v>1378</v>
      </c>
    </row>
    <row r="165" spans="1:21" ht="14.25" x14ac:dyDescent="0.2">
      <c r="A165" t="s">
        <v>1604</v>
      </c>
      <c r="B165" t="s">
        <v>643</v>
      </c>
      <c r="C165" t="s">
        <v>643</v>
      </c>
      <c r="D165" t="s">
        <v>908</v>
      </c>
      <c r="E165" t="s">
        <v>907</v>
      </c>
      <c r="F165" t="s">
        <v>709</v>
      </c>
      <c r="G165" t="s">
        <v>16</v>
      </c>
      <c r="H165" t="s">
        <v>1368</v>
      </c>
      <c r="I165" t="s">
        <v>643</v>
      </c>
      <c r="J165" t="s">
        <v>643</v>
      </c>
      <c r="K165" t="s">
        <v>703</v>
      </c>
      <c r="L165" t="s">
        <v>1605</v>
      </c>
      <c r="M165" t="s">
        <v>1370</v>
      </c>
      <c r="N165" t="s">
        <v>639</v>
      </c>
      <c r="O165" t="s">
        <v>909</v>
      </c>
      <c r="P165" t="s">
        <v>910</v>
      </c>
      <c r="Q165" t="s">
        <v>643</v>
      </c>
      <c r="R165" t="s">
        <v>911</v>
      </c>
      <c r="S165" t="s">
        <v>776</v>
      </c>
      <c r="T165" t="s">
        <v>676</v>
      </c>
      <c r="U165" t="s">
        <v>1368</v>
      </c>
    </row>
    <row r="166" spans="1:21" ht="14.25" x14ac:dyDescent="0.2">
      <c r="A166" t="s">
        <v>1604</v>
      </c>
      <c r="B166" t="s">
        <v>643</v>
      </c>
      <c r="C166" t="s">
        <v>643</v>
      </c>
      <c r="D166" t="s">
        <v>913</v>
      </c>
      <c r="E166" t="s">
        <v>912</v>
      </c>
      <c r="F166" t="s">
        <v>709</v>
      </c>
      <c r="G166" t="s">
        <v>16</v>
      </c>
      <c r="H166" t="s">
        <v>1368</v>
      </c>
      <c r="I166" t="s">
        <v>643</v>
      </c>
      <c r="J166" t="s">
        <v>643</v>
      </c>
      <c r="K166" t="s">
        <v>703</v>
      </c>
      <c r="L166" t="s">
        <v>1606</v>
      </c>
      <c r="M166" t="s">
        <v>1370</v>
      </c>
      <c r="N166" t="s">
        <v>639</v>
      </c>
      <c r="O166" t="s">
        <v>909</v>
      </c>
      <c r="P166" t="s">
        <v>910</v>
      </c>
      <c r="Q166" t="s">
        <v>643</v>
      </c>
      <c r="R166" t="s">
        <v>911</v>
      </c>
      <c r="S166" t="s">
        <v>776</v>
      </c>
      <c r="T166" t="s">
        <v>676</v>
      </c>
      <c r="U166" t="s">
        <v>1368</v>
      </c>
    </row>
    <row r="167" spans="1:21" ht="14.25" x14ac:dyDescent="0.2">
      <c r="A167" t="s">
        <v>1351</v>
      </c>
      <c r="B167" t="s">
        <v>1371</v>
      </c>
      <c r="C167" t="s">
        <v>643</v>
      </c>
      <c r="D167" t="s">
        <v>528</v>
      </c>
      <c r="E167" t="s">
        <v>833</v>
      </c>
      <c r="F167" t="s">
        <v>636</v>
      </c>
      <c r="G167" t="s">
        <v>16</v>
      </c>
      <c r="H167" t="s">
        <v>1509</v>
      </c>
      <c r="I167" t="s">
        <v>643</v>
      </c>
      <c r="J167" t="s">
        <v>643</v>
      </c>
      <c r="K167" t="s">
        <v>654</v>
      </c>
      <c r="L167" t="s">
        <v>1510</v>
      </c>
      <c r="M167" t="s">
        <v>1511</v>
      </c>
      <c r="N167" t="s">
        <v>639</v>
      </c>
      <c r="O167" t="s">
        <v>718</v>
      </c>
      <c r="P167" t="s">
        <v>673</v>
      </c>
      <c r="Q167" t="s">
        <v>643</v>
      </c>
      <c r="R167" t="s">
        <v>643</v>
      </c>
      <c r="S167" t="s">
        <v>643</v>
      </c>
      <c r="T167" t="s">
        <v>643</v>
      </c>
      <c r="U167" t="s">
        <v>1509</v>
      </c>
    </row>
    <row r="168" spans="1:21" ht="14.25" x14ac:dyDescent="0.2">
      <c r="A168" t="s">
        <v>1351</v>
      </c>
      <c r="B168" t="s">
        <v>1371</v>
      </c>
      <c r="C168" t="s">
        <v>643</v>
      </c>
      <c r="D168" t="s">
        <v>529</v>
      </c>
      <c r="E168" t="s">
        <v>876</v>
      </c>
      <c r="F168" t="s">
        <v>636</v>
      </c>
      <c r="G168" t="s">
        <v>16</v>
      </c>
      <c r="H168" t="s">
        <v>1509</v>
      </c>
      <c r="I168" t="s">
        <v>643</v>
      </c>
      <c r="J168" t="s">
        <v>643</v>
      </c>
      <c r="K168" t="s">
        <v>654</v>
      </c>
      <c r="L168" t="s">
        <v>1571</v>
      </c>
      <c r="M168" t="s">
        <v>1511</v>
      </c>
      <c r="N168" t="s">
        <v>639</v>
      </c>
      <c r="O168" t="s">
        <v>718</v>
      </c>
      <c r="P168" t="s">
        <v>673</v>
      </c>
      <c r="Q168" t="s">
        <v>643</v>
      </c>
      <c r="R168" t="s">
        <v>643</v>
      </c>
      <c r="S168" t="s">
        <v>643</v>
      </c>
      <c r="T168" t="s">
        <v>643</v>
      </c>
      <c r="U168" t="s">
        <v>1509</v>
      </c>
    </row>
    <row r="169" spans="1:21" ht="14.25" x14ac:dyDescent="0.2">
      <c r="A169" t="s">
        <v>1604</v>
      </c>
      <c r="B169" t="s">
        <v>643</v>
      </c>
      <c r="C169" t="s">
        <v>643</v>
      </c>
      <c r="D169" t="s">
        <v>269</v>
      </c>
      <c r="E169" t="s">
        <v>916</v>
      </c>
      <c r="F169" t="s">
        <v>636</v>
      </c>
      <c r="G169" t="s">
        <v>27</v>
      </c>
      <c r="H169" t="s">
        <v>1614</v>
      </c>
      <c r="I169" t="s">
        <v>643</v>
      </c>
      <c r="J169" t="s">
        <v>643</v>
      </c>
      <c r="K169" t="s">
        <v>703</v>
      </c>
      <c r="L169" t="s">
        <v>1615</v>
      </c>
      <c r="M169" t="s">
        <v>1616</v>
      </c>
      <c r="N169" t="s">
        <v>639</v>
      </c>
      <c r="O169" t="s">
        <v>909</v>
      </c>
      <c r="P169" t="s">
        <v>910</v>
      </c>
      <c r="Q169" t="s">
        <v>643</v>
      </c>
      <c r="R169" t="s">
        <v>643</v>
      </c>
      <c r="S169" t="s">
        <v>643</v>
      </c>
      <c r="T169" t="s">
        <v>643</v>
      </c>
      <c r="U169" t="s">
        <v>1614</v>
      </c>
    </row>
    <row r="170" spans="1:21" ht="14.25" x14ac:dyDescent="0.2">
      <c r="A170" t="s">
        <v>1294</v>
      </c>
      <c r="B170" t="s">
        <v>1523</v>
      </c>
      <c r="C170" t="s">
        <v>643</v>
      </c>
      <c r="D170" t="s">
        <v>918</v>
      </c>
      <c r="E170" t="s">
        <v>917</v>
      </c>
      <c r="F170" t="s">
        <v>636</v>
      </c>
      <c r="G170" t="s">
        <v>34</v>
      </c>
      <c r="H170" t="s">
        <v>1617</v>
      </c>
      <c r="I170" t="s">
        <v>643</v>
      </c>
      <c r="J170" t="s">
        <v>643</v>
      </c>
      <c r="K170" t="s">
        <v>654</v>
      </c>
      <c r="L170" t="s">
        <v>1618</v>
      </c>
      <c r="M170" t="s">
        <v>1619</v>
      </c>
      <c r="N170" t="s">
        <v>639</v>
      </c>
      <c r="O170" t="s">
        <v>919</v>
      </c>
      <c r="P170" t="s">
        <v>637</v>
      </c>
      <c r="Q170" t="s">
        <v>643</v>
      </c>
      <c r="R170" t="s">
        <v>643</v>
      </c>
      <c r="S170" t="s">
        <v>643</v>
      </c>
      <c r="T170" t="s">
        <v>643</v>
      </c>
      <c r="U170" t="s">
        <v>1617</v>
      </c>
    </row>
    <row r="171" spans="1:21" ht="14.25" x14ac:dyDescent="0.2">
      <c r="A171" t="s">
        <v>1294</v>
      </c>
      <c r="B171" t="s">
        <v>1523</v>
      </c>
      <c r="C171" t="s">
        <v>643</v>
      </c>
      <c r="D171" t="s">
        <v>921</v>
      </c>
      <c r="E171" t="s">
        <v>920</v>
      </c>
      <c r="F171" t="s">
        <v>636</v>
      </c>
      <c r="G171" t="s">
        <v>34</v>
      </c>
      <c r="H171" t="s">
        <v>1617</v>
      </c>
      <c r="I171" t="s">
        <v>643</v>
      </c>
      <c r="J171" t="s">
        <v>643</v>
      </c>
      <c r="K171" t="s">
        <v>654</v>
      </c>
      <c r="L171" t="s">
        <v>1620</v>
      </c>
      <c r="M171" t="s">
        <v>1619</v>
      </c>
      <c r="N171" t="s">
        <v>639</v>
      </c>
      <c r="O171" t="s">
        <v>919</v>
      </c>
      <c r="P171" t="s">
        <v>637</v>
      </c>
      <c r="Q171" t="s">
        <v>643</v>
      </c>
      <c r="R171" t="s">
        <v>643</v>
      </c>
      <c r="S171" t="s">
        <v>643</v>
      </c>
      <c r="T171" t="s">
        <v>643</v>
      </c>
      <c r="U171" t="s">
        <v>1617</v>
      </c>
    </row>
    <row r="172" spans="1:21" ht="14.25" x14ac:dyDescent="0.2">
      <c r="A172" t="s">
        <v>1294</v>
      </c>
      <c r="B172" t="s">
        <v>1295</v>
      </c>
      <c r="C172" t="s">
        <v>643</v>
      </c>
      <c r="D172" t="s">
        <v>923</v>
      </c>
      <c r="E172" t="s">
        <v>922</v>
      </c>
      <c r="F172" t="s">
        <v>636</v>
      </c>
      <c r="G172" t="s">
        <v>40</v>
      </c>
      <c r="H172" t="s">
        <v>1621</v>
      </c>
      <c r="I172" t="s">
        <v>643</v>
      </c>
      <c r="J172" t="s">
        <v>643</v>
      </c>
      <c r="K172" t="s">
        <v>654</v>
      </c>
      <c r="L172" t="s">
        <v>1622</v>
      </c>
      <c r="M172" t="s">
        <v>1623</v>
      </c>
      <c r="N172" t="s">
        <v>639</v>
      </c>
      <c r="O172" t="s">
        <v>844</v>
      </c>
      <c r="P172" t="s">
        <v>637</v>
      </c>
      <c r="Q172" t="s">
        <v>643</v>
      </c>
      <c r="R172" t="s">
        <v>643</v>
      </c>
      <c r="S172" t="s">
        <v>643</v>
      </c>
      <c r="T172" t="s">
        <v>643</v>
      </c>
      <c r="U172" t="s">
        <v>1621</v>
      </c>
    </row>
    <row r="173" spans="1:21" ht="14.25" x14ac:dyDescent="0.2">
      <c r="A173" t="s">
        <v>1294</v>
      </c>
      <c r="B173" t="s">
        <v>1295</v>
      </c>
      <c r="C173" t="s">
        <v>643</v>
      </c>
      <c r="D173" t="s">
        <v>216</v>
      </c>
      <c r="E173" t="s">
        <v>924</v>
      </c>
      <c r="F173" t="s">
        <v>636</v>
      </c>
      <c r="G173" t="s">
        <v>925</v>
      </c>
      <c r="H173" t="s">
        <v>1621</v>
      </c>
      <c r="I173" t="s">
        <v>643</v>
      </c>
      <c r="J173" t="s">
        <v>643</v>
      </c>
      <c r="K173" t="s">
        <v>654</v>
      </c>
      <c r="L173" t="s">
        <v>1624</v>
      </c>
      <c r="M173" t="s">
        <v>1623</v>
      </c>
      <c r="N173" t="s">
        <v>639</v>
      </c>
      <c r="O173" t="s">
        <v>844</v>
      </c>
      <c r="P173" t="s">
        <v>637</v>
      </c>
      <c r="Q173" t="s">
        <v>643</v>
      </c>
      <c r="R173" t="s">
        <v>643</v>
      </c>
      <c r="S173" t="s">
        <v>643</v>
      </c>
      <c r="T173" t="s">
        <v>643</v>
      </c>
      <c r="U173" t="s">
        <v>1621</v>
      </c>
    </row>
    <row r="174" spans="1:21" ht="14.25" x14ac:dyDescent="0.2">
      <c r="A174" t="s">
        <v>1294</v>
      </c>
      <c r="B174" t="s">
        <v>1295</v>
      </c>
      <c r="C174" t="s">
        <v>643</v>
      </c>
      <c r="D174" t="s">
        <v>91</v>
      </c>
      <c r="E174" t="s">
        <v>926</v>
      </c>
      <c r="F174" t="s">
        <v>636</v>
      </c>
      <c r="G174" t="s">
        <v>664</v>
      </c>
      <c r="H174" t="s">
        <v>1625</v>
      </c>
      <c r="I174" t="s">
        <v>643</v>
      </c>
      <c r="J174" t="s">
        <v>643</v>
      </c>
      <c r="K174" t="s">
        <v>654</v>
      </c>
      <c r="L174" t="s">
        <v>1626</v>
      </c>
      <c r="M174" t="s">
        <v>1627</v>
      </c>
      <c r="N174" t="s">
        <v>639</v>
      </c>
      <c r="O174" t="s">
        <v>844</v>
      </c>
      <c r="P174" t="s">
        <v>637</v>
      </c>
      <c r="Q174" t="s">
        <v>643</v>
      </c>
      <c r="R174" t="s">
        <v>643</v>
      </c>
      <c r="S174" t="s">
        <v>643</v>
      </c>
      <c r="T174" t="s">
        <v>643</v>
      </c>
      <c r="U174" t="s">
        <v>1625</v>
      </c>
    </row>
    <row r="175" spans="1:21" ht="14.25" x14ac:dyDescent="0.2">
      <c r="A175" t="s">
        <v>1294</v>
      </c>
      <c r="B175" t="s">
        <v>1311</v>
      </c>
      <c r="C175" t="s">
        <v>643</v>
      </c>
      <c r="D175" t="s">
        <v>267</v>
      </c>
      <c r="E175" t="s">
        <v>927</v>
      </c>
      <c r="F175" t="s">
        <v>636</v>
      </c>
      <c r="G175" t="s">
        <v>34</v>
      </c>
      <c r="H175" t="s">
        <v>1625</v>
      </c>
      <c r="I175" t="s">
        <v>643</v>
      </c>
      <c r="J175" t="s">
        <v>643</v>
      </c>
      <c r="K175" t="s">
        <v>654</v>
      </c>
      <c r="L175" t="s">
        <v>1628</v>
      </c>
      <c r="M175" t="s">
        <v>1627</v>
      </c>
      <c r="N175" t="s">
        <v>639</v>
      </c>
      <c r="O175" t="s">
        <v>844</v>
      </c>
      <c r="P175" t="s">
        <v>637</v>
      </c>
      <c r="Q175" t="s">
        <v>643</v>
      </c>
      <c r="R175" t="s">
        <v>643</v>
      </c>
      <c r="S175" t="s">
        <v>643</v>
      </c>
      <c r="T175" t="s">
        <v>643</v>
      </c>
      <c r="U175" t="s">
        <v>1625</v>
      </c>
    </row>
    <row r="176" spans="1:21" ht="14.25" x14ac:dyDescent="0.2">
      <c r="A176" t="s">
        <v>1320</v>
      </c>
      <c r="B176" t="s">
        <v>1558</v>
      </c>
      <c r="C176" t="s">
        <v>643</v>
      </c>
      <c r="D176" t="s">
        <v>455</v>
      </c>
      <c r="E176" t="s">
        <v>928</v>
      </c>
      <c r="F176" t="s">
        <v>649</v>
      </c>
      <c r="G176" t="s">
        <v>16</v>
      </c>
      <c r="H176" t="s">
        <v>1629</v>
      </c>
      <c r="I176" t="s">
        <v>727</v>
      </c>
      <c r="J176" t="s">
        <v>1630</v>
      </c>
      <c r="K176" t="s">
        <v>673</v>
      </c>
      <c r="L176" t="s">
        <v>1631</v>
      </c>
      <c r="M176" t="s">
        <v>1566</v>
      </c>
      <c r="N176" t="s">
        <v>639</v>
      </c>
      <c r="O176" t="s">
        <v>872</v>
      </c>
      <c r="P176" t="s">
        <v>673</v>
      </c>
      <c r="Q176" t="s">
        <v>670</v>
      </c>
      <c r="R176" t="s">
        <v>929</v>
      </c>
      <c r="S176" t="s">
        <v>930</v>
      </c>
      <c r="T176" t="s">
        <v>676</v>
      </c>
      <c r="U176" t="s">
        <v>1629</v>
      </c>
    </row>
    <row r="177" spans="1:21" ht="14.25" x14ac:dyDescent="0.2">
      <c r="A177" t="s">
        <v>1351</v>
      </c>
      <c r="B177" t="s">
        <v>1371</v>
      </c>
      <c r="C177" t="s">
        <v>643</v>
      </c>
      <c r="D177" t="s">
        <v>533</v>
      </c>
      <c r="E177" t="s">
        <v>903</v>
      </c>
      <c r="F177" t="s">
        <v>636</v>
      </c>
      <c r="G177" t="s">
        <v>16</v>
      </c>
      <c r="H177" t="s">
        <v>1600</v>
      </c>
      <c r="I177" t="s">
        <v>692</v>
      </c>
      <c r="J177" t="s">
        <v>1601</v>
      </c>
      <c r="K177" t="s">
        <v>673</v>
      </c>
      <c r="L177" t="s">
        <v>1602</v>
      </c>
      <c r="M177" t="s">
        <v>1603</v>
      </c>
      <c r="N177" t="s">
        <v>639</v>
      </c>
      <c r="O177" t="s">
        <v>712</v>
      </c>
      <c r="P177" t="s">
        <v>673</v>
      </c>
      <c r="Q177" t="s">
        <v>713</v>
      </c>
      <c r="R177" t="s">
        <v>904</v>
      </c>
      <c r="S177" t="s">
        <v>905</v>
      </c>
      <c r="T177" t="s">
        <v>654</v>
      </c>
      <c r="U177" t="s">
        <v>1600</v>
      </c>
    </row>
    <row r="178" spans="1:21" ht="14.25" x14ac:dyDescent="0.2">
      <c r="A178" t="s">
        <v>1351</v>
      </c>
      <c r="B178" t="s">
        <v>1371</v>
      </c>
      <c r="C178" t="s">
        <v>643</v>
      </c>
      <c r="D178" t="s">
        <v>534</v>
      </c>
      <c r="E178" t="s">
        <v>914</v>
      </c>
      <c r="F178" t="s">
        <v>636</v>
      </c>
      <c r="G178" t="s">
        <v>16</v>
      </c>
      <c r="H178" t="s">
        <v>1607</v>
      </c>
      <c r="I178" t="s">
        <v>692</v>
      </c>
      <c r="J178" t="s">
        <v>1608</v>
      </c>
      <c r="K178" t="s">
        <v>673</v>
      </c>
      <c r="L178" t="s">
        <v>1609</v>
      </c>
      <c r="M178" t="s">
        <v>1610</v>
      </c>
      <c r="N178" t="s">
        <v>639</v>
      </c>
      <c r="O178" t="s">
        <v>724</v>
      </c>
      <c r="P178" t="s">
        <v>673</v>
      </c>
      <c r="Q178" t="s">
        <v>713</v>
      </c>
      <c r="R178" t="s">
        <v>657</v>
      </c>
      <c r="S178" t="s">
        <v>657</v>
      </c>
      <c r="T178" t="s">
        <v>654</v>
      </c>
      <c r="U178" t="s">
        <v>1607</v>
      </c>
    </row>
    <row r="179" spans="1:21" ht="14.25" x14ac:dyDescent="0.2">
      <c r="A179" t="s">
        <v>1351</v>
      </c>
      <c r="B179" t="s">
        <v>1371</v>
      </c>
      <c r="C179" t="s">
        <v>643</v>
      </c>
      <c r="D179" t="s">
        <v>114</v>
      </c>
      <c r="E179" t="s">
        <v>1112</v>
      </c>
      <c r="F179" t="s">
        <v>636</v>
      </c>
      <c r="G179" t="s">
        <v>664</v>
      </c>
      <c r="H179" t="s">
        <v>1900</v>
      </c>
      <c r="I179" t="s">
        <v>692</v>
      </c>
      <c r="J179" t="s">
        <v>1901</v>
      </c>
      <c r="K179" t="s">
        <v>673</v>
      </c>
      <c r="L179" t="s">
        <v>1902</v>
      </c>
      <c r="M179" t="s">
        <v>1903</v>
      </c>
      <c r="N179" t="s">
        <v>639</v>
      </c>
      <c r="O179" t="s">
        <v>724</v>
      </c>
      <c r="P179" t="s">
        <v>673</v>
      </c>
      <c r="Q179" t="s">
        <v>713</v>
      </c>
      <c r="R179" t="s">
        <v>643</v>
      </c>
      <c r="S179" t="s">
        <v>643</v>
      </c>
      <c r="T179" t="s">
        <v>643</v>
      </c>
      <c r="U179" t="s">
        <v>1900</v>
      </c>
    </row>
    <row r="180" spans="1:21" ht="14.25" x14ac:dyDescent="0.2">
      <c r="A180" t="s">
        <v>1294</v>
      </c>
      <c r="B180" t="s">
        <v>1295</v>
      </c>
      <c r="C180" t="s">
        <v>643</v>
      </c>
      <c r="D180" t="s">
        <v>213</v>
      </c>
      <c r="E180" t="s">
        <v>935</v>
      </c>
      <c r="F180" t="s">
        <v>636</v>
      </c>
      <c r="G180" t="s">
        <v>16</v>
      </c>
      <c r="H180" t="s">
        <v>1625</v>
      </c>
      <c r="I180" t="s">
        <v>643</v>
      </c>
      <c r="J180" t="s">
        <v>643</v>
      </c>
      <c r="K180" t="s">
        <v>654</v>
      </c>
      <c r="L180" t="s">
        <v>1639</v>
      </c>
      <c r="M180" t="s">
        <v>1627</v>
      </c>
      <c r="N180" t="s">
        <v>639</v>
      </c>
      <c r="O180" t="s">
        <v>844</v>
      </c>
      <c r="P180" t="s">
        <v>637</v>
      </c>
      <c r="Q180" t="s">
        <v>643</v>
      </c>
      <c r="R180" t="s">
        <v>936</v>
      </c>
      <c r="S180" t="s">
        <v>937</v>
      </c>
      <c r="T180" t="s">
        <v>698</v>
      </c>
      <c r="U180" t="s">
        <v>1625</v>
      </c>
    </row>
    <row r="181" spans="1:21" ht="14.25" x14ac:dyDescent="0.2">
      <c r="A181" t="s">
        <v>1294</v>
      </c>
      <c r="B181" t="s">
        <v>1295</v>
      </c>
      <c r="C181" t="s">
        <v>643</v>
      </c>
      <c r="D181" t="s">
        <v>213</v>
      </c>
      <c r="E181" t="s">
        <v>935</v>
      </c>
      <c r="F181" t="s">
        <v>636</v>
      </c>
      <c r="G181" t="s">
        <v>16</v>
      </c>
      <c r="H181" t="s">
        <v>1625</v>
      </c>
      <c r="I181" t="s">
        <v>643</v>
      </c>
      <c r="J181" t="s">
        <v>643</v>
      </c>
      <c r="K181" t="s">
        <v>654</v>
      </c>
      <c r="L181" t="s">
        <v>1639</v>
      </c>
      <c r="M181" t="s">
        <v>1627</v>
      </c>
      <c r="N181" t="s">
        <v>639</v>
      </c>
      <c r="O181" t="s">
        <v>844</v>
      </c>
      <c r="P181" t="s">
        <v>637</v>
      </c>
      <c r="Q181" t="s">
        <v>643</v>
      </c>
      <c r="R181" t="s">
        <v>2397</v>
      </c>
      <c r="S181" t="s">
        <v>2398</v>
      </c>
      <c r="T181" t="s">
        <v>698</v>
      </c>
      <c r="U181" t="s">
        <v>1625</v>
      </c>
    </row>
    <row r="182" spans="1:21" ht="14.25" x14ac:dyDescent="0.2">
      <c r="A182" t="s">
        <v>1294</v>
      </c>
      <c r="B182" t="s">
        <v>1295</v>
      </c>
      <c r="C182" t="s">
        <v>643</v>
      </c>
      <c r="D182" t="s">
        <v>213</v>
      </c>
      <c r="E182" t="s">
        <v>935</v>
      </c>
      <c r="F182" t="s">
        <v>636</v>
      </c>
      <c r="G182" t="s">
        <v>16</v>
      </c>
      <c r="H182" t="s">
        <v>1625</v>
      </c>
      <c r="I182" t="s">
        <v>643</v>
      </c>
      <c r="J182" t="s">
        <v>643</v>
      </c>
      <c r="K182" t="s">
        <v>654</v>
      </c>
      <c r="L182" t="s">
        <v>1639</v>
      </c>
      <c r="M182" t="s">
        <v>1627</v>
      </c>
      <c r="N182" t="s">
        <v>639</v>
      </c>
      <c r="O182" t="s">
        <v>844</v>
      </c>
      <c r="P182" t="s">
        <v>637</v>
      </c>
      <c r="Q182" t="s">
        <v>643</v>
      </c>
      <c r="R182" t="s">
        <v>714</v>
      </c>
      <c r="S182" t="s">
        <v>714</v>
      </c>
      <c r="T182" t="s">
        <v>654</v>
      </c>
      <c r="U182" t="s">
        <v>1625</v>
      </c>
    </row>
    <row r="183" spans="1:21" ht="14.25" x14ac:dyDescent="0.2">
      <c r="A183" t="s">
        <v>1294</v>
      </c>
      <c r="B183" t="s">
        <v>1295</v>
      </c>
      <c r="C183" t="s">
        <v>643</v>
      </c>
      <c r="D183" t="s">
        <v>213</v>
      </c>
      <c r="E183" t="s">
        <v>935</v>
      </c>
      <c r="F183" t="s">
        <v>636</v>
      </c>
      <c r="G183" t="s">
        <v>16</v>
      </c>
      <c r="H183" t="s">
        <v>1625</v>
      </c>
      <c r="I183" t="s">
        <v>643</v>
      </c>
      <c r="J183" t="s">
        <v>643</v>
      </c>
      <c r="K183" t="s">
        <v>654</v>
      </c>
      <c r="L183" t="s">
        <v>1639</v>
      </c>
      <c r="M183" t="s">
        <v>1627</v>
      </c>
      <c r="N183" t="s">
        <v>639</v>
      </c>
      <c r="O183" t="s">
        <v>844</v>
      </c>
      <c r="P183" t="s">
        <v>637</v>
      </c>
      <c r="Q183" t="s">
        <v>643</v>
      </c>
      <c r="R183" t="s">
        <v>714</v>
      </c>
      <c r="S183" t="s">
        <v>714</v>
      </c>
      <c r="T183" t="s">
        <v>654</v>
      </c>
      <c r="U183" t="s">
        <v>1625</v>
      </c>
    </row>
    <row r="184" spans="1:21" ht="14.25" x14ac:dyDescent="0.2">
      <c r="A184" t="s">
        <v>1294</v>
      </c>
      <c r="B184" t="s">
        <v>1295</v>
      </c>
      <c r="C184" t="s">
        <v>643</v>
      </c>
      <c r="D184" t="s">
        <v>213</v>
      </c>
      <c r="E184" t="s">
        <v>935</v>
      </c>
      <c r="F184" t="s">
        <v>636</v>
      </c>
      <c r="G184" t="s">
        <v>16</v>
      </c>
      <c r="H184" t="s">
        <v>1625</v>
      </c>
      <c r="I184" t="s">
        <v>643</v>
      </c>
      <c r="J184" t="s">
        <v>643</v>
      </c>
      <c r="K184" t="s">
        <v>654</v>
      </c>
      <c r="L184" t="s">
        <v>1639</v>
      </c>
      <c r="M184" t="s">
        <v>1627</v>
      </c>
      <c r="N184" t="s">
        <v>639</v>
      </c>
      <c r="O184" t="s">
        <v>844</v>
      </c>
      <c r="P184" t="s">
        <v>637</v>
      </c>
      <c r="Q184" t="s">
        <v>643</v>
      </c>
      <c r="R184" t="s">
        <v>714</v>
      </c>
      <c r="S184" t="s">
        <v>714</v>
      </c>
      <c r="T184" t="s">
        <v>654</v>
      </c>
      <c r="U184" t="s">
        <v>1625</v>
      </c>
    </row>
    <row r="185" spans="1:21" ht="14.25" x14ac:dyDescent="0.2">
      <c r="A185" t="s">
        <v>1294</v>
      </c>
      <c r="B185" t="s">
        <v>1295</v>
      </c>
      <c r="C185" t="s">
        <v>643</v>
      </c>
      <c r="D185" t="s">
        <v>213</v>
      </c>
      <c r="E185" t="s">
        <v>935</v>
      </c>
      <c r="F185" t="s">
        <v>636</v>
      </c>
      <c r="G185" t="s">
        <v>16</v>
      </c>
      <c r="H185" t="s">
        <v>1625</v>
      </c>
      <c r="I185" t="s">
        <v>643</v>
      </c>
      <c r="J185" t="s">
        <v>643</v>
      </c>
      <c r="K185" t="s">
        <v>654</v>
      </c>
      <c r="L185" t="s">
        <v>1639</v>
      </c>
      <c r="M185" t="s">
        <v>1627</v>
      </c>
      <c r="N185" t="s">
        <v>639</v>
      </c>
      <c r="O185" t="s">
        <v>844</v>
      </c>
      <c r="P185" t="s">
        <v>637</v>
      </c>
      <c r="Q185" t="s">
        <v>643</v>
      </c>
      <c r="R185" t="s">
        <v>714</v>
      </c>
      <c r="S185" t="s">
        <v>714</v>
      </c>
      <c r="T185" t="s">
        <v>2399</v>
      </c>
      <c r="U185" t="s">
        <v>1625</v>
      </c>
    </row>
    <row r="186" spans="1:21" ht="14.25" x14ac:dyDescent="0.2">
      <c r="A186" t="s">
        <v>1294</v>
      </c>
      <c r="B186" t="s">
        <v>1295</v>
      </c>
      <c r="C186" t="s">
        <v>643</v>
      </c>
      <c r="D186" t="s">
        <v>213</v>
      </c>
      <c r="E186" t="s">
        <v>935</v>
      </c>
      <c r="F186" t="s">
        <v>636</v>
      </c>
      <c r="G186" t="s">
        <v>16</v>
      </c>
      <c r="H186" t="s">
        <v>1625</v>
      </c>
      <c r="I186" t="s">
        <v>643</v>
      </c>
      <c r="J186" t="s">
        <v>643</v>
      </c>
      <c r="K186" t="s">
        <v>654</v>
      </c>
      <c r="L186" t="s">
        <v>1639</v>
      </c>
      <c r="M186" t="s">
        <v>1627</v>
      </c>
      <c r="N186" t="s">
        <v>639</v>
      </c>
      <c r="O186" t="s">
        <v>844</v>
      </c>
      <c r="P186" t="s">
        <v>637</v>
      </c>
      <c r="Q186" t="s">
        <v>643</v>
      </c>
      <c r="R186" t="s">
        <v>2400</v>
      </c>
      <c r="S186" t="s">
        <v>2400</v>
      </c>
      <c r="T186" t="s">
        <v>2399</v>
      </c>
      <c r="U186" t="s">
        <v>1625</v>
      </c>
    </row>
    <row r="187" spans="1:21" ht="14.25" x14ac:dyDescent="0.2">
      <c r="A187" t="s">
        <v>1294</v>
      </c>
      <c r="B187" t="s">
        <v>1295</v>
      </c>
      <c r="C187" t="s">
        <v>643</v>
      </c>
      <c r="D187" t="s">
        <v>213</v>
      </c>
      <c r="E187" t="s">
        <v>935</v>
      </c>
      <c r="F187" t="s">
        <v>636</v>
      </c>
      <c r="G187" t="s">
        <v>16</v>
      </c>
      <c r="H187" t="s">
        <v>1625</v>
      </c>
      <c r="I187" t="s">
        <v>643</v>
      </c>
      <c r="J187" t="s">
        <v>643</v>
      </c>
      <c r="K187" t="s">
        <v>654</v>
      </c>
      <c r="L187" t="s">
        <v>1639</v>
      </c>
      <c r="M187" t="s">
        <v>1627</v>
      </c>
      <c r="N187" t="s">
        <v>639</v>
      </c>
      <c r="O187" t="s">
        <v>844</v>
      </c>
      <c r="P187" t="s">
        <v>637</v>
      </c>
      <c r="Q187" t="s">
        <v>643</v>
      </c>
      <c r="R187" t="s">
        <v>2400</v>
      </c>
      <c r="S187" t="s">
        <v>2400</v>
      </c>
      <c r="T187" t="s">
        <v>2399</v>
      </c>
      <c r="U187" t="s">
        <v>1625</v>
      </c>
    </row>
    <row r="188" spans="1:21" ht="14.25" x14ac:dyDescent="0.2">
      <c r="A188" t="s">
        <v>1294</v>
      </c>
      <c r="B188" t="s">
        <v>1295</v>
      </c>
      <c r="C188" t="s">
        <v>643</v>
      </c>
      <c r="D188" t="s">
        <v>263</v>
      </c>
      <c r="E188" t="s">
        <v>938</v>
      </c>
      <c r="F188" t="s">
        <v>636</v>
      </c>
      <c r="G188" t="s">
        <v>16</v>
      </c>
      <c r="H188" t="s">
        <v>1625</v>
      </c>
      <c r="I188" t="s">
        <v>643</v>
      </c>
      <c r="J188" t="s">
        <v>643</v>
      </c>
      <c r="K188" t="s">
        <v>654</v>
      </c>
      <c r="L188" t="s">
        <v>1640</v>
      </c>
      <c r="M188" t="s">
        <v>1627</v>
      </c>
      <c r="N188" t="s">
        <v>639</v>
      </c>
      <c r="O188" t="s">
        <v>844</v>
      </c>
      <c r="P188" t="s">
        <v>637</v>
      </c>
      <c r="Q188" t="s">
        <v>643</v>
      </c>
      <c r="R188" t="s">
        <v>939</v>
      </c>
      <c r="S188" t="s">
        <v>776</v>
      </c>
      <c r="T188" t="s">
        <v>698</v>
      </c>
      <c r="U188" t="s">
        <v>1625</v>
      </c>
    </row>
    <row r="189" spans="1:21" ht="14.25" x14ac:dyDescent="0.2">
      <c r="A189" t="s">
        <v>1294</v>
      </c>
      <c r="B189" t="s">
        <v>1295</v>
      </c>
      <c r="C189" t="s">
        <v>643</v>
      </c>
      <c r="D189" t="s">
        <v>941</v>
      </c>
      <c r="E189" t="s">
        <v>940</v>
      </c>
      <c r="F189" t="s">
        <v>636</v>
      </c>
      <c r="G189" t="s">
        <v>16</v>
      </c>
      <c r="H189" t="s">
        <v>1625</v>
      </c>
      <c r="I189" t="s">
        <v>643</v>
      </c>
      <c r="J189" t="s">
        <v>643</v>
      </c>
      <c r="K189" t="s">
        <v>654</v>
      </c>
      <c r="L189" t="s">
        <v>1641</v>
      </c>
      <c r="M189" t="s">
        <v>1627</v>
      </c>
      <c r="N189" t="s">
        <v>639</v>
      </c>
      <c r="O189" t="s">
        <v>844</v>
      </c>
      <c r="P189" t="s">
        <v>637</v>
      </c>
      <c r="Q189" t="s">
        <v>643</v>
      </c>
      <c r="R189" t="s">
        <v>942</v>
      </c>
      <c r="S189" t="s">
        <v>943</v>
      </c>
      <c r="T189" t="s">
        <v>698</v>
      </c>
      <c r="U189" t="s">
        <v>1625</v>
      </c>
    </row>
    <row r="190" spans="1:21" ht="14.25" x14ac:dyDescent="0.2">
      <c r="A190" t="s">
        <v>1294</v>
      </c>
      <c r="B190" t="s">
        <v>1295</v>
      </c>
      <c r="C190" t="s">
        <v>643</v>
      </c>
      <c r="D190" t="s">
        <v>941</v>
      </c>
      <c r="E190" t="s">
        <v>940</v>
      </c>
      <c r="F190" t="s">
        <v>636</v>
      </c>
      <c r="G190" t="s">
        <v>16</v>
      </c>
      <c r="H190" t="s">
        <v>1625</v>
      </c>
      <c r="I190" t="s">
        <v>643</v>
      </c>
      <c r="J190" t="s">
        <v>643</v>
      </c>
      <c r="K190" t="s">
        <v>654</v>
      </c>
      <c r="L190" t="s">
        <v>1641</v>
      </c>
      <c r="M190" t="s">
        <v>1627</v>
      </c>
      <c r="N190" t="s">
        <v>639</v>
      </c>
      <c r="O190" t="s">
        <v>844</v>
      </c>
      <c r="P190" t="s">
        <v>637</v>
      </c>
      <c r="Q190" t="s">
        <v>643</v>
      </c>
      <c r="R190" t="s">
        <v>714</v>
      </c>
      <c r="S190" t="s">
        <v>714</v>
      </c>
      <c r="T190" t="s">
        <v>654</v>
      </c>
      <c r="U190" t="s">
        <v>1625</v>
      </c>
    </row>
    <row r="191" spans="1:21" ht="14.25" x14ac:dyDescent="0.2">
      <c r="A191" t="s">
        <v>1294</v>
      </c>
      <c r="B191" t="s">
        <v>1295</v>
      </c>
      <c r="C191" t="s">
        <v>643</v>
      </c>
      <c r="D191" t="s">
        <v>941</v>
      </c>
      <c r="E191" t="s">
        <v>940</v>
      </c>
      <c r="F191" t="s">
        <v>636</v>
      </c>
      <c r="G191" t="s">
        <v>16</v>
      </c>
      <c r="H191" t="s">
        <v>1625</v>
      </c>
      <c r="I191" t="s">
        <v>643</v>
      </c>
      <c r="J191" t="s">
        <v>643</v>
      </c>
      <c r="K191" t="s">
        <v>654</v>
      </c>
      <c r="L191" t="s">
        <v>1641</v>
      </c>
      <c r="M191" t="s">
        <v>1627</v>
      </c>
      <c r="N191" t="s">
        <v>639</v>
      </c>
      <c r="O191" t="s">
        <v>844</v>
      </c>
      <c r="P191" t="s">
        <v>637</v>
      </c>
      <c r="Q191" t="s">
        <v>643</v>
      </c>
      <c r="R191" t="s">
        <v>714</v>
      </c>
      <c r="S191" t="s">
        <v>714</v>
      </c>
      <c r="T191" t="s">
        <v>654</v>
      </c>
      <c r="U191" t="s">
        <v>1625</v>
      </c>
    </row>
    <row r="192" spans="1:21" ht="14.25" x14ac:dyDescent="0.2">
      <c r="A192" t="s">
        <v>1450</v>
      </c>
      <c r="B192" t="s">
        <v>1451</v>
      </c>
      <c r="C192" t="s">
        <v>643</v>
      </c>
      <c r="D192" t="s">
        <v>453</v>
      </c>
      <c r="E192" t="s">
        <v>775</v>
      </c>
      <c r="F192" t="s">
        <v>649</v>
      </c>
      <c r="G192" t="s">
        <v>16</v>
      </c>
      <c r="H192" t="s">
        <v>1452</v>
      </c>
      <c r="I192" t="s">
        <v>643</v>
      </c>
      <c r="J192" t="s">
        <v>643</v>
      </c>
      <c r="K192" t="s">
        <v>654</v>
      </c>
      <c r="L192" t="s">
        <v>1453</v>
      </c>
      <c r="M192" t="s">
        <v>1454</v>
      </c>
      <c r="N192" t="s">
        <v>639</v>
      </c>
      <c r="O192" t="s">
        <v>698</v>
      </c>
      <c r="P192" t="s">
        <v>673</v>
      </c>
      <c r="Q192" t="s">
        <v>643</v>
      </c>
      <c r="R192" t="s">
        <v>721</v>
      </c>
      <c r="S192" t="s">
        <v>776</v>
      </c>
      <c r="T192" t="s">
        <v>676</v>
      </c>
      <c r="U192" t="s">
        <v>1452</v>
      </c>
    </row>
    <row r="193" spans="1:21" ht="14.25" x14ac:dyDescent="0.2">
      <c r="A193" t="s">
        <v>1450</v>
      </c>
      <c r="B193" t="s">
        <v>1451</v>
      </c>
      <c r="C193" t="s">
        <v>643</v>
      </c>
      <c r="D193" t="s">
        <v>459</v>
      </c>
      <c r="E193" t="s">
        <v>1277</v>
      </c>
      <c r="F193" t="s">
        <v>636</v>
      </c>
      <c r="G193" t="s">
        <v>16</v>
      </c>
      <c r="H193" t="s">
        <v>2162</v>
      </c>
      <c r="I193" t="s">
        <v>643</v>
      </c>
      <c r="J193" t="s">
        <v>643</v>
      </c>
      <c r="K193" t="s">
        <v>654</v>
      </c>
      <c r="L193" t="s">
        <v>2163</v>
      </c>
      <c r="M193" t="s">
        <v>2164</v>
      </c>
      <c r="N193" t="s">
        <v>639</v>
      </c>
      <c r="O193" t="s">
        <v>698</v>
      </c>
      <c r="P193" t="s">
        <v>673</v>
      </c>
      <c r="Q193" t="s">
        <v>643</v>
      </c>
      <c r="R193" t="s">
        <v>643</v>
      </c>
      <c r="S193" t="s">
        <v>643</v>
      </c>
      <c r="T193" t="s">
        <v>643</v>
      </c>
      <c r="U193" t="s">
        <v>2162</v>
      </c>
    </row>
    <row r="194" spans="1:21" ht="14.25" x14ac:dyDescent="0.2">
      <c r="A194" t="s">
        <v>1351</v>
      </c>
      <c r="B194" t="s">
        <v>1352</v>
      </c>
      <c r="C194" t="s">
        <v>643</v>
      </c>
      <c r="D194" t="s">
        <v>537</v>
      </c>
      <c r="E194" t="s">
        <v>862</v>
      </c>
      <c r="F194" t="s">
        <v>636</v>
      </c>
      <c r="G194" t="s">
        <v>16</v>
      </c>
      <c r="H194" t="s">
        <v>1552</v>
      </c>
      <c r="I194" t="s">
        <v>643</v>
      </c>
      <c r="J194" t="s">
        <v>643</v>
      </c>
      <c r="K194" t="s">
        <v>654</v>
      </c>
      <c r="L194" t="s">
        <v>1553</v>
      </c>
      <c r="M194" t="s">
        <v>1554</v>
      </c>
      <c r="N194" t="s">
        <v>639</v>
      </c>
      <c r="O194" t="s">
        <v>692</v>
      </c>
      <c r="P194" t="s">
        <v>673</v>
      </c>
      <c r="Q194" t="s">
        <v>643</v>
      </c>
      <c r="R194" t="s">
        <v>643</v>
      </c>
      <c r="S194" t="s">
        <v>643</v>
      </c>
      <c r="T194" t="s">
        <v>643</v>
      </c>
      <c r="U194" t="s">
        <v>1552</v>
      </c>
    </row>
    <row r="195" spans="1:21" ht="14.25" x14ac:dyDescent="0.2">
      <c r="A195" t="s">
        <v>1320</v>
      </c>
      <c r="B195" t="s">
        <v>1321</v>
      </c>
      <c r="C195" t="s">
        <v>643</v>
      </c>
      <c r="D195" t="s">
        <v>570</v>
      </c>
      <c r="E195" t="s">
        <v>1126</v>
      </c>
      <c r="F195" t="s">
        <v>636</v>
      </c>
      <c r="G195" t="s">
        <v>34</v>
      </c>
      <c r="H195" t="s">
        <v>1709</v>
      </c>
      <c r="I195" t="s">
        <v>669</v>
      </c>
      <c r="J195" t="s">
        <v>1926</v>
      </c>
      <c r="K195" t="s">
        <v>673</v>
      </c>
      <c r="L195" t="s">
        <v>1927</v>
      </c>
      <c r="M195" t="s">
        <v>1712</v>
      </c>
      <c r="N195" t="s">
        <v>639</v>
      </c>
      <c r="O195" t="s">
        <v>828</v>
      </c>
      <c r="P195" t="s">
        <v>673</v>
      </c>
      <c r="Q195" t="s">
        <v>683</v>
      </c>
      <c r="R195" t="s">
        <v>643</v>
      </c>
      <c r="S195" t="s">
        <v>643</v>
      </c>
      <c r="T195" t="s">
        <v>643</v>
      </c>
      <c r="U195" t="s">
        <v>1709</v>
      </c>
    </row>
    <row r="196" spans="1:21" ht="14.25" x14ac:dyDescent="0.2">
      <c r="A196" t="s">
        <v>1320</v>
      </c>
      <c r="B196" t="s">
        <v>1321</v>
      </c>
      <c r="C196" t="s">
        <v>643</v>
      </c>
      <c r="D196" t="s">
        <v>212</v>
      </c>
      <c r="E196" t="s">
        <v>998</v>
      </c>
      <c r="F196" t="s">
        <v>636</v>
      </c>
      <c r="G196" t="s">
        <v>34</v>
      </c>
      <c r="H196" t="s">
        <v>1709</v>
      </c>
      <c r="I196" t="s">
        <v>669</v>
      </c>
      <c r="J196" t="s">
        <v>1710</v>
      </c>
      <c r="K196" t="s">
        <v>673</v>
      </c>
      <c r="L196" t="s">
        <v>1711</v>
      </c>
      <c r="M196" t="s">
        <v>1712</v>
      </c>
      <c r="N196" t="s">
        <v>639</v>
      </c>
      <c r="O196" t="s">
        <v>682</v>
      </c>
      <c r="P196" t="s">
        <v>673</v>
      </c>
      <c r="Q196" t="s">
        <v>683</v>
      </c>
      <c r="R196" t="s">
        <v>999</v>
      </c>
      <c r="S196" t="s">
        <v>1000</v>
      </c>
      <c r="T196" t="s">
        <v>654</v>
      </c>
      <c r="U196" t="s">
        <v>1709</v>
      </c>
    </row>
    <row r="197" spans="1:21" ht="14.25" x14ac:dyDescent="0.2">
      <c r="A197" t="s">
        <v>1351</v>
      </c>
      <c r="B197" t="s">
        <v>1371</v>
      </c>
      <c r="C197" t="s">
        <v>643</v>
      </c>
      <c r="D197" t="s">
        <v>542</v>
      </c>
      <c r="E197" t="s">
        <v>957</v>
      </c>
      <c r="F197" t="s">
        <v>636</v>
      </c>
      <c r="G197" t="s">
        <v>16</v>
      </c>
      <c r="H197" t="s">
        <v>1636</v>
      </c>
      <c r="I197" t="s">
        <v>692</v>
      </c>
      <c r="J197" t="s">
        <v>1656</v>
      </c>
      <c r="K197" t="s">
        <v>673</v>
      </c>
      <c r="L197" t="s">
        <v>1657</v>
      </c>
      <c r="M197" t="s">
        <v>1658</v>
      </c>
      <c r="N197" t="s">
        <v>639</v>
      </c>
      <c r="O197" t="s">
        <v>692</v>
      </c>
      <c r="P197" t="s">
        <v>673</v>
      </c>
      <c r="Q197" t="s">
        <v>700</v>
      </c>
      <c r="R197" t="s">
        <v>643</v>
      </c>
      <c r="S197" t="s">
        <v>643</v>
      </c>
      <c r="T197" t="s">
        <v>643</v>
      </c>
      <c r="U197" t="s">
        <v>1636</v>
      </c>
    </row>
    <row r="198" spans="1:21" ht="14.25" x14ac:dyDescent="0.2">
      <c r="A198" t="s">
        <v>1351</v>
      </c>
      <c r="B198" t="s">
        <v>1371</v>
      </c>
      <c r="C198" t="s">
        <v>643</v>
      </c>
      <c r="D198" t="s">
        <v>536</v>
      </c>
      <c r="E198" t="s">
        <v>931</v>
      </c>
      <c r="F198" t="s">
        <v>636</v>
      </c>
      <c r="G198" t="s">
        <v>16</v>
      </c>
      <c r="H198" t="s">
        <v>1632</v>
      </c>
      <c r="I198" t="s">
        <v>692</v>
      </c>
      <c r="J198" t="s">
        <v>1633</v>
      </c>
      <c r="K198" t="s">
        <v>673</v>
      </c>
      <c r="L198" t="s">
        <v>1634</v>
      </c>
      <c r="M198" t="s">
        <v>1635</v>
      </c>
      <c r="N198" t="s">
        <v>639</v>
      </c>
      <c r="O198" t="s">
        <v>724</v>
      </c>
      <c r="P198" t="s">
        <v>673</v>
      </c>
      <c r="Q198" t="s">
        <v>713</v>
      </c>
      <c r="R198" t="s">
        <v>714</v>
      </c>
      <c r="S198" t="s">
        <v>714</v>
      </c>
      <c r="T198" t="s">
        <v>654</v>
      </c>
      <c r="U198" t="s">
        <v>1632</v>
      </c>
    </row>
    <row r="199" spans="1:21" ht="14.25" x14ac:dyDescent="0.2">
      <c r="A199" t="s">
        <v>1351</v>
      </c>
      <c r="B199" t="s">
        <v>1371</v>
      </c>
      <c r="C199" t="s">
        <v>643</v>
      </c>
      <c r="D199" t="s">
        <v>536</v>
      </c>
      <c r="E199" t="s">
        <v>931</v>
      </c>
      <c r="F199" t="s">
        <v>636</v>
      </c>
      <c r="G199" t="s">
        <v>16</v>
      </c>
      <c r="H199" t="s">
        <v>1632</v>
      </c>
      <c r="I199" t="s">
        <v>692</v>
      </c>
      <c r="J199" t="s">
        <v>1633</v>
      </c>
      <c r="K199" t="s">
        <v>673</v>
      </c>
      <c r="L199" t="s">
        <v>1634</v>
      </c>
      <c r="M199" t="s">
        <v>1635</v>
      </c>
      <c r="N199" t="s">
        <v>639</v>
      </c>
      <c r="O199" t="s">
        <v>724</v>
      </c>
      <c r="P199" t="s">
        <v>673</v>
      </c>
      <c r="Q199" t="s">
        <v>713</v>
      </c>
      <c r="R199" t="s">
        <v>2401</v>
      </c>
      <c r="S199" t="s">
        <v>2402</v>
      </c>
      <c r="T199" t="s">
        <v>676</v>
      </c>
      <c r="U199" t="s">
        <v>1632</v>
      </c>
    </row>
    <row r="200" spans="1:21" ht="14.25" x14ac:dyDescent="0.2">
      <c r="A200" t="s">
        <v>1351</v>
      </c>
      <c r="B200" t="s">
        <v>1371</v>
      </c>
      <c r="C200" t="s">
        <v>643</v>
      </c>
      <c r="D200" t="s">
        <v>196</v>
      </c>
      <c r="E200" t="s">
        <v>1114</v>
      </c>
      <c r="F200" t="s">
        <v>636</v>
      </c>
      <c r="G200" t="s">
        <v>664</v>
      </c>
      <c r="H200" t="s">
        <v>1906</v>
      </c>
      <c r="I200" t="s">
        <v>692</v>
      </c>
      <c r="J200" t="s">
        <v>1907</v>
      </c>
      <c r="K200" t="s">
        <v>673</v>
      </c>
      <c r="L200" t="s">
        <v>1908</v>
      </c>
      <c r="M200" t="s">
        <v>1909</v>
      </c>
      <c r="N200" t="s">
        <v>639</v>
      </c>
      <c r="O200" t="s">
        <v>692</v>
      </c>
      <c r="P200" t="s">
        <v>673</v>
      </c>
      <c r="Q200" t="s">
        <v>700</v>
      </c>
      <c r="R200" t="s">
        <v>643</v>
      </c>
      <c r="S200" t="s">
        <v>643</v>
      </c>
      <c r="T200" t="s">
        <v>643</v>
      </c>
      <c r="U200" t="s">
        <v>1906</v>
      </c>
    </row>
    <row r="201" spans="1:21" ht="14.25" x14ac:dyDescent="0.2">
      <c r="A201" t="s">
        <v>1294</v>
      </c>
      <c r="B201" t="s">
        <v>1446</v>
      </c>
      <c r="C201" t="s">
        <v>643</v>
      </c>
      <c r="D201" t="s">
        <v>378</v>
      </c>
      <c r="E201" t="s">
        <v>961</v>
      </c>
      <c r="F201" t="s">
        <v>636</v>
      </c>
      <c r="G201" t="s">
        <v>16</v>
      </c>
      <c r="H201" t="s">
        <v>1661</v>
      </c>
      <c r="I201" t="s">
        <v>698</v>
      </c>
      <c r="J201" t="s">
        <v>1662</v>
      </c>
      <c r="K201" t="s">
        <v>673</v>
      </c>
      <c r="L201" t="s">
        <v>1663</v>
      </c>
      <c r="M201" t="s">
        <v>1664</v>
      </c>
      <c r="N201" t="s">
        <v>639</v>
      </c>
      <c r="O201" t="s">
        <v>835</v>
      </c>
      <c r="P201" t="s">
        <v>673</v>
      </c>
      <c r="Q201" t="s">
        <v>786</v>
      </c>
      <c r="R201" t="s">
        <v>782</v>
      </c>
      <c r="S201" t="s">
        <v>783</v>
      </c>
      <c r="T201" t="s">
        <v>676</v>
      </c>
      <c r="U201" t="s">
        <v>1661</v>
      </c>
    </row>
    <row r="202" spans="1:21" ht="14.25" x14ac:dyDescent="0.2">
      <c r="A202" t="s">
        <v>1294</v>
      </c>
      <c r="B202" t="s">
        <v>1446</v>
      </c>
      <c r="C202" t="s">
        <v>643</v>
      </c>
      <c r="D202" t="s">
        <v>368</v>
      </c>
      <c r="E202" t="s">
        <v>962</v>
      </c>
      <c r="F202" t="s">
        <v>649</v>
      </c>
      <c r="G202" t="s">
        <v>34</v>
      </c>
      <c r="H202" t="s">
        <v>1665</v>
      </c>
      <c r="I202" t="s">
        <v>698</v>
      </c>
      <c r="J202" t="s">
        <v>1666</v>
      </c>
      <c r="K202" t="s">
        <v>673</v>
      </c>
      <c r="L202" t="s">
        <v>1667</v>
      </c>
      <c r="M202" t="s">
        <v>1664</v>
      </c>
      <c r="N202" t="s">
        <v>639</v>
      </c>
      <c r="O202" t="s">
        <v>963</v>
      </c>
      <c r="P202" t="s">
        <v>673</v>
      </c>
      <c r="Q202" t="s">
        <v>786</v>
      </c>
      <c r="R202" t="s">
        <v>964</v>
      </c>
      <c r="S202" t="s">
        <v>965</v>
      </c>
      <c r="T202" t="s">
        <v>676</v>
      </c>
      <c r="U202" t="s">
        <v>1665</v>
      </c>
    </row>
    <row r="203" spans="1:21" ht="14.25" x14ac:dyDescent="0.2">
      <c r="A203" t="s">
        <v>1294</v>
      </c>
      <c r="B203" t="s">
        <v>1446</v>
      </c>
      <c r="C203" t="s">
        <v>643</v>
      </c>
      <c r="D203" t="s">
        <v>368</v>
      </c>
      <c r="E203" t="s">
        <v>962</v>
      </c>
      <c r="F203" t="s">
        <v>649</v>
      </c>
      <c r="G203" t="s">
        <v>34</v>
      </c>
      <c r="H203" t="s">
        <v>1665</v>
      </c>
      <c r="I203" t="s">
        <v>698</v>
      </c>
      <c r="J203" t="s">
        <v>1666</v>
      </c>
      <c r="K203" t="s">
        <v>673</v>
      </c>
      <c r="L203" t="s">
        <v>1667</v>
      </c>
      <c r="M203" t="s">
        <v>1664</v>
      </c>
      <c r="N203" t="s">
        <v>639</v>
      </c>
      <c r="O203" t="s">
        <v>963</v>
      </c>
      <c r="P203" t="s">
        <v>673</v>
      </c>
      <c r="Q203" t="s">
        <v>786</v>
      </c>
      <c r="R203" t="s">
        <v>721</v>
      </c>
      <c r="S203" t="s">
        <v>776</v>
      </c>
      <c r="T203" t="s">
        <v>676</v>
      </c>
      <c r="U203" t="s">
        <v>1665</v>
      </c>
    </row>
    <row r="204" spans="1:21" ht="14.25" x14ac:dyDescent="0.2">
      <c r="A204" t="s">
        <v>1294</v>
      </c>
      <c r="B204" t="s">
        <v>1446</v>
      </c>
      <c r="C204" t="s">
        <v>643</v>
      </c>
      <c r="D204" t="s">
        <v>368</v>
      </c>
      <c r="E204" t="s">
        <v>962</v>
      </c>
      <c r="F204" t="s">
        <v>649</v>
      </c>
      <c r="G204" t="s">
        <v>34</v>
      </c>
      <c r="H204" t="s">
        <v>1665</v>
      </c>
      <c r="I204" t="s">
        <v>698</v>
      </c>
      <c r="J204" t="s">
        <v>1666</v>
      </c>
      <c r="K204" t="s">
        <v>673</v>
      </c>
      <c r="L204" t="s">
        <v>1667</v>
      </c>
      <c r="M204" t="s">
        <v>1664</v>
      </c>
      <c r="N204" t="s">
        <v>639</v>
      </c>
      <c r="O204" t="s">
        <v>963</v>
      </c>
      <c r="P204" t="s">
        <v>673</v>
      </c>
      <c r="Q204" t="s">
        <v>786</v>
      </c>
      <c r="R204" t="s">
        <v>782</v>
      </c>
      <c r="S204" t="s">
        <v>783</v>
      </c>
      <c r="T204" t="s">
        <v>676</v>
      </c>
      <c r="U204" t="s">
        <v>1665</v>
      </c>
    </row>
    <row r="205" spans="1:21" ht="14.25" x14ac:dyDescent="0.2">
      <c r="A205" t="s">
        <v>1294</v>
      </c>
      <c r="B205" t="s">
        <v>1446</v>
      </c>
      <c r="C205" t="s">
        <v>643</v>
      </c>
      <c r="D205" t="s">
        <v>368</v>
      </c>
      <c r="E205" t="s">
        <v>962</v>
      </c>
      <c r="F205" t="s">
        <v>649</v>
      </c>
      <c r="G205" t="s">
        <v>34</v>
      </c>
      <c r="H205" t="s">
        <v>1665</v>
      </c>
      <c r="I205" t="s">
        <v>698</v>
      </c>
      <c r="J205" t="s">
        <v>1666</v>
      </c>
      <c r="K205" t="s">
        <v>673</v>
      </c>
      <c r="L205" t="s">
        <v>1667</v>
      </c>
      <c r="M205" t="s">
        <v>1664</v>
      </c>
      <c r="N205" t="s">
        <v>639</v>
      </c>
      <c r="O205" t="s">
        <v>963</v>
      </c>
      <c r="P205" t="s">
        <v>673</v>
      </c>
      <c r="Q205" t="s">
        <v>786</v>
      </c>
      <c r="R205" t="s">
        <v>782</v>
      </c>
      <c r="S205" t="s">
        <v>2403</v>
      </c>
      <c r="T205" t="s">
        <v>676</v>
      </c>
      <c r="U205" t="s">
        <v>1665</v>
      </c>
    </row>
    <row r="206" spans="1:21" ht="14.25" x14ac:dyDescent="0.2">
      <c r="A206" t="s">
        <v>1294</v>
      </c>
      <c r="B206" t="s">
        <v>1446</v>
      </c>
      <c r="C206" t="s">
        <v>643</v>
      </c>
      <c r="D206" t="s">
        <v>368</v>
      </c>
      <c r="E206" t="s">
        <v>962</v>
      </c>
      <c r="F206" t="s">
        <v>649</v>
      </c>
      <c r="G206" t="s">
        <v>34</v>
      </c>
      <c r="H206" t="s">
        <v>1665</v>
      </c>
      <c r="I206" t="s">
        <v>698</v>
      </c>
      <c r="J206" t="s">
        <v>1666</v>
      </c>
      <c r="K206" t="s">
        <v>673</v>
      </c>
      <c r="L206" t="s">
        <v>1667</v>
      </c>
      <c r="M206" t="s">
        <v>1664</v>
      </c>
      <c r="N206" t="s">
        <v>639</v>
      </c>
      <c r="O206" t="s">
        <v>963</v>
      </c>
      <c r="P206" t="s">
        <v>673</v>
      </c>
      <c r="Q206" t="s">
        <v>786</v>
      </c>
      <c r="R206" t="s">
        <v>721</v>
      </c>
      <c r="S206" t="s">
        <v>2404</v>
      </c>
      <c r="T206" t="s">
        <v>676</v>
      </c>
      <c r="U206" t="s">
        <v>1665</v>
      </c>
    </row>
    <row r="207" spans="1:21" ht="14.25" x14ac:dyDescent="0.2">
      <c r="A207" t="s">
        <v>1604</v>
      </c>
      <c r="B207" t="s">
        <v>643</v>
      </c>
      <c r="C207" t="s">
        <v>643</v>
      </c>
      <c r="D207" t="s">
        <v>101</v>
      </c>
      <c r="E207" t="s">
        <v>966</v>
      </c>
      <c r="F207" t="s">
        <v>2485</v>
      </c>
      <c r="G207" t="s">
        <v>925</v>
      </c>
      <c r="H207" t="s">
        <v>1668</v>
      </c>
      <c r="I207" t="s">
        <v>910</v>
      </c>
      <c r="J207" t="s">
        <v>2555</v>
      </c>
      <c r="K207" t="s">
        <v>2380</v>
      </c>
      <c r="L207" t="s">
        <v>2556</v>
      </c>
      <c r="M207" t="s">
        <v>2557</v>
      </c>
      <c r="N207" t="s">
        <v>639</v>
      </c>
      <c r="O207" t="s">
        <v>673</v>
      </c>
      <c r="P207" t="s">
        <v>839</v>
      </c>
      <c r="Q207" t="s">
        <v>643</v>
      </c>
      <c r="R207" t="s">
        <v>967</v>
      </c>
      <c r="S207" t="s">
        <v>968</v>
      </c>
      <c r="T207" t="s">
        <v>698</v>
      </c>
      <c r="U207" t="s">
        <v>1668</v>
      </c>
    </row>
    <row r="208" spans="1:21" ht="14.25" x14ac:dyDescent="0.2">
      <c r="A208" t="s">
        <v>1604</v>
      </c>
      <c r="B208" t="s">
        <v>643</v>
      </c>
      <c r="C208" t="s">
        <v>643</v>
      </c>
      <c r="D208" t="s">
        <v>101</v>
      </c>
      <c r="E208" t="s">
        <v>966</v>
      </c>
      <c r="F208" t="s">
        <v>2485</v>
      </c>
      <c r="G208" t="s">
        <v>925</v>
      </c>
      <c r="H208" t="s">
        <v>1668</v>
      </c>
      <c r="I208" t="s">
        <v>910</v>
      </c>
      <c r="J208" t="s">
        <v>2555</v>
      </c>
      <c r="K208" t="s">
        <v>2380</v>
      </c>
      <c r="L208" t="s">
        <v>2556</v>
      </c>
      <c r="M208" t="s">
        <v>2557</v>
      </c>
      <c r="N208" t="s">
        <v>639</v>
      </c>
      <c r="O208" t="s">
        <v>673</v>
      </c>
      <c r="P208" t="s">
        <v>839</v>
      </c>
      <c r="Q208" t="s">
        <v>643</v>
      </c>
      <c r="R208" t="s">
        <v>1669</v>
      </c>
      <c r="S208" t="s">
        <v>2405</v>
      </c>
      <c r="T208" t="s">
        <v>698</v>
      </c>
      <c r="U208" t="s">
        <v>1668</v>
      </c>
    </row>
    <row r="209" spans="1:21" ht="14.25" x14ac:dyDescent="0.2">
      <c r="A209" t="s">
        <v>1604</v>
      </c>
      <c r="B209" t="s">
        <v>643</v>
      </c>
      <c r="C209" t="s">
        <v>643</v>
      </c>
      <c r="D209" t="s">
        <v>101</v>
      </c>
      <c r="E209" t="s">
        <v>966</v>
      </c>
      <c r="F209" t="s">
        <v>2485</v>
      </c>
      <c r="G209" t="s">
        <v>925</v>
      </c>
      <c r="H209" t="s">
        <v>1668</v>
      </c>
      <c r="I209" t="s">
        <v>910</v>
      </c>
      <c r="J209" t="s">
        <v>2555</v>
      </c>
      <c r="K209" t="s">
        <v>2380</v>
      </c>
      <c r="L209" t="s">
        <v>2556</v>
      </c>
      <c r="M209" t="s">
        <v>2557</v>
      </c>
      <c r="N209" t="s">
        <v>639</v>
      </c>
      <c r="O209" t="s">
        <v>673</v>
      </c>
      <c r="P209" t="s">
        <v>839</v>
      </c>
      <c r="Q209" t="s">
        <v>643</v>
      </c>
      <c r="R209" t="s">
        <v>721</v>
      </c>
      <c r="S209" t="s">
        <v>776</v>
      </c>
      <c r="T209" t="s">
        <v>676</v>
      </c>
      <c r="U209" t="s">
        <v>1668</v>
      </c>
    </row>
    <row r="210" spans="1:21" ht="14.25" x14ac:dyDescent="0.2">
      <c r="A210" t="s">
        <v>1604</v>
      </c>
      <c r="B210" t="s">
        <v>643</v>
      </c>
      <c r="C210" t="s">
        <v>643</v>
      </c>
      <c r="D210" t="s">
        <v>101</v>
      </c>
      <c r="E210" t="s">
        <v>966</v>
      </c>
      <c r="F210" t="s">
        <v>2485</v>
      </c>
      <c r="G210" t="s">
        <v>925</v>
      </c>
      <c r="H210" t="s">
        <v>1668</v>
      </c>
      <c r="I210" t="s">
        <v>910</v>
      </c>
      <c r="J210" t="s">
        <v>2555</v>
      </c>
      <c r="K210" t="s">
        <v>2380</v>
      </c>
      <c r="L210" t="s">
        <v>2556</v>
      </c>
      <c r="M210" t="s">
        <v>2557</v>
      </c>
      <c r="N210" t="s">
        <v>639</v>
      </c>
      <c r="O210" t="s">
        <v>673</v>
      </c>
      <c r="P210" t="s">
        <v>839</v>
      </c>
      <c r="Q210" t="s">
        <v>643</v>
      </c>
      <c r="R210" t="s">
        <v>2406</v>
      </c>
      <c r="S210" t="s">
        <v>2407</v>
      </c>
      <c r="T210" t="s">
        <v>703</v>
      </c>
      <c r="U210" t="s">
        <v>1668</v>
      </c>
    </row>
    <row r="211" spans="1:21" ht="14.25" x14ac:dyDescent="0.2">
      <c r="A211" t="s">
        <v>1604</v>
      </c>
      <c r="B211" t="s">
        <v>643</v>
      </c>
      <c r="C211" t="s">
        <v>643</v>
      </c>
      <c r="D211" t="s">
        <v>101</v>
      </c>
      <c r="E211" t="s">
        <v>966</v>
      </c>
      <c r="F211" t="s">
        <v>2485</v>
      </c>
      <c r="G211" t="s">
        <v>925</v>
      </c>
      <c r="H211" t="s">
        <v>1668</v>
      </c>
      <c r="I211" t="s">
        <v>910</v>
      </c>
      <c r="J211" t="s">
        <v>2555</v>
      </c>
      <c r="K211" t="s">
        <v>2380</v>
      </c>
      <c r="L211" t="s">
        <v>2556</v>
      </c>
      <c r="M211" t="s">
        <v>2557</v>
      </c>
      <c r="N211" t="s">
        <v>639</v>
      </c>
      <c r="O211" t="s">
        <v>673</v>
      </c>
      <c r="P211" t="s">
        <v>839</v>
      </c>
      <c r="Q211" t="s">
        <v>643</v>
      </c>
      <c r="R211" t="s">
        <v>2408</v>
      </c>
      <c r="S211" t="s">
        <v>2409</v>
      </c>
      <c r="T211" t="s">
        <v>703</v>
      </c>
      <c r="U211" t="s">
        <v>1668</v>
      </c>
    </row>
    <row r="212" spans="1:21" ht="14.25" x14ac:dyDescent="0.2">
      <c r="A212" t="s">
        <v>1604</v>
      </c>
      <c r="B212" t="s">
        <v>643</v>
      </c>
      <c r="C212" t="s">
        <v>643</v>
      </c>
      <c r="D212" t="s">
        <v>101</v>
      </c>
      <c r="E212" t="s">
        <v>966</v>
      </c>
      <c r="F212" t="s">
        <v>2485</v>
      </c>
      <c r="G212" t="s">
        <v>925</v>
      </c>
      <c r="H212" t="s">
        <v>1668</v>
      </c>
      <c r="I212" t="s">
        <v>910</v>
      </c>
      <c r="J212" t="s">
        <v>2555</v>
      </c>
      <c r="K212" t="s">
        <v>2380</v>
      </c>
      <c r="L212" t="s">
        <v>2556</v>
      </c>
      <c r="M212" t="s">
        <v>2557</v>
      </c>
      <c r="N212" t="s">
        <v>639</v>
      </c>
      <c r="O212" t="s">
        <v>673</v>
      </c>
      <c r="P212" t="s">
        <v>839</v>
      </c>
      <c r="Q212" t="s">
        <v>643</v>
      </c>
      <c r="R212" t="s">
        <v>2410</v>
      </c>
      <c r="S212" t="s">
        <v>2411</v>
      </c>
      <c r="T212" t="s">
        <v>703</v>
      </c>
      <c r="U212" t="s">
        <v>1668</v>
      </c>
    </row>
    <row r="213" spans="1:21" ht="14.25" x14ac:dyDescent="0.2">
      <c r="A213" t="s">
        <v>1604</v>
      </c>
      <c r="B213" t="s">
        <v>643</v>
      </c>
      <c r="C213" t="s">
        <v>643</v>
      </c>
      <c r="D213" t="s">
        <v>101</v>
      </c>
      <c r="E213" t="s">
        <v>966</v>
      </c>
      <c r="F213" t="s">
        <v>2485</v>
      </c>
      <c r="G213" t="s">
        <v>925</v>
      </c>
      <c r="H213" t="s">
        <v>1668</v>
      </c>
      <c r="I213" t="s">
        <v>910</v>
      </c>
      <c r="J213" t="s">
        <v>2555</v>
      </c>
      <c r="K213" t="s">
        <v>2380</v>
      </c>
      <c r="L213" t="s">
        <v>2556</v>
      </c>
      <c r="M213" t="s">
        <v>2557</v>
      </c>
      <c r="N213" t="s">
        <v>639</v>
      </c>
      <c r="O213" t="s">
        <v>673</v>
      </c>
      <c r="P213" t="s">
        <v>839</v>
      </c>
      <c r="Q213" t="s">
        <v>643</v>
      </c>
      <c r="R213" t="s">
        <v>2486</v>
      </c>
      <c r="S213" t="s">
        <v>2487</v>
      </c>
      <c r="T213" t="s">
        <v>2380</v>
      </c>
      <c r="U213" t="s">
        <v>1668</v>
      </c>
    </row>
    <row r="214" spans="1:21" ht="14.25" x14ac:dyDescent="0.2">
      <c r="A214" t="s">
        <v>1604</v>
      </c>
      <c r="B214" t="s">
        <v>643</v>
      </c>
      <c r="C214" t="s">
        <v>643</v>
      </c>
      <c r="D214" t="s">
        <v>101</v>
      </c>
      <c r="E214" t="s">
        <v>966</v>
      </c>
      <c r="F214" t="s">
        <v>2485</v>
      </c>
      <c r="G214" t="s">
        <v>925</v>
      </c>
      <c r="H214" t="s">
        <v>1668</v>
      </c>
      <c r="I214" t="s">
        <v>910</v>
      </c>
      <c r="J214" t="s">
        <v>2555</v>
      </c>
      <c r="K214" t="s">
        <v>2380</v>
      </c>
      <c r="L214" t="s">
        <v>2556</v>
      </c>
      <c r="M214" t="s">
        <v>2557</v>
      </c>
      <c r="N214" t="s">
        <v>639</v>
      </c>
      <c r="O214" t="s">
        <v>673</v>
      </c>
      <c r="P214" t="s">
        <v>839</v>
      </c>
      <c r="Q214" t="s">
        <v>643</v>
      </c>
      <c r="R214" t="s">
        <v>2558</v>
      </c>
      <c r="S214" t="s">
        <v>2559</v>
      </c>
      <c r="T214" t="s">
        <v>2380</v>
      </c>
      <c r="U214" t="s">
        <v>1668</v>
      </c>
    </row>
    <row r="215" spans="1:21" ht="14.25" x14ac:dyDescent="0.2">
      <c r="A215" t="s">
        <v>1351</v>
      </c>
      <c r="B215" t="s">
        <v>1352</v>
      </c>
      <c r="C215" t="s">
        <v>643</v>
      </c>
      <c r="D215" t="s">
        <v>346</v>
      </c>
      <c r="E215" t="s">
        <v>699</v>
      </c>
      <c r="F215" t="s">
        <v>649</v>
      </c>
      <c r="G215" t="s">
        <v>16</v>
      </c>
      <c r="H215" t="s">
        <v>1357</v>
      </c>
      <c r="I215" t="s">
        <v>692</v>
      </c>
      <c r="J215" t="s">
        <v>1358</v>
      </c>
      <c r="K215" t="s">
        <v>673</v>
      </c>
      <c r="L215" t="s">
        <v>1359</v>
      </c>
      <c r="M215" t="s">
        <v>1360</v>
      </c>
      <c r="N215" t="s">
        <v>639</v>
      </c>
      <c r="O215" t="s">
        <v>692</v>
      </c>
      <c r="P215" t="s">
        <v>673</v>
      </c>
      <c r="Q215" t="s">
        <v>700</v>
      </c>
      <c r="R215" t="s">
        <v>696</v>
      </c>
      <c r="S215" t="s">
        <v>697</v>
      </c>
      <c r="T215" t="s">
        <v>698</v>
      </c>
      <c r="U215" t="s">
        <v>1357</v>
      </c>
    </row>
    <row r="216" spans="1:21" ht="14.25" x14ac:dyDescent="0.2">
      <c r="A216" t="s">
        <v>1351</v>
      </c>
      <c r="B216" t="s">
        <v>1366</v>
      </c>
      <c r="C216" t="s">
        <v>643</v>
      </c>
      <c r="D216" t="s">
        <v>645</v>
      </c>
      <c r="E216" t="s">
        <v>970</v>
      </c>
      <c r="F216" t="s">
        <v>636</v>
      </c>
      <c r="G216" t="s">
        <v>10</v>
      </c>
      <c r="H216" t="s">
        <v>1673</v>
      </c>
      <c r="I216" t="s">
        <v>839</v>
      </c>
      <c r="J216" t="s">
        <v>1674</v>
      </c>
      <c r="K216" t="s">
        <v>673</v>
      </c>
      <c r="L216" t="s">
        <v>1675</v>
      </c>
      <c r="M216" t="s">
        <v>1676</v>
      </c>
      <c r="N216" t="s">
        <v>639</v>
      </c>
      <c r="O216" t="s">
        <v>971</v>
      </c>
      <c r="P216" t="s">
        <v>673</v>
      </c>
      <c r="Q216" t="s">
        <v>972</v>
      </c>
      <c r="R216" t="s">
        <v>973</v>
      </c>
      <c r="S216" t="s">
        <v>973</v>
      </c>
      <c r="T216" t="s">
        <v>654</v>
      </c>
      <c r="U216" t="s">
        <v>1673</v>
      </c>
    </row>
    <row r="217" spans="1:21" ht="14.25" x14ac:dyDescent="0.2">
      <c r="A217" t="s">
        <v>1351</v>
      </c>
      <c r="B217" t="s">
        <v>1352</v>
      </c>
      <c r="C217" t="s">
        <v>643</v>
      </c>
      <c r="D217" t="s">
        <v>645</v>
      </c>
      <c r="E217" t="s">
        <v>691</v>
      </c>
      <c r="F217" t="s">
        <v>636</v>
      </c>
      <c r="G217" t="s">
        <v>10</v>
      </c>
      <c r="H217" t="s">
        <v>1337</v>
      </c>
      <c r="I217" t="s">
        <v>692</v>
      </c>
      <c r="J217" t="s">
        <v>1353</v>
      </c>
      <c r="K217" t="s">
        <v>643</v>
      </c>
      <c r="L217" t="s">
        <v>643</v>
      </c>
      <c r="M217" t="s">
        <v>1338</v>
      </c>
      <c r="N217" t="s">
        <v>693</v>
      </c>
      <c r="O217" t="s">
        <v>692</v>
      </c>
      <c r="P217" t="s">
        <v>673</v>
      </c>
      <c r="Q217" t="s">
        <v>643</v>
      </c>
      <c r="R217" t="s">
        <v>643</v>
      </c>
      <c r="S217" t="s">
        <v>643</v>
      </c>
      <c r="T217" t="s">
        <v>643</v>
      </c>
      <c r="U217" t="s">
        <v>1337</v>
      </c>
    </row>
    <row r="218" spans="1:21" ht="14.25" x14ac:dyDescent="0.2">
      <c r="A218" t="s">
        <v>1351</v>
      </c>
      <c r="B218" t="s">
        <v>1371</v>
      </c>
      <c r="C218" t="s">
        <v>643</v>
      </c>
      <c r="D218" t="s">
        <v>645</v>
      </c>
      <c r="E218" t="s">
        <v>711</v>
      </c>
      <c r="F218" t="s">
        <v>636</v>
      </c>
      <c r="G218" t="s">
        <v>10</v>
      </c>
      <c r="H218" t="s">
        <v>1345</v>
      </c>
      <c r="I218" t="s">
        <v>692</v>
      </c>
      <c r="J218" t="s">
        <v>1372</v>
      </c>
      <c r="K218" t="s">
        <v>673</v>
      </c>
      <c r="L218" t="s">
        <v>1373</v>
      </c>
      <c r="M218" t="s">
        <v>1374</v>
      </c>
      <c r="N218" t="s">
        <v>693</v>
      </c>
      <c r="O218" t="s">
        <v>712</v>
      </c>
      <c r="P218" t="s">
        <v>673</v>
      </c>
      <c r="Q218" t="s">
        <v>713</v>
      </c>
      <c r="R218" t="s">
        <v>714</v>
      </c>
      <c r="S218" t="s">
        <v>714</v>
      </c>
      <c r="T218" t="s">
        <v>654</v>
      </c>
      <c r="U218" t="s">
        <v>1345</v>
      </c>
    </row>
    <row r="219" spans="1:21" ht="14.25" x14ac:dyDescent="0.2">
      <c r="A219" t="s">
        <v>1351</v>
      </c>
      <c r="B219" t="s">
        <v>1371</v>
      </c>
      <c r="C219" t="s">
        <v>643</v>
      </c>
      <c r="D219" t="s">
        <v>645</v>
      </c>
      <c r="E219" t="s">
        <v>711</v>
      </c>
      <c r="F219" t="s">
        <v>636</v>
      </c>
      <c r="G219" t="s">
        <v>10</v>
      </c>
      <c r="H219" t="s">
        <v>1345</v>
      </c>
      <c r="I219" t="s">
        <v>692</v>
      </c>
      <c r="J219" t="s">
        <v>1372</v>
      </c>
      <c r="K219" t="s">
        <v>673</v>
      </c>
      <c r="L219" t="s">
        <v>1373</v>
      </c>
      <c r="M219" t="s">
        <v>1374</v>
      </c>
      <c r="N219" t="s">
        <v>693</v>
      </c>
      <c r="O219" t="s">
        <v>712</v>
      </c>
      <c r="P219" t="s">
        <v>673</v>
      </c>
      <c r="Q219" t="s">
        <v>713</v>
      </c>
      <c r="R219" t="s">
        <v>714</v>
      </c>
      <c r="S219" t="s">
        <v>714</v>
      </c>
      <c r="T219" t="s">
        <v>654</v>
      </c>
      <c r="U219" t="s">
        <v>1345</v>
      </c>
    </row>
    <row r="220" spans="1:21" ht="14.25" x14ac:dyDescent="0.2">
      <c r="A220" t="s">
        <v>1351</v>
      </c>
      <c r="B220" t="s">
        <v>1371</v>
      </c>
      <c r="C220" t="s">
        <v>643</v>
      </c>
      <c r="D220" t="s">
        <v>160</v>
      </c>
      <c r="E220" t="s">
        <v>1113</v>
      </c>
      <c r="F220" t="s">
        <v>636</v>
      </c>
      <c r="G220" t="s">
        <v>664</v>
      </c>
      <c r="H220" t="s">
        <v>1378</v>
      </c>
      <c r="I220" t="s">
        <v>692</v>
      </c>
      <c r="J220" t="s">
        <v>1904</v>
      </c>
      <c r="K220" t="s">
        <v>673</v>
      </c>
      <c r="L220" t="s">
        <v>1905</v>
      </c>
      <c r="M220" t="s">
        <v>1380</v>
      </c>
      <c r="N220" t="s">
        <v>639</v>
      </c>
      <c r="O220" t="s">
        <v>712</v>
      </c>
      <c r="P220" t="s">
        <v>673</v>
      </c>
      <c r="Q220" t="s">
        <v>713</v>
      </c>
      <c r="R220" t="s">
        <v>643</v>
      </c>
      <c r="S220" t="s">
        <v>643</v>
      </c>
      <c r="T220" t="s">
        <v>643</v>
      </c>
      <c r="U220" t="s">
        <v>1378</v>
      </c>
    </row>
    <row r="221" spans="1:21" ht="14.25" x14ac:dyDescent="0.2">
      <c r="A221" t="s">
        <v>1351</v>
      </c>
      <c r="B221" t="s">
        <v>1352</v>
      </c>
      <c r="C221" t="s">
        <v>643</v>
      </c>
      <c r="D221" t="s">
        <v>538</v>
      </c>
      <c r="E221" t="s">
        <v>949</v>
      </c>
      <c r="F221" t="s">
        <v>636</v>
      </c>
      <c r="G221" t="s">
        <v>16</v>
      </c>
      <c r="H221" t="s">
        <v>1646</v>
      </c>
      <c r="I221" t="s">
        <v>692</v>
      </c>
      <c r="J221" t="s">
        <v>1647</v>
      </c>
      <c r="K221" t="s">
        <v>673</v>
      </c>
      <c r="L221" t="s">
        <v>1648</v>
      </c>
      <c r="M221" t="s">
        <v>1649</v>
      </c>
      <c r="N221" t="s">
        <v>639</v>
      </c>
      <c r="O221" t="s">
        <v>692</v>
      </c>
      <c r="P221" t="s">
        <v>673</v>
      </c>
      <c r="Q221" t="s">
        <v>700</v>
      </c>
      <c r="R221" t="s">
        <v>776</v>
      </c>
      <c r="S221" t="s">
        <v>950</v>
      </c>
      <c r="T221" t="s">
        <v>654</v>
      </c>
      <c r="U221" t="s">
        <v>1646</v>
      </c>
    </row>
    <row r="222" spans="1:21" ht="14.25" x14ac:dyDescent="0.2">
      <c r="A222" t="s">
        <v>1294</v>
      </c>
      <c r="B222" t="s">
        <v>1684</v>
      </c>
      <c r="C222" t="s">
        <v>643</v>
      </c>
      <c r="D222" t="s">
        <v>980</v>
      </c>
      <c r="E222" t="s">
        <v>979</v>
      </c>
      <c r="F222" t="s">
        <v>636</v>
      </c>
      <c r="G222" t="s">
        <v>27</v>
      </c>
      <c r="H222" t="s">
        <v>1685</v>
      </c>
      <c r="I222" t="s">
        <v>643</v>
      </c>
      <c r="J222" t="s">
        <v>643</v>
      </c>
      <c r="K222" t="s">
        <v>703</v>
      </c>
      <c r="L222" t="s">
        <v>1686</v>
      </c>
      <c r="M222" t="s">
        <v>1687</v>
      </c>
      <c r="N222" t="s">
        <v>639</v>
      </c>
      <c r="O222" t="s">
        <v>981</v>
      </c>
      <c r="P222" t="s">
        <v>846</v>
      </c>
      <c r="Q222" t="s">
        <v>643</v>
      </c>
      <c r="R222" t="s">
        <v>643</v>
      </c>
      <c r="S222" t="s">
        <v>643</v>
      </c>
      <c r="T222" t="s">
        <v>643</v>
      </c>
      <c r="U222" t="s">
        <v>1685</v>
      </c>
    </row>
    <row r="223" spans="1:21" ht="14.25" x14ac:dyDescent="0.2">
      <c r="A223" t="s">
        <v>1351</v>
      </c>
      <c r="B223" t="s">
        <v>1352</v>
      </c>
      <c r="C223" t="s">
        <v>643</v>
      </c>
      <c r="D223" t="s">
        <v>412</v>
      </c>
      <c r="E223" t="s">
        <v>1002</v>
      </c>
      <c r="F223" t="s">
        <v>636</v>
      </c>
      <c r="G223" t="s">
        <v>34</v>
      </c>
      <c r="H223" t="s">
        <v>1716</v>
      </c>
      <c r="I223" t="s">
        <v>692</v>
      </c>
      <c r="J223" t="s">
        <v>1717</v>
      </c>
      <c r="K223" t="s">
        <v>673</v>
      </c>
      <c r="L223" t="s">
        <v>1718</v>
      </c>
      <c r="M223" t="s">
        <v>1506</v>
      </c>
      <c r="N223" t="s">
        <v>639</v>
      </c>
      <c r="O223" t="s">
        <v>692</v>
      </c>
      <c r="P223" t="s">
        <v>673</v>
      </c>
      <c r="Q223" t="s">
        <v>700</v>
      </c>
      <c r="R223" t="s">
        <v>643</v>
      </c>
      <c r="S223" t="s">
        <v>643</v>
      </c>
      <c r="T223" t="s">
        <v>643</v>
      </c>
      <c r="U223" t="s">
        <v>1716</v>
      </c>
    </row>
    <row r="224" spans="1:21" ht="14.25" x14ac:dyDescent="0.2">
      <c r="A224" t="s">
        <v>1294</v>
      </c>
      <c r="B224" t="s">
        <v>1295</v>
      </c>
      <c r="C224" t="s">
        <v>643</v>
      </c>
      <c r="D224" t="s">
        <v>645</v>
      </c>
      <c r="E224" t="s">
        <v>983</v>
      </c>
      <c r="F224" t="s">
        <v>636</v>
      </c>
      <c r="G224" t="s">
        <v>10</v>
      </c>
      <c r="H224" t="s">
        <v>1688</v>
      </c>
      <c r="I224" t="s">
        <v>844</v>
      </c>
      <c r="J224" t="s">
        <v>1689</v>
      </c>
      <c r="K224" t="s">
        <v>637</v>
      </c>
      <c r="L224" t="s">
        <v>1690</v>
      </c>
      <c r="M224" t="s">
        <v>1307</v>
      </c>
      <c r="N224" t="s">
        <v>639</v>
      </c>
      <c r="O224" t="s">
        <v>844</v>
      </c>
      <c r="P224" t="s">
        <v>637</v>
      </c>
      <c r="Q224" t="s">
        <v>984</v>
      </c>
      <c r="R224" t="s">
        <v>643</v>
      </c>
      <c r="S224" t="s">
        <v>643</v>
      </c>
      <c r="T224" t="s">
        <v>643</v>
      </c>
      <c r="U224" t="s">
        <v>1688</v>
      </c>
    </row>
    <row r="225" spans="1:21" ht="14.25" x14ac:dyDescent="0.2">
      <c r="A225" t="s">
        <v>1294</v>
      </c>
      <c r="B225" t="s">
        <v>1446</v>
      </c>
      <c r="C225" t="s">
        <v>643</v>
      </c>
      <c r="D225" t="s">
        <v>645</v>
      </c>
      <c r="E225" t="s">
        <v>985</v>
      </c>
      <c r="F225" t="s">
        <v>636</v>
      </c>
      <c r="G225" t="s">
        <v>10</v>
      </c>
      <c r="H225" t="s">
        <v>1691</v>
      </c>
      <c r="I225" t="s">
        <v>698</v>
      </c>
      <c r="J225" t="s">
        <v>1692</v>
      </c>
      <c r="K225" t="s">
        <v>673</v>
      </c>
      <c r="L225" t="s">
        <v>1693</v>
      </c>
      <c r="M225" t="s">
        <v>1694</v>
      </c>
      <c r="N225" t="s">
        <v>639</v>
      </c>
      <c r="O225" t="s">
        <v>835</v>
      </c>
      <c r="P225" t="s">
        <v>673</v>
      </c>
      <c r="Q225" t="s">
        <v>786</v>
      </c>
      <c r="R225" t="s">
        <v>782</v>
      </c>
      <c r="S225" t="s">
        <v>783</v>
      </c>
      <c r="T225" t="s">
        <v>676</v>
      </c>
      <c r="U225" t="s">
        <v>1691</v>
      </c>
    </row>
    <row r="226" spans="1:21" ht="14.25" x14ac:dyDescent="0.2">
      <c r="A226" t="s">
        <v>1450</v>
      </c>
      <c r="B226" t="s">
        <v>1451</v>
      </c>
      <c r="C226" t="s">
        <v>643</v>
      </c>
      <c r="D226" t="s">
        <v>426</v>
      </c>
      <c r="E226" t="s">
        <v>777</v>
      </c>
      <c r="F226" t="s">
        <v>636</v>
      </c>
      <c r="G226" t="s">
        <v>16</v>
      </c>
      <c r="H226" t="s">
        <v>1455</v>
      </c>
      <c r="I226" t="s">
        <v>698</v>
      </c>
      <c r="J226" t="s">
        <v>1456</v>
      </c>
      <c r="K226" t="s">
        <v>673</v>
      </c>
      <c r="L226" t="s">
        <v>1457</v>
      </c>
      <c r="M226" t="s">
        <v>1458</v>
      </c>
      <c r="N226" t="s">
        <v>639</v>
      </c>
      <c r="O226" t="s">
        <v>698</v>
      </c>
      <c r="P226" t="s">
        <v>673</v>
      </c>
      <c r="Q226" t="s">
        <v>778</v>
      </c>
      <c r="R226" t="s">
        <v>779</v>
      </c>
      <c r="S226" t="s">
        <v>780</v>
      </c>
      <c r="T226" t="s">
        <v>703</v>
      </c>
      <c r="U226" t="s">
        <v>1455</v>
      </c>
    </row>
    <row r="227" spans="1:21" ht="14.25" x14ac:dyDescent="0.2">
      <c r="A227" t="s">
        <v>1450</v>
      </c>
      <c r="B227" t="s">
        <v>1451</v>
      </c>
      <c r="C227" t="s">
        <v>643</v>
      </c>
      <c r="D227" t="s">
        <v>130</v>
      </c>
      <c r="E227" t="s">
        <v>829</v>
      </c>
      <c r="F227" t="s">
        <v>649</v>
      </c>
      <c r="G227" t="s">
        <v>16</v>
      </c>
      <c r="H227" t="s">
        <v>1503</v>
      </c>
      <c r="I227" t="s">
        <v>698</v>
      </c>
      <c r="J227" t="s">
        <v>1504</v>
      </c>
      <c r="K227" t="s">
        <v>673</v>
      </c>
      <c r="L227" t="s">
        <v>1505</v>
      </c>
      <c r="M227" t="s">
        <v>1506</v>
      </c>
      <c r="N227" t="s">
        <v>639</v>
      </c>
      <c r="O227" t="s">
        <v>698</v>
      </c>
      <c r="P227" t="s">
        <v>673</v>
      </c>
      <c r="Q227" t="s">
        <v>778</v>
      </c>
      <c r="R227" t="s">
        <v>830</v>
      </c>
      <c r="S227" t="s">
        <v>831</v>
      </c>
      <c r="T227" t="s">
        <v>698</v>
      </c>
      <c r="U227" t="s">
        <v>1503</v>
      </c>
    </row>
    <row r="228" spans="1:21" ht="14.25" x14ac:dyDescent="0.2">
      <c r="A228" t="s">
        <v>1450</v>
      </c>
      <c r="B228" t="s">
        <v>1451</v>
      </c>
      <c r="C228" t="s">
        <v>643</v>
      </c>
      <c r="D228" t="s">
        <v>130</v>
      </c>
      <c r="E228" t="s">
        <v>829</v>
      </c>
      <c r="F228" t="s">
        <v>649</v>
      </c>
      <c r="G228" t="s">
        <v>16</v>
      </c>
      <c r="H228" t="s">
        <v>1503</v>
      </c>
      <c r="I228" t="s">
        <v>698</v>
      </c>
      <c r="J228" t="s">
        <v>1504</v>
      </c>
      <c r="K228" t="s">
        <v>673</v>
      </c>
      <c r="L228" t="s">
        <v>1505</v>
      </c>
      <c r="M228" t="s">
        <v>1506</v>
      </c>
      <c r="N228" t="s">
        <v>639</v>
      </c>
      <c r="O228" t="s">
        <v>698</v>
      </c>
      <c r="P228" t="s">
        <v>673</v>
      </c>
      <c r="Q228" t="s">
        <v>778</v>
      </c>
      <c r="R228" t="s">
        <v>911</v>
      </c>
      <c r="S228" t="s">
        <v>776</v>
      </c>
      <c r="T228" t="s">
        <v>676</v>
      </c>
      <c r="U228" t="s">
        <v>1503</v>
      </c>
    </row>
    <row r="229" spans="1:21" ht="14.25" x14ac:dyDescent="0.2">
      <c r="A229" t="s">
        <v>1450</v>
      </c>
      <c r="B229" t="s">
        <v>1451</v>
      </c>
      <c r="C229" t="s">
        <v>643</v>
      </c>
      <c r="D229" t="s">
        <v>130</v>
      </c>
      <c r="E229" t="s">
        <v>829</v>
      </c>
      <c r="F229" t="s">
        <v>649</v>
      </c>
      <c r="G229" t="s">
        <v>16</v>
      </c>
      <c r="H229" t="s">
        <v>1503</v>
      </c>
      <c r="I229" t="s">
        <v>698</v>
      </c>
      <c r="J229" t="s">
        <v>1504</v>
      </c>
      <c r="K229" t="s">
        <v>673</v>
      </c>
      <c r="L229" t="s">
        <v>1505</v>
      </c>
      <c r="M229" t="s">
        <v>1506</v>
      </c>
      <c r="N229" t="s">
        <v>639</v>
      </c>
      <c r="O229" t="s">
        <v>698</v>
      </c>
      <c r="P229" t="s">
        <v>673</v>
      </c>
      <c r="Q229" t="s">
        <v>778</v>
      </c>
      <c r="R229" t="s">
        <v>939</v>
      </c>
      <c r="S229" t="s">
        <v>2412</v>
      </c>
      <c r="T229" t="s">
        <v>703</v>
      </c>
      <c r="U229" t="s">
        <v>1503</v>
      </c>
    </row>
    <row r="230" spans="1:21" ht="14.25" x14ac:dyDescent="0.2">
      <c r="A230" t="s">
        <v>1294</v>
      </c>
      <c r="B230" t="s">
        <v>1299</v>
      </c>
      <c r="C230" t="s">
        <v>643</v>
      </c>
      <c r="D230" t="s">
        <v>645</v>
      </c>
      <c r="E230" t="s">
        <v>644</v>
      </c>
      <c r="F230" t="s">
        <v>636</v>
      </c>
      <c r="G230" t="s">
        <v>10</v>
      </c>
      <c r="H230" t="s">
        <v>1300</v>
      </c>
      <c r="I230" t="s">
        <v>646</v>
      </c>
      <c r="J230" t="s">
        <v>1301</v>
      </c>
      <c r="K230" t="s">
        <v>637</v>
      </c>
      <c r="L230" t="s">
        <v>1302</v>
      </c>
      <c r="M230" t="s">
        <v>1303</v>
      </c>
      <c r="N230" t="s">
        <v>639</v>
      </c>
      <c r="O230" t="s">
        <v>646</v>
      </c>
      <c r="P230" t="s">
        <v>637</v>
      </c>
      <c r="Q230" t="s">
        <v>647</v>
      </c>
      <c r="R230" t="s">
        <v>643</v>
      </c>
      <c r="S230" t="s">
        <v>643</v>
      </c>
      <c r="T230" t="s">
        <v>643</v>
      </c>
      <c r="U230" t="s">
        <v>1300</v>
      </c>
    </row>
    <row r="231" spans="1:21" ht="14.25" x14ac:dyDescent="0.2">
      <c r="A231" t="s">
        <v>1351</v>
      </c>
      <c r="B231" t="s">
        <v>1352</v>
      </c>
      <c r="C231" t="s">
        <v>643</v>
      </c>
      <c r="D231" t="s">
        <v>545</v>
      </c>
      <c r="E231" t="s">
        <v>969</v>
      </c>
      <c r="F231" t="s">
        <v>636</v>
      </c>
      <c r="G231" t="s">
        <v>16</v>
      </c>
      <c r="H231" t="s">
        <v>1670</v>
      </c>
      <c r="I231" t="s">
        <v>692</v>
      </c>
      <c r="J231" t="s">
        <v>1671</v>
      </c>
      <c r="K231" t="s">
        <v>673</v>
      </c>
      <c r="L231" t="s">
        <v>1672</v>
      </c>
      <c r="M231" t="s">
        <v>1484</v>
      </c>
      <c r="N231" t="s">
        <v>639</v>
      </c>
      <c r="O231" t="s">
        <v>692</v>
      </c>
      <c r="P231" t="s">
        <v>673</v>
      </c>
      <c r="Q231" t="s">
        <v>700</v>
      </c>
      <c r="R231" t="s">
        <v>643</v>
      </c>
      <c r="S231" t="s">
        <v>643</v>
      </c>
      <c r="T231" t="s">
        <v>643</v>
      </c>
      <c r="U231" t="s">
        <v>1670</v>
      </c>
    </row>
    <row r="232" spans="1:21" ht="14.25" x14ac:dyDescent="0.2">
      <c r="A232" t="s">
        <v>1464</v>
      </c>
      <c r="B232" t="s">
        <v>1584</v>
      </c>
      <c r="C232" t="s">
        <v>643</v>
      </c>
      <c r="D232" t="s">
        <v>132</v>
      </c>
      <c r="E232" t="s">
        <v>993</v>
      </c>
      <c r="F232" t="s">
        <v>636</v>
      </c>
      <c r="G232" t="s">
        <v>664</v>
      </c>
      <c r="H232" t="s">
        <v>1702</v>
      </c>
      <c r="I232" t="s">
        <v>643</v>
      </c>
      <c r="J232" t="s">
        <v>643</v>
      </c>
      <c r="K232" t="s">
        <v>703</v>
      </c>
      <c r="L232" t="s">
        <v>1703</v>
      </c>
      <c r="M232" t="s">
        <v>1704</v>
      </c>
      <c r="N232" t="s">
        <v>639</v>
      </c>
      <c r="O232" t="s">
        <v>790</v>
      </c>
      <c r="P232" t="s">
        <v>790</v>
      </c>
      <c r="Q232" t="s">
        <v>643</v>
      </c>
      <c r="R232" t="s">
        <v>994</v>
      </c>
      <c r="S232" t="s">
        <v>995</v>
      </c>
      <c r="T232" t="s">
        <v>703</v>
      </c>
      <c r="U232" t="s">
        <v>1702</v>
      </c>
    </row>
    <row r="233" spans="1:21" ht="14.25" x14ac:dyDescent="0.2">
      <c r="A233" t="s">
        <v>1450</v>
      </c>
      <c r="B233" t="s">
        <v>1451</v>
      </c>
      <c r="C233" t="s">
        <v>643</v>
      </c>
      <c r="D233" t="s">
        <v>402</v>
      </c>
      <c r="E233" t="s">
        <v>1091</v>
      </c>
      <c r="F233" t="s">
        <v>636</v>
      </c>
      <c r="G233" t="s">
        <v>16</v>
      </c>
      <c r="H233" t="s">
        <v>1878</v>
      </c>
      <c r="I233" t="s">
        <v>698</v>
      </c>
      <c r="J233" t="s">
        <v>1879</v>
      </c>
      <c r="K233" t="s">
        <v>673</v>
      </c>
      <c r="L233" t="s">
        <v>1880</v>
      </c>
      <c r="M233" t="s">
        <v>1484</v>
      </c>
      <c r="N233" t="s">
        <v>639</v>
      </c>
      <c r="O233" t="s">
        <v>698</v>
      </c>
      <c r="P233" t="s">
        <v>673</v>
      </c>
      <c r="Q233" t="s">
        <v>778</v>
      </c>
      <c r="R233" t="s">
        <v>643</v>
      </c>
      <c r="S233" t="s">
        <v>643</v>
      </c>
      <c r="T233" t="s">
        <v>643</v>
      </c>
      <c r="U233" t="s">
        <v>1878</v>
      </c>
    </row>
    <row r="234" spans="1:21" ht="14.25" x14ac:dyDescent="0.2">
      <c r="A234" t="s">
        <v>1464</v>
      </c>
      <c r="B234" t="s">
        <v>1572</v>
      </c>
      <c r="C234" t="s">
        <v>643</v>
      </c>
      <c r="D234" t="s">
        <v>495</v>
      </c>
      <c r="E234" t="s">
        <v>997</v>
      </c>
      <c r="F234" t="s">
        <v>649</v>
      </c>
      <c r="G234" t="s">
        <v>16</v>
      </c>
      <c r="H234" t="s">
        <v>1691</v>
      </c>
      <c r="I234" t="s">
        <v>643</v>
      </c>
      <c r="J234" t="s">
        <v>643</v>
      </c>
      <c r="K234" t="s">
        <v>703</v>
      </c>
      <c r="L234" t="s">
        <v>1708</v>
      </c>
      <c r="M234" t="s">
        <v>1577</v>
      </c>
      <c r="N234" t="s">
        <v>639</v>
      </c>
      <c r="O234" t="s">
        <v>878</v>
      </c>
      <c r="P234" t="s">
        <v>790</v>
      </c>
      <c r="Q234" t="s">
        <v>643</v>
      </c>
      <c r="R234" t="s">
        <v>721</v>
      </c>
      <c r="S234" t="s">
        <v>776</v>
      </c>
      <c r="T234" t="s">
        <v>676</v>
      </c>
      <c r="U234" t="s">
        <v>1691</v>
      </c>
    </row>
    <row r="235" spans="1:21" ht="14.25" x14ac:dyDescent="0.2">
      <c r="A235" t="s">
        <v>1464</v>
      </c>
      <c r="B235" t="s">
        <v>1572</v>
      </c>
      <c r="C235" t="s">
        <v>643</v>
      </c>
      <c r="D235" t="s">
        <v>495</v>
      </c>
      <c r="E235" t="s">
        <v>997</v>
      </c>
      <c r="F235" t="s">
        <v>649</v>
      </c>
      <c r="G235" t="s">
        <v>16</v>
      </c>
      <c r="H235" t="s">
        <v>1691</v>
      </c>
      <c r="I235" t="s">
        <v>643</v>
      </c>
      <c r="J235" t="s">
        <v>643</v>
      </c>
      <c r="K235" t="s">
        <v>703</v>
      </c>
      <c r="L235" t="s">
        <v>1708</v>
      </c>
      <c r="M235" t="s">
        <v>1577</v>
      </c>
      <c r="N235" t="s">
        <v>639</v>
      </c>
      <c r="O235" t="s">
        <v>878</v>
      </c>
      <c r="P235" t="s">
        <v>790</v>
      </c>
      <c r="Q235" t="s">
        <v>643</v>
      </c>
      <c r="R235" t="s">
        <v>881</v>
      </c>
      <c r="S235" t="s">
        <v>882</v>
      </c>
      <c r="T235" t="s">
        <v>703</v>
      </c>
      <c r="U235" t="s">
        <v>1691</v>
      </c>
    </row>
    <row r="236" spans="1:21" ht="14.25" x14ac:dyDescent="0.2">
      <c r="A236" t="s">
        <v>1320</v>
      </c>
      <c r="B236" t="s">
        <v>1321</v>
      </c>
      <c r="C236" t="s">
        <v>643</v>
      </c>
      <c r="D236" t="s">
        <v>827</v>
      </c>
      <c r="E236" t="s">
        <v>826</v>
      </c>
      <c r="F236" t="s">
        <v>636</v>
      </c>
      <c r="G236" t="s">
        <v>16</v>
      </c>
      <c r="H236" t="s">
        <v>1500</v>
      </c>
      <c r="I236" t="s">
        <v>643</v>
      </c>
      <c r="J236" t="s">
        <v>643</v>
      </c>
      <c r="K236" t="s">
        <v>698</v>
      </c>
      <c r="L236" t="s">
        <v>1501</v>
      </c>
      <c r="M236" t="s">
        <v>1502</v>
      </c>
      <c r="N236" t="s">
        <v>639</v>
      </c>
      <c r="O236" t="s">
        <v>828</v>
      </c>
      <c r="P236" t="s">
        <v>673</v>
      </c>
      <c r="Q236" t="s">
        <v>643</v>
      </c>
      <c r="R236" t="s">
        <v>643</v>
      </c>
      <c r="S236" t="s">
        <v>643</v>
      </c>
      <c r="T236" t="s">
        <v>643</v>
      </c>
      <c r="U236" t="s">
        <v>1500</v>
      </c>
    </row>
    <row r="237" spans="1:21" ht="14.25" x14ac:dyDescent="0.2">
      <c r="A237" t="s">
        <v>1351</v>
      </c>
      <c r="B237" t="s">
        <v>1352</v>
      </c>
      <c r="C237" t="s">
        <v>643</v>
      </c>
      <c r="D237" t="s">
        <v>226</v>
      </c>
      <c r="E237" t="s">
        <v>771</v>
      </c>
      <c r="F237" t="s">
        <v>649</v>
      </c>
      <c r="G237" t="s">
        <v>16</v>
      </c>
      <c r="H237" t="s">
        <v>1443</v>
      </c>
      <c r="I237" t="s">
        <v>643</v>
      </c>
      <c r="J237" t="s">
        <v>643</v>
      </c>
      <c r="K237" t="s">
        <v>698</v>
      </c>
      <c r="L237" t="s">
        <v>1444</v>
      </c>
      <c r="M237" t="s">
        <v>1445</v>
      </c>
      <c r="N237" t="s">
        <v>639</v>
      </c>
      <c r="O237" t="s">
        <v>692</v>
      </c>
      <c r="P237" t="s">
        <v>673</v>
      </c>
      <c r="Q237" t="s">
        <v>643</v>
      </c>
      <c r="R237" t="s">
        <v>696</v>
      </c>
      <c r="S237" t="s">
        <v>697</v>
      </c>
      <c r="T237" t="s">
        <v>698</v>
      </c>
      <c r="U237" t="s">
        <v>1443</v>
      </c>
    </row>
    <row r="238" spans="1:21" ht="14.25" x14ac:dyDescent="0.2">
      <c r="A238" t="s">
        <v>1351</v>
      </c>
      <c r="B238" t="s">
        <v>1352</v>
      </c>
      <c r="C238" t="s">
        <v>643</v>
      </c>
      <c r="D238" t="s">
        <v>252</v>
      </c>
      <c r="E238" t="s">
        <v>852</v>
      </c>
      <c r="F238" t="s">
        <v>649</v>
      </c>
      <c r="G238" t="s">
        <v>16</v>
      </c>
      <c r="H238" t="s">
        <v>1536</v>
      </c>
      <c r="I238" t="s">
        <v>643</v>
      </c>
      <c r="J238" t="s">
        <v>643</v>
      </c>
      <c r="K238" t="s">
        <v>698</v>
      </c>
      <c r="L238" t="s">
        <v>1537</v>
      </c>
      <c r="M238" t="s">
        <v>1538</v>
      </c>
      <c r="N238" t="s">
        <v>639</v>
      </c>
      <c r="O238" t="s">
        <v>692</v>
      </c>
      <c r="P238" t="s">
        <v>673</v>
      </c>
      <c r="Q238" t="s">
        <v>643</v>
      </c>
      <c r="R238" t="s">
        <v>696</v>
      </c>
      <c r="S238" t="s">
        <v>697</v>
      </c>
      <c r="T238" t="s">
        <v>698</v>
      </c>
      <c r="U238" t="s">
        <v>1536</v>
      </c>
    </row>
    <row r="239" spans="1:21" ht="14.25" x14ac:dyDescent="0.2">
      <c r="A239" t="s">
        <v>1450</v>
      </c>
      <c r="B239" t="s">
        <v>1451</v>
      </c>
      <c r="C239" t="s">
        <v>643</v>
      </c>
      <c r="D239" t="s">
        <v>281</v>
      </c>
      <c r="E239" t="s">
        <v>1045</v>
      </c>
      <c r="F239" t="s">
        <v>649</v>
      </c>
      <c r="G239" t="s">
        <v>16</v>
      </c>
      <c r="H239" t="s">
        <v>1780</v>
      </c>
      <c r="I239" t="s">
        <v>643</v>
      </c>
      <c r="J239" t="s">
        <v>643</v>
      </c>
      <c r="K239" t="s">
        <v>698</v>
      </c>
      <c r="L239" t="s">
        <v>1781</v>
      </c>
      <c r="M239" t="s">
        <v>1782</v>
      </c>
      <c r="N239" t="s">
        <v>639</v>
      </c>
      <c r="O239" t="s">
        <v>698</v>
      </c>
      <c r="P239" t="s">
        <v>673</v>
      </c>
      <c r="Q239" t="s">
        <v>643</v>
      </c>
      <c r="R239" t="s">
        <v>721</v>
      </c>
      <c r="S239" t="s">
        <v>776</v>
      </c>
      <c r="T239" t="s">
        <v>676</v>
      </c>
      <c r="U239" t="s">
        <v>1780</v>
      </c>
    </row>
    <row r="240" spans="1:21" ht="14.25" x14ac:dyDescent="0.2">
      <c r="A240" t="s">
        <v>1721</v>
      </c>
      <c r="B240" t="s">
        <v>643</v>
      </c>
      <c r="C240" t="s">
        <v>643</v>
      </c>
      <c r="D240" t="s">
        <v>102</v>
      </c>
      <c r="E240" t="s">
        <v>1010</v>
      </c>
      <c r="F240" t="s">
        <v>649</v>
      </c>
      <c r="G240" t="s">
        <v>16</v>
      </c>
      <c r="H240" t="s">
        <v>1725</v>
      </c>
      <c r="I240" t="s">
        <v>727</v>
      </c>
      <c r="J240" t="s">
        <v>1726</v>
      </c>
      <c r="K240" t="s">
        <v>676</v>
      </c>
      <c r="L240" t="s">
        <v>1727</v>
      </c>
      <c r="M240" t="s">
        <v>1728</v>
      </c>
      <c r="N240" t="s">
        <v>639</v>
      </c>
      <c r="O240" t="s">
        <v>1011</v>
      </c>
      <c r="P240" t="s">
        <v>727</v>
      </c>
      <c r="Q240" t="s">
        <v>1009</v>
      </c>
      <c r="R240" t="s">
        <v>721</v>
      </c>
      <c r="S240" t="s">
        <v>929</v>
      </c>
      <c r="T240" t="s">
        <v>676</v>
      </c>
      <c r="U240" t="s">
        <v>1725</v>
      </c>
    </row>
    <row r="241" spans="1:21" ht="14.25" x14ac:dyDescent="0.2">
      <c r="A241" t="s">
        <v>1721</v>
      </c>
      <c r="B241" t="s">
        <v>643</v>
      </c>
      <c r="C241" t="s">
        <v>643</v>
      </c>
      <c r="D241" t="s">
        <v>102</v>
      </c>
      <c r="E241" t="s">
        <v>1010</v>
      </c>
      <c r="F241" t="s">
        <v>649</v>
      </c>
      <c r="G241" t="s">
        <v>16</v>
      </c>
      <c r="H241" t="s">
        <v>1725</v>
      </c>
      <c r="I241" t="s">
        <v>727</v>
      </c>
      <c r="J241" t="s">
        <v>1726</v>
      </c>
      <c r="K241" t="s">
        <v>676</v>
      </c>
      <c r="L241" t="s">
        <v>1727</v>
      </c>
      <c r="M241" t="s">
        <v>1728</v>
      </c>
      <c r="N241" t="s">
        <v>639</v>
      </c>
      <c r="O241" t="s">
        <v>1011</v>
      </c>
      <c r="P241" t="s">
        <v>727</v>
      </c>
      <c r="Q241" t="s">
        <v>1009</v>
      </c>
      <c r="R241" t="s">
        <v>1015</v>
      </c>
      <c r="S241" t="s">
        <v>1020</v>
      </c>
      <c r="T241" t="s">
        <v>676</v>
      </c>
      <c r="U241" t="s">
        <v>1725</v>
      </c>
    </row>
    <row r="242" spans="1:21" ht="14.25" x14ac:dyDescent="0.2">
      <c r="A242" t="s">
        <v>1721</v>
      </c>
      <c r="B242" t="s">
        <v>643</v>
      </c>
      <c r="C242" t="s">
        <v>643</v>
      </c>
      <c r="D242" t="s">
        <v>345</v>
      </c>
      <c r="E242" t="s">
        <v>1012</v>
      </c>
      <c r="F242" t="s">
        <v>636</v>
      </c>
      <c r="G242" t="s">
        <v>16</v>
      </c>
      <c r="H242" t="s">
        <v>1729</v>
      </c>
      <c r="I242" t="s">
        <v>643</v>
      </c>
      <c r="J242" t="s">
        <v>643</v>
      </c>
      <c r="K242" t="s">
        <v>654</v>
      </c>
      <c r="L242" t="s">
        <v>1730</v>
      </c>
      <c r="M242" t="s">
        <v>1731</v>
      </c>
      <c r="N242" t="s">
        <v>639</v>
      </c>
      <c r="O242" t="s">
        <v>1013</v>
      </c>
      <c r="P242" t="s">
        <v>656</v>
      </c>
      <c r="Q242" t="s">
        <v>643</v>
      </c>
      <c r="R242" t="s">
        <v>643</v>
      </c>
      <c r="S242" t="s">
        <v>643</v>
      </c>
      <c r="T242" t="s">
        <v>643</v>
      </c>
      <c r="U242" t="s">
        <v>1729</v>
      </c>
    </row>
    <row r="243" spans="1:21" ht="14.25" x14ac:dyDescent="0.2">
      <c r="A243" t="s">
        <v>1721</v>
      </c>
      <c r="B243" t="s">
        <v>643</v>
      </c>
      <c r="C243" t="s">
        <v>643</v>
      </c>
      <c r="D243" t="s">
        <v>221</v>
      </c>
      <c r="E243" t="s">
        <v>1046</v>
      </c>
      <c r="F243" t="s">
        <v>636</v>
      </c>
      <c r="G243" t="s">
        <v>16</v>
      </c>
      <c r="H243" t="s">
        <v>1784</v>
      </c>
      <c r="I243" t="s">
        <v>643</v>
      </c>
      <c r="J243" t="s">
        <v>643</v>
      </c>
      <c r="K243" t="s">
        <v>654</v>
      </c>
      <c r="L243" t="s">
        <v>1785</v>
      </c>
      <c r="M243" t="s">
        <v>1786</v>
      </c>
      <c r="N243" t="s">
        <v>639</v>
      </c>
      <c r="O243" t="s">
        <v>1047</v>
      </c>
      <c r="P243" t="s">
        <v>656</v>
      </c>
      <c r="Q243" t="s">
        <v>643</v>
      </c>
      <c r="R243" t="s">
        <v>643</v>
      </c>
      <c r="S243" t="s">
        <v>643</v>
      </c>
      <c r="T243" t="s">
        <v>643</v>
      </c>
      <c r="U243" t="s">
        <v>1784</v>
      </c>
    </row>
    <row r="244" spans="1:21" ht="14.25" x14ac:dyDescent="0.2">
      <c r="A244" t="s">
        <v>1721</v>
      </c>
      <c r="B244" t="s">
        <v>643</v>
      </c>
      <c r="C244" t="s">
        <v>643</v>
      </c>
      <c r="D244" t="s">
        <v>247</v>
      </c>
      <c r="E244" t="s">
        <v>1048</v>
      </c>
      <c r="F244" t="s">
        <v>636</v>
      </c>
      <c r="G244" t="s">
        <v>16</v>
      </c>
      <c r="H244" t="s">
        <v>1787</v>
      </c>
      <c r="I244" t="s">
        <v>643</v>
      </c>
      <c r="J244" t="s">
        <v>643</v>
      </c>
      <c r="K244" t="s">
        <v>654</v>
      </c>
      <c r="L244" t="s">
        <v>1788</v>
      </c>
      <c r="M244" t="s">
        <v>1789</v>
      </c>
      <c r="N244" t="s">
        <v>639</v>
      </c>
      <c r="O244" t="s">
        <v>1047</v>
      </c>
      <c r="P244" t="s">
        <v>656</v>
      </c>
      <c r="Q244" t="s">
        <v>643</v>
      </c>
      <c r="R244" t="s">
        <v>643</v>
      </c>
      <c r="S244" t="s">
        <v>643</v>
      </c>
      <c r="T244" t="s">
        <v>643</v>
      </c>
      <c r="U244" t="s">
        <v>1787</v>
      </c>
    </row>
    <row r="245" spans="1:21" ht="14.25" x14ac:dyDescent="0.2">
      <c r="A245" t="s">
        <v>1721</v>
      </c>
      <c r="B245" t="s">
        <v>643</v>
      </c>
      <c r="C245" t="s">
        <v>643</v>
      </c>
      <c r="D245" t="s">
        <v>271</v>
      </c>
      <c r="E245" t="s">
        <v>1139</v>
      </c>
      <c r="F245" t="s">
        <v>636</v>
      </c>
      <c r="G245" t="s">
        <v>16</v>
      </c>
      <c r="H245" t="s">
        <v>1787</v>
      </c>
      <c r="I245" t="s">
        <v>643</v>
      </c>
      <c r="J245" t="s">
        <v>643</v>
      </c>
      <c r="K245" t="s">
        <v>654</v>
      </c>
      <c r="L245" t="s">
        <v>1940</v>
      </c>
      <c r="M245" t="s">
        <v>1789</v>
      </c>
      <c r="N245" t="s">
        <v>639</v>
      </c>
      <c r="O245" t="s">
        <v>1013</v>
      </c>
      <c r="P245" t="s">
        <v>656</v>
      </c>
      <c r="Q245" t="s">
        <v>643</v>
      </c>
      <c r="R245" t="s">
        <v>643</v>
      </c>
      <c r="S245" t="s">
        <v>643</v>
      </c>
      <c r="T245" t="s">
        <v>643</v>
      </c>
      <c r="U245" t="s">
        <v>1787</v>
      </c>
    </row>
    <row r="246" spans="1:21" ht="14.25" x14ac:dyDescent="0.2">
      <c r="A246" t="s">
        <v>1721</v>
      </c>
      <c r="B246" t="s">
        <v>643</v>
      </c>
      <c r="C246" t="s">
        <v>643</v>
      </c>
      <c r="D246" t="s">
        <v>313</v>
      </c>
      <c r="E246" t="s">
        <v>1141</v>
      </c>
      <c r="F246" t="s">
        <v>636</v>
      </c>
      <c r="G246" t="s">
        <v>16</v>
      </c>
      <c r="H246" t="s">
        <v>1943</v>
      </c>
      <c r="I246" t="s">
        <v>643</v>
      </c>
      <c r="J246" t="s">
        <v>643</v>
      </c>
      <c r="K246" t="s">
        <v>654</v>
      </c>
      <c r="L246" t="s">
        <v>1944</v>
      </c>
      <c r="M246" t="s">
        <v>1945</v>
      </c>
      <c r="N246" t="s">
        <v>639</v>
      </c>
      <c r="O246" t="s">
        <v>1047</v>
      </c>
      <c r="P246" t="s">
        <v>656</v>
      </c>
      <c r="Q246" t="s">
        <v>643</v>
      </c>
      <c r="R246" t="s">
        <v>643</v>
      </c>
      <c r="S246" t="s">
        <v>643</v>
      </c>
      <c r="T246" t="s">
        <v>643</v>
      </c>
      <c r="U246" t="s">
        <v>1943</v>
      </c>
    </row>
    <row r="247" spans="1:21" ht="14.25" x14ac:dyDescent="0.2">
      <c r="A247" t="s">
        <v>1721</v>
      </c>
      <c r="B247" t="s">
        <v>643</v>
      </c>
      <c r="C247" t="s">
        <v>643</v>
      </c>
      <c r="D247" t="s">
        <v>329</v>
      </c>
      <c r="E247" t="s">
        <v>1142</v>
      </c>
      <c r="F247" t="s">
        <v>636</v>
      </c>
      <c r="G247" t="s">
        <v>16</v>
      </c>
      <c r="H247" t="s">
        <v>1946</v>
      </c>
      <c r="I247" t="s">
        <v>643</v>
      </c>
      <c r="J247" t="s">
        <v>643</v>
      </c>
      <c r="K247" t="s">
        <v>654</v>
      </c>
      <c r="L247" t="s">
        <v>1947</v>
      </c>
      <c r="M247" t="s">
        <v>1948</v>
      </c>
      <c r="N247" t="s">
        <v>639</v>
      </c>
      <c r="O247" t="s">
        <v>1047</v>
      </c>
      <c r="P247" t="s">
        <v>656</v>
      </c>
      <c r="Q247" t="s">
        <v>643</v>
      </c>
      <c r="R247" t="s">
        <v>643</v>
      </c>
      <c r="S247" t="s">
        <v>643</v>
      </c>
      <c r="T247" t="s">
        <v>643</v>
      </c>
      <c r="U247" t="s">
        <v>1946</v>
      </c>
    </row>
    <row r="248" spans="1:21" ht="14.25" x14ac:dyDescent="0.2">
      <c r="A248" t="s">
        <v>1721</v>
      </c>
      <c r="B248" t="s">
        <v>643</v>
      </c>
      <c r="C248" t="s">
        <v>643</v>
      </c>
      <c r="D248" t="s">
        <v>388</v>
      </c>
      <c r="E248" t="s">
        <v>1144</v>
      </c>
      <c r="F248" t="s">
        <v>636</v>
      </c>
      <c r="G248" t="s">
        <v>664</v>
      </c>
      <c r="H248" t="s">
        <v>1368</v>
      </c>
      <c r="I248" t="s">
        <v>643</v>
      </c>
      <c r="J248" t="s">
        <v>643</v>
      </c>
      <c r="K248" t="s">
        <v>654</v>
      </c>
      <c r="L248" t="s">
        <v>1955</v>
      </c>
      <c r="M248" t="s">
        <v>1370</v>
      </c>
      <c r="N248" t="s">
        <v>639</v>
      </c>
      <c r="O248" t="s">
        <v>1047</v>
      </c>
      <c r="P248" t="s">
        <v>656</v>
      </c>
      <c r="Q248" t="s">
        <v>643</v>
      </c>
      <c r="R248" t="s">
        <v>714</v>
      </c>
      <c r="S248" t="s">
        <v>714</v>
      </c>
      <c r="T248" t="s">
        <v>654</v>
      </c>
      <c r="U248" t="s">
        <v>1368</v>
      </c>
    </row>
    <row r="249" spans="1:21" ht="14.25" x14ac:dyDescent="0.2">
      <c r="A249" t="s">
        <v>1721</v>
      </c>
      <c r="B249" t="s">
        <v>643</v>
      </c>
      <c r="C249" t="s">
        <v>643</v>
      </c>
      <c r="D249" t="s">
        <v>273</v>
      </c>
      <c r="E249" t="s">
        <v>1190</v>
      </c>
      <c r="F249" t="s">
        <v>649</v>
      </c>
      <c r="G249" t="s">
        <v>34</v>
      </c>
      <c r="H249" t="s">
        <v>1725</v>
      </c>
      <c r="I249" t="s">
        <v>643</v>
      </c>
      <c r="J249" t="s">
        <v>643</v>
      </c>
      <c r="K249" t="s">
        <v>654</v>
      </c>
      <c r="L249" t="s">
        <v>2020</v>
      </c>
      <c r="M249" t="s">
        <v>2021</v>
      </c>
      <c r="N249" t="s">
        <v>639</v>
      </c>
      <c r="O249" t="s">
        <v>1047</v>
      </c>
      <c r="P249" t="s">
        <v>656</v>
      </c>
      <c r="Q249" t="s">
        <v>643</v>
      </c>
      <c r="R249" t="s">
        <v>714</v>
      </c>
      <c r="S249" t="s">
        <v>714</v>
      </c>
      <c r="T249" t="s">
        <v>654</v>
      </c>
      <c r="U249" t="s">
        <v>1725</v>
      </c>
    </row>
    <row r="250" spans="1:21" ht="14.25" x14ac:dyDescent="0.2">
      <c r="A250" t="s">
        <v>1721</v>
      </c>
      <c r="B250" t="s">
        <v>643</v>
      </c>
      <c r="C250" t="s">
        <v>643</v>
      </c>
      <c r="D250" t="s">
        <v>273</v>
      </c>
      <c r="E250" t="s">
        <v>1190</v>
      </c>
      <c r="F250" t="s">
        <v>649</v>
      </c>
      <c r="G250" t="s">
        <v>34</v>
      </c>
      <c r="H250" t="s">
        <v>1725</v>
      </c>
      <c r="I250" t="s">
        <v>643</v>
      </c>
      <c r="J250" t="s">
        <v>643</v>
      </c>
      <c r="K250" t="s">
        <v>654</v>
      </c>
      <c r="L250" t="s">
        <v>2020</v>
      </c>
      <c r="M250" t="s">
        <v>2021</v>
      </c>
      <c r="N250" t="s">
        <v>639</v>
      </c>
      <c r="O250" t="s">
        <v>1047</v>
      </c>
      <c r="P250" t="s">
        <v>656</v>
      </c>
      <c r="Q250" t="s">
        <v>643</v>
      </c>
      <c r="R250" t="s">
        <v>696</v>
      </c>
      <c r="S250" t="s">
        <v>697</v>
      </c>
      <c r="T250" t="s">
        <v>698</v>
      </c>
      <c r="U250" t="s">
        <v>1725</v>
      </c>
    </row>
    <row r="251" spans="1:21" ht="14.25" x14ac:dyDescent="0.2">
      <c r="A251" t="s">
        <v>1721</v>
      </c>
      <c r="B251" t="s">
        <v>643</v>
      </c>
      <c r="C251" t="s">
        <v>643</v>
      </c>
      <c r="D251" t="s">
        <v>293</v>
      </c>
      <c r="E251" t="s">
        <v>1274</v>
      </c>
      <c r="F251" t="s">
        <v>636</v>
      </c>
      <c r="G251" t="s">
        <v>34</v>
      </c>
      <c r="H251" t="s">
        <v>1725</v>
      </c>
      <c r="I251" t="s">
        <v>643</v>
      </c>
      <c r="J251" t="s">
        <v>643</v>
      </c>
      <c r="K251" t="s">
        <v>654</v>
      </c>
      <c r="L251" t="s">
        <v>2158</v>
      </c>
      <c r="M251" t="s">
        <v>2159</v>
      </c>
      <c r="N251" t="s">
        <v>639</v>
      </c>
      <c r="O251" t="s">
        <v>1047</v>
      </c>
      <c r="P251" t="s">
        <v>656</v>
      </c>
      <c r="Q251" t="s">
        <v>643</v>
      </c>
      <c r="R251" t="s">
        <v>714</v>
      </c>
      <c r="S251" t="s">
        <v>714</v>
      </c>
      <c r="T251" t="s">
        <v>654</v>
      </c>
      <c r="U251" t="s">
        <v>1725</v>
      </c>
    </row>
    <row r="252" spans="1:21" ht="14.25" x14ac:dyDescent="0.2">
      <c r="A252" t="s">
        <v>1450</v>
      </c>
      <c r="B252" t="s">
        <v>1451</v>
      </c>
      <c r="C252" t="s">
        <v>643</v>
      </c>
      <c r="D252" t="s">
        <v>257</v>
      </c>
      <c r="E252" t="s">
        <v>1043</v>
      </c>
      <c r="F252" t="s">
        <v>636</v>
      </c>
      <c r="G252" t="s">
        <v>925</v>
      </c>
      <c r="H252" t="s">
        <v>1777</v>
      </c>
      <c r="I252" t="s">
        <v>643</v>
      </c>
      <c r="J252" t="s">
        <v>643</v>
      </c>
      <c r="K252" t="s">
        <v>654</v>
      </c>
      <c r="L252" t="s">
        <v>1778</v>
      </c>
      <c r="M252" t="s">
        <v>1779</v>
      </c>
      <c r="N252" t="s">
        <v>639</v>
      </c>
      <c r="O252" t="s">
        <v>1044</v>
      </c>
      <c r="P252" t="s">
        <v>656</v>
      </c>
      <c r="Q252" t="s">
        <v>643</v>
      </c>
      <c r="R252" t="s">
        <v>643</v>
      </c>
      <c r="S252" t="s">
        <v>643</v>
      </c>
      <c r="T252" t="s">
        <v>643</v>
      </c>
      <c r="U252" t="s">
        <v>1777</v>
      </c>
    </row>
    <row r="253" spans="1:21" ht="14.25" x14ac:dyDescent="0.2">
      <c r="A253" t="s">
        <v>1294</v>
      </c>
      <c r="B253" t="s">
        <v>1446</v>
      </c>
      <c r="C253" t="s">
        <v>643</v>
      </c>
      <c r="D253" t="s">
        <v>324</v>
      </c>
      <c r="E253" t="s">
        <v>1024</v>
      </c>
      <c r="F253" t="s">
        <v>636</v>
      </c>
      <c r="G253" t="s">
        <v>664</v>
      </c>
      <c r="H253" t="s">
        <v>1746</v>
      </c>
      <c r="I253" t="s">
        <v>785</v>
      </c>
      <c r="J253" t="s">
        <v>1747</v>
      </c>
      <c r="K253" t="s">
        <v>637</v>
      </c>
      <c r="L253" t="s">
        <v>2560</v>
      </c>
      <c r="M253" t="s">
        <v>2552</v>
      </c>
      <c r="N253" t="s">
        <v>639</v>
      </c>
      <c r="O253" t="s">
        <v>785</v>
      </c>
      <c r="P253" t="s">
        <v>637</v>
      </c>
      <c r="Q253" t="s">
        <v>786</v>
      </c>
      <c r="R253" t="s">
        <v>721</v>
      </c>
      <c r="S253" t="s">
        <v>1025</v>
      </c>
      <c r="T253" t="s">
        <v>676</v>
      </c>
      <c r="U253" t="s">
        <v>1746</v>
      </c>
    </row>
    <row r="254" spans="1:21" ht="14.25" x14ac:dyDescent="0.2">
      <c r="A254" t="s">
        <v>1294</v>
      </c>
      <c r="B254" t="s">
        <v>1446</v>
      </c>
      <c r="C254" t="s">
        <v>643</v>
      </c>
      <c r="D254" t="s">
        <v>324</v>
      </c>
      <c r="E254" t="s">
        <v>1024</v>
      </c>
      <c r="F254" t="s">
        <v>636</v>
      </c>
      <c r="G254" t="s">
        <v>664</v>
      </c>
      <c r="H254" t="s">
        <v>1746</v>
      </c>
      <c r="I254" t="s">
        <v>785</v>
      </c>
      <c r="J254" t="s">
        <v>1747</v>
      </c>
      <c r="K254" t="s">
        <v>637</v>
      </c>
      <c r="L254" t="s">
        <v>2560</v>
      </c>
      <c r="M254" t="s">
        <v>2552</v>
      </c>
      <c r="N254" t="s">
        <v>639</v>
      </c>
      <c r="O254" t="s">
        <v>785</v>
      </c>
      <c r="P254" t="s">
        <v>637</v>
      </c>
      <c r="Q254" t="s">
        <v>786</v>
      </c>
      <c r="R254" t="s">
        <v>721</v>
      </c>
      <c r="S254" t="s">
        <v>2413</v>
      </c>
      <c r="T254" t="s">
        <v>676</v>
      </c>
      <c r="U254" t="s">
        <v>1746</v>
      </c>
    </row>
    <row r="255" spans="1:21" ht="14.25" x14ac:dyDescent="0.2">
      <c r="A255" t="s">
        <v>1294</v>
      </c>
      <c r="B255" t="s">
        <v>1299</v>
      </c>
      <c r="C255" t="s">
        <v>643</v>
      </c>
      <c r="D255" t="s">
        <v>516</v>
      </c>
      <c r="E255" t="s">
        <v>1052</v>
      </c>
      <c r="F255" t="s">
        <v>636</v>
      </c>
      <c r="G255" t="s">
        <v>16</v>
      </c>
      <c r="H255" t="s">
        <v>1792</v>
      </c>
      <c r="I255" t="s">
        <v>646</v>
      </c>
      <c r="J255" t="s">
        <v>1793</v>
      </c>
      <c r="K255" t="s">
        <v>637</v>
      </c>
      <c r="L255" t="s">
        <v>2561</v>
      </c>
      <c r="M255" t="s">
        <v>2552</v>
      </c>
      <c r="N255" t="s">
        <v>639</v>
      </c>
      <c r="O255" t="s">
        <v>646</v>
      </c>
      <c r="P255" t="s">
        <v>637</v>
      </c>
      <c r="Q255" t="s">
        <v>647</v>
      </c>
      <c r="R255" t="s">
        <v>721</v>
      </c>
      <c r="S255" t="s">
        <v>929</v>
      </c>
      <c r="T255" t="s">
        <v>676</v>
      </c>
      <c r="U255" t="s">
        <v>1792</v>
      </c>
    </row>
    <row r="256" spans="1:21" ht="14.25" x14ac:dyDescent="0.2">
      <c r="A256" t="s">
        <v>1294</v>
      </c>
      <c r="B256" t="s">
        <v>1299</v>
      </c>
      <c r="C256" t="s">
        <v>643</v>
      </c>
      <c r="D256" t="s">
        <v>516</v>
      </c>
      <c r="E256" t="s">
        <v>1052</v>
      </c>
      <c r="F256" t="s">
        <v>636</v>
      </c>
      <c r="G256" t="s">
        <v>16</v>
      </c>
      <c r="H256" t="s">
        <v>1792</v>
      </c>
      <c r="I256" t="s">
        <v>646</v>
      </c>
      <c r="J256" t="s">
        <v>1793</v>
      </c>
      <c r="K256" t="s">
        <v>637</v>
      </c>
      <c r="L256" t="s">
        <v>2561</v>
      </c>
      <c r="M256" t="s">
        <v>2552</v>
      </c>
      <c r="N256" t="s">
        <v>639</v>
      </c>
      <c r="O256" t="s">
        <v>646</v>
      </c>
      <c r="P256" t="s">
        <v>637</v>
      </c>
      <c r="Q256" t="s">
        <v>647</v>
      </c>
      <c r="R256" t="s">
        <v>721</v>
      </c>
      <c r="S256" t="s">
        <v>657</v>
      </c>
      <c r="T256" t="s">
        <v>676</v>
      </c>
      <c r="U256" t="s">
        <v>1792</v>
      </c>
    </row>
    <row r="257" spans="1:21" ht="14.25" x14ac:dyDescent="0.2">
      <c r="A257" t="s">
        <v>1464</v>
      </c>
      <c r="B257" t="s">
        <v>1481</v>
      </c>
      <c r="C257" t="s">
        <v>643</v>
      </c>
      <c r="D257" t="s">
        <v>174</v>
      </c>
      <c r="E257" t="s">
        <v>1031</v>
      </c>
      <c r="F257" t="s">
        <v>649</v>
      </c>
      <c r="G257" t="s">
        <v>16</v>
      </c>
      <c r="H257" t="s">
        <v>1753</v>
      </c>
      <c r="I257" t="s">
        <v>643</v>
      </c>
      <c r="J257" t="s">
        <v>643</v>
      </c>
      <c r="K257" t="s">
        <v>703</v>
      </c>
      <c r="L257" t="s">
        <v>1754</v>
      </c>
      <c r="M257" t="s">
        <v>1577</v>
      </c>
      <c r="N257" t="s">
        <v>639</v>
      </c>
      <c r="O257" t="s">
        <v>855</v>
      </c>
      <c r="P257" t="s">
        <v>790</v>
      </c>
      <c r="Q257" t="s">
        <v>643</v>
      </c>
      <c r="R257" t="s">
        <v>881</v>
      </c>
      <c r="S257" t="s">
        <v>882</v>
      </c>
      <c r="T257" t="s">
        <v>703</v>
      </c>
      <c r="U257" t="s">
        <v>1753</v>
      </c>
    </row>
    <row r="258" spans="1:21" ht="14.25" x14ac:dyDescent="0.2">
      <c r="A258" t="s">
        <v>1464</v>
      </c>
      <c r="B258" t="s">
        <v>1481</v>
      </c>
      <c r="C258" t="s">
        <v>643</v>
      </c>
      <c r="D258" t="s">
        <v>1033</v>
      </c>
      <c r="E258" t="s">
        <v>1032</v>
      </c>
      <c r="F258" t="s">
        <v>636</v>
      </c>
      <c r="G258" t="s">
        <v>16</v>
      </c>
      <c r="H258" t="s">
        <v>1755</v>
      </c>
      <c r="I258" t="s">
        <v>855</v>
      </c>
      <c r="J258" t="s">
        <v>1756</v>
      </c>
      <c r="K258" t="s">
        <v>790</v>
      </c>
      <c r="L258" t="s">
        <v>1757</v>
      </c>
      <c r="M258" t="s">
        <v>1758</v>
      </c>
      <c r="N258" t="s">
        <v>639</v>
      </c>
      <c r="O258" t="s">
        <v>855</v>
      </c>
      <c r="P258" t="s">
        <v>790</v>
      </c>
      <c r="Q258" t="s">
        <v>857</v>
      </c>
      <c r="R258" t="s">
        <v>643</v>
      </c>
      <c r="S258" t="s">
        <v>643</v>
      </c>
      <c r="T258" t="s">
        <v>643</v>
      </c>
      <c r="U258" t="s">
        <v>1755</v>
      </c>
    </row>
    <row r="259" spans="1:21" ht="14.25" x14ac:dyDescent="0.2">
      <c r="A259" t="s">
        <v>1464</v>
      </c>
      <c r="B259" t="s">
        <v>1481</v>
      </c>
      <c r="C259" t="s">
        <v>643</v>
      </c>
      <c r="D259" t="s">
        <v>258</v>
      </c>
      <c r="E259" t="s">
        <v>1034</v>
      </c>
      <c r="F259" t="s">
        <v>636</v>
      </c>
      <c r="G259" t="s">
        <v>16</v>
      </c>
      <c r="H259" t="s">
        <v>1755</v>
      </c>
      <c r="I259" t="s">
        <v>855</v>
      </c>
      <c r="J259" t="s">
        <v>1759</v>
      </c>
      <c r="K259" t="s">
        <v>790</v>
      </c>
      <c r="L259" t="s">
        <v>1760</v>
      </c>
      <c r="M259" t="s">
        <v>1758</v>
      </c>
      <c r="N259" t="s">
        <v>639</v>
      </c>
      <c r="O259" t="s">
        <v>855</v>
      </c>
      <c r="P259" t="s">
        <v>790</v>
      </c>
      <c r="Q259" t="s">
        <v>857</v>
      </c>
      <c r="R259" t="s">
        <v>643</v>
      </c>
      <c r="S259" t="s">
        <v>643</v>
      </c>
      <c r="T259" t="s">
        <v>643</v>
      </c>
      <c r="U259" t="s">
        <v>1755</v>
      </c>
    </row>
    <row r="260" spans="1:21" ht="14.25" x14ac:dyDescent="0.2">
      <c r="A260" t="s">
        <v>1464</v>
      </c>
      <c r="B260" t="s">
        <v>1481</v>
      </c>
      <c r="C260" t="s">
        <v>643</v>
      </c>
      <c r="D260" t="s">
        <v>282</v>
      </c>
      <c r="E260" t="s">
        <v>1035</v>
      </c>
      <c r="F260" t="s">
        <v>636</v>
      </c>
      <c r="G260" t="s">
        <v>16</v>
      </c>
      <c r="H260" t="s">
        <v>1761</v>
      </c>
      <c r="I260" t="s">
        <v>855</v>
      </c>
      <c r="J260" t="s">
        <v>1762</v>
      </c>
      <c r="K260" t="s">
        <v>790</v>
      </c>
      <c r="L260" t="s">
        <v>1763</v>
      </c>
      <c r="M260" t="s">
        <v>1764</v>
      </c>
      <c r="N260" t="s">
        <v>639</v>
      </c>
      <c r="O260" t="s">
        <v>855</v>
      </c>
      <c r="P260" t="s">
        <v>790</v>
      </c>
      <c r="Q260" t="s">
        <v>857</v>
      </c>
      <c r="R260" t="s">
        <v>643</v>
      </c>
      <c r="S260" t="s">
        <v>643</v>
      </c>
      <c r="T260" t="s">
        <v>643</v>
      </c>
      <c r="U260" t="s">
        <v>1761</v>
      </c>
    </row>
    <row r="261" spans="1:21" ht="14.25" x14ac:dyDescent="0.2">
      <c r="A261" t="s">
        <v>1464</v>
      </c>
      <c r="B261" t="s">
        <v>1481</v>
      </c>
      <c r="C261" t="s">
        <v>643</v>
      </c>
      <c r="D261" t="s">
        <v>234</v>
      </c>
      <c r="E261" t="s">
        <v>1036</v>
      </c>
      <c r="F261" t="s">
        <v>636</v>
      </c>
      <c r="G261" t="s">
        <v>16</v>
      </c>
      <c r="H261" t="s">
        <v>1755</v>
      </c>
      <c r="I261" t="s">
        <v>855</v>
      </c>
      <c r="J261" t="s">
        <v>1765</v>
      </c>
      <c r="K261" t="s">
        <v>790</v>
      </c>
      <c r="L261" t="s">
        <v>1766</v>
      </c>
      <c r="M261" t="s">
        <v>1758</v>
      </c>
      <c r="N261" t="s">
        <v>639</v>
      </c>
      <c r="O261" t="s">
        <v>855</v>
      </c>
      <c r="P261" t="s">
        <v>790</v>
      </c>
      <c r="Q261" t="s">
        <v>857</v>
      </c>
      <c r="R261" t="s">
        <v>1037</v>
      </c>
      <c r="S261" t="s">
        <v>1038</v>
      </c>
      <c r="T261" t="s">
        <v>703</v>
      </c>
      <c r="U261" t="s">
        <v>1755</v>
      </c>
    </row>
    <row r="262" spans="1:21" ht="14.25" x14ac:dyDescent="0.2">
      <c r="A262" t="s">
        <v>1351</v>
      </c>
      <c r="B262" t="s">
        <v>1371</v>
      </c>
      <c r="C262" t="s">
        <v>643</v>
      </c>
      <c r="D262" t="s">
        <v>539</v>
      </c>
      <c r="E262" t="s">
        <v>932</v>
      </c>
      <c r="F262" t="s">
        <v>636</v>
      </c>
      <c r="G262" t="s">
        <v>16</v>
      </c>
      <c r="H262" t="s">
        <v>1636</v>
      </c>
      <c r="I262" t="s">
        <v>692</v>
      </c>
      <c r="J262" t="s">
        <v>1637</v>
      </c>
      <c r="K262" t="s">
        <v>673</v>
      </c>
      <c r="L262" t="s">
        <v>1638</v>
      </c>
      <c r="M262" t="s">
        <v>1401</v>
      </c>
      <c r="N262" t="s">
        <v>639</v>
      </c>
      <c r="O262" t="s">
        <v>724</v>
      </c>
      <c r="P262" t="s">
        <v>673</v>
      </c>
      <c r="Q262" t="s">
        <v>713</v>
      </c>
      <c r="R262" t="s">
        <v>933</v>
      </c>
      <c r="S262" t="s">
        <v>934</v>
      </c>
      <c r="T262" t="s">
        <v>654</v>
      </c>
      <c r="U262" t="s">
        <v>1636</v>
      </c>
    </row>
    <row r="263" spans="1:21" ht="14.25" x14ac:dyDescent="0.2">
      <c r="A263" t="s">
        <v>1351</v>
      </c>
      <c r="B263" t="s">
        <v>1371</v>
      </c>
      <c r="C263" t="s">
        <v>643</v>
      </c>
      <c r="D263" t="s">
        <v>540</v>
      </c>
      <c r="E263" t="s">
        <v>955</v>
      </c>
      <c r="F263" t="s">
        <v>636</v>
      </c>
      <c r="G263" t="s">
        <v>16</v>
      </c>
      <c r="H263" t="s">
        <v>1636</v>
      </c>
      <c r="I263" t="s">
        <v>692</v>
      </c>
      <c r="J263" t="s">
        <v>1652</v>
      </c>
      <c r="K263" t="s">
        <v>673</v>
      </c>
      <c r="L263" t="s">
        <v>1653</v>
      </c>
      <c r="M263" t="s">
        <v>1401</v>
      </c>
      <c r="N263" t="s">
        <v>639</v>
      </c>
      <c r="O263" t="s">
        <v>724</v>
      </c>
      <c r="P263" t="s">
        <v>673</v>
      </c>
      <c r="Q263" t="s">
        <v>713</v>
      </c>
      <c r="R263" t="s">
        <v>643</v>
      </c>
      <c r="S263" t="s">
        <v>643</v>
      </c>
      <c r="T263" t="s">
        <v>643</v>
      </c>
      <c r="U263" t="s">
        <v>1636</v>
      </c>
    </row>
    <row r="264" spans="1:21" ht="14.25" x14ac:dyDescent="0.2">
      <c r="A264" t="s">
        <v>1351</v>
      </c>
      <c r="B264" t="s">
        <v>1371</v>
      </c>
      <c r="C264" t="s">
        <v>643</v>
      </c>
      <c r="D264" t="s">
        <v>541</v>
      </c>
      <c r="E264" t="s">
        <v>956</v>
      </c>
      <c r="F264" t="s">
        <v>636</v>
      </c>
      <c r="G264" t="s">
        <v>16</v>
      </c>
      <c r="H264" t="s">
        <v>1636</v>
      </c>
      <c r="I264" t="s">
        <v>692</v>
      </c>
      <c r="J264" t="s">
        <v>1654</v>
      </c>
      <c r="K264" t="s">
        <v>673</v>
      </c>
      <c r="L264" t="s">
        <v>1655</v>
      </c>
      <c r="M264" t="s">
        <v>1401</v>
      </c>
      <c r="N264" t="s">
        <v>639</v>
      </c>
      <c r="O264" t="s">
        <v>724</v>
      </c>
      <c r="P264" t="s">
        <v>673</v>
      </c>
      <c r="Q264" t="s">
        <v>713</v>
      </c>
      <c r="R264" t="s">
        <v>643</v>
      </c>
      <c r="S264" t="s">
        <v>643</v>
      </c>
      <c r="T264" t="s">
        <v>643</v>
      </c>
      <c r="U264" t="s">
        <v>1636</v>
      </c>
    </row>
    <row r="265" spans="1:21" ht="14.25" x14ac:dyDescent="0.2">
      <c r="A265" t="s">
        <v>1450</v>
      </c>
      <c r="B265" t="s">
        <v>1451</v>
      </c>
      <c r="C265" t="s">
        <v>643</v>
      </c>
      <c r="D265" t="s">
        <v>127</v>
      </c>
      <c r="E265" t="s">
        <v>1127</v>
      </c>
      <c r="F265" t="s">
        <v>649</v>
      </c>
      <c r="G265" t="s">
        <v>37</v>
      </c>
      <c r="H265" t="s">
        <v>1928</v>
      </c>
      <c r="I265" t="s">
        <v>643</v>
      </c>
      <c r="J265" t="s">
        <v>643</v>
      </c>
      <c r="K265" t="s">
        <v>698</v>
      </c>
      <c r="L265" t="s">
        <v>1929</v>
      </c>
      <c r="M265" t="s">
        <v>1694</v>
      </c>
      <c r="N265" t="s">
        <v>639</v>
      </c>
      <c r="O265" t="s">
        <v>673</v>
      </c>
      <c r="P265" t="s">
        <v>656</v>
      </c>
      <c r="Q265" t="s">
        <v>643</v>
      </c>
      <c r="R265" t="s">
        <v>1128</v>
      </c>
      <c r="S265" t="s">
        <v>1129</v>
      </c>
      <c r="T265" t="s">
        <v>698</v>
      </c>
      <c r="U265" t="s">
        <v>1928</v>
      </c>
    </row>
    <row r="266" spans="1:21" ht="14.25" x14ac:dyDescent="0.2">
      <c r="A266" t="s">
        <v>1450</v>
      </c>
      <c r="B266" t="s">
        <v>1451</v>
      </c>
      <c r="C266" t="s">
        <v>643</v>
      </c>
      <c r="D266" t="s">
        <v>127</v>
      </c>
      <c r="E266" t="s">
        <v>1127</v>
      </c>
      <c r="F266" t="s">
        <v>649</v>
      </c>
      <c r="G266" t="s">
        <v>37</v>
      </c>
      <c r="H266" t="s">
        <v>1928</v>
      </c>
      <c r="I266" t="s">
        <v>643</v>
      </c>
      <c r="J266" t="s">
        <v>643</v>
      </c>
      <c r="K266" t="s">
        <v>698</v>
      </c>
      <c r="L266" t="s">
        <v>1929</v>
      </c>
      <c r="M266" t="s">
        <v>1694</v>
      </c>
      <c r="N266" t="s">
        <v>639</v>
      </c>
      <c r="O266" t="s">
        <v>673</v>
      </c>
      <c r="P266" t="s">
        <v>656</v>
      </c>
      <c r="Q266" t="s">
        <v>643</v>
      </c>
      <c r="R266" t="s">
        <v>1128</v>
      </c>
      <c r="S266" t="s">
        <v>2414</v>
      </c>
      <c r="T266" t="s">
        <v>698</v>
      </c>
      <c r="U266" t="s">
        <v>1928</v>
      </c>
    </row>
    <row r="267" spans="1:21" ht="14.25" x14ac:dyDescent="0.2">
      <c r="A267" t="s">
        <v>1450</v>
      </c>
      <c r="B267" t="s">
        <v>1451</v>
      </c>
      <c r="C267" t="s">
        <v>643</v>
      </c>
      <c r="D267" t="s">
        <v>127</v>
      </c>
      <c r="E267" t="s">
        <v>1127</v>
      </c>
      <c r="F267" t="s">
        <v>649</v>
      </c>
      <c r="G267" t="s">
        <v>37</v>
      </c>
      <c r="H267" t="s">
        <v>1928</v>
      </c>
      <c r="I267" t="s">
        <v>643</v>
      </c>
      <c r="J267" t="s">
        <v>643</v>
      </c>
      <c r="K267" t="s">
        <v>698</v>
      </c>
      <c r="L267" t="s">
        <v>1929</v>
      </c>
      <c r="M267" t="s">
        <v>1694</v>
      </c>
      <c r="N267" t="s">
        <v>639</v>
      </c>
      <c r="O267" t="s">
        <v>673</v>
      </c>
      <c r="P267" t="s">
        <v>656</v>
      </c>
      <c r="Q267" t="s">
        <v>643</v>
      </c>
      <c r="R267" t="s">
        <v>1128</v>
      </c>
      <c r="S267" t="s">
        <v>2414</v>
      </c>
      <c r="T267" t="s">
        <v>698</v>
      </c>
      <c r="U267" t="s">
        <v>1928</v>
      </c>
    </row>
    <row r="268" spans="1:21" ht="14.25" x14ac:dyDescent="0.2">
      <c r="A268" t="s">
        <v>1721</v>
      </c>
      <c r="B268" t="s">
        <v>643</v>
      </c>
      <c r="C268" t="s">
        <v>643</v>
      </c>
      <c r="D268" t="s">
        <v>106</v>
      </c>
      <c r="E268" t="s">
        <v>1157</v>
      </c>
      <c r="F268" t="s">
        <v>649</v>
      </c>
      <c r="G268" t="s">
        <v>37</v>
      </c>
      <c r="H268" t="s">
        <v>1729</v>
      </c>
      <c r="I268" t="s">
        <v>643</v>
      </c>
      <c r="J268" t="s">
        <v>643</v>
      </c>
      <c r="K268" t="s">
        <v>676</v>
      </c>
      <c r="L268" t="s">
        <v>1980</v>
      </c>
      <c r="M268" t="s">
        <v>1731</v>
      </c>
      <c r="N268" t="s">
        <v>639</v>
      </c>
      <c r="O268" t="s">
        <v>1047</v>
      </c>
      <c r="P268" t="s">
        <v>656</v>
      </c>
      <c r="Q268" t="s">
        <v>643</v>
      </c>
      <c r="R268" t="s">
        <v>714</v>
      </c>
      <c r="S268" t="s">
        <v>714</v>
      </c>
      <c r="T268" t="s">
        <v>654</v>
      </c>
      <c r="U268" t="s">
        <v>1729</v>
      </c>
    </row>
    <row r="269" spans="1:21" ht="14.25" x14ac:dyDescent="0.2">
      <c r="A269" t="s">
        <v>1721</v>
      </c>
      <c r="B269" t="s">
        <v>643</v>
      </c>
      <c r="C269" t="s">
        <v>643</v>
      </c>
      <c r="D269" t="s">
        <v>106</v>
      </c>
      <c r="E269" t="s">
        <v>1157</v>
      </c>
      <c r="F269" t="s">
        <v>649</v>
      </c>
      <c r="G269" t="s">
        <v>37</v>
      </c>
      <c r="H269" t="s">
        <v>1729</v>
      </c>
      <c r="I269" t="s">
        <v>643</v>
      </c>
      <c r="J269" t="s">
        <v>643</v>
      </c>
      <c r="K269" t="s">
        <v>676</v>
      </c>
      <c r="L269" t="s">
        <v>1980</v>
      </c>
      <c r="M269" t="s">
        <v>1731</v>
      </c>
      <c r="N269" t="s">
        <v>639</v>
      </c>
      <c r="O269" t="s">
        <v>1047</v>
      </c>
      <c r="P269" t="s">
        <v>656</v>
      </c>
      <c r="Q269" t="s">
        <v>643</v>
      </c>
      <c r="R269" t="s">
        <v>721</v>
      </c>
      <c r="S269" t="s">
        <v>841</v>
      </c>
      <c r="T269" t="s">
        <v>676</v>
      </c>
      <c r="U269" t="s">
        <v>1729</v>
      </c>
    </row>
    <row r="270" spans="1:21" ht="14.25" x14ac:dyDescent="0.2">
      <c r="A270" t="s">
        <v>1721</v>
      </c>
      <c r="B270" t="s">
        <v>643</v>
      </c>
      <c r="C270" t="s">
        <v>643</v>
      </c>
      <c r="D270" t="s">
        <v>154</v>
      </c>
      <c r="E270" t="s">
        <v>1158</v>
      </c>
      <c r="F270" t="s">
        <v>636</v>
      </c>
      <c r="G270" t="s">
        <v>37</v>
      </c>
      <c r="H270" t="s">
        <v>1741</v>
      </c>
      <c r="I270" t="s">
        <v>643</v>
      </c>
      <c r="J270" t="s">
        <v>643</v>
      </c>
      <c r="K270" t="s">
        <v>676</v>
      </c>
      <c r="L270" t="s">
        <v>1981</v>
      </c>
      <c r="M270" t="s">
        <v>1712</v>
      </c>
      <c r="N270" t="s">
        <v>639</v>
      </c>
      <c r="O270" t="s">
        <v>1013</v>
      </c>
      <c r="P270" t="s">
        <v>656</v>
      </c>
      <c r="Q270" t="s">
        <v>643</v>
      </c>
      <c r="R270" t="s">
        <v>1159</v>
      </c>
      <c r="S270" t="s">
        <v>657</v>
      </c>
      <c r="T270" t="s">
        <v>676</v>
      </c>
      <c r="U270" t="s">
        <v>1741</v>
      </c>
    </row>
    <row r="271" spans="1:21" ht="14.25" x14ac:dyDescent="0.2">
      <c r="A271" t="s">
        <v>1294</v>
      </c>
      <c r="B271" t="s">
        <v>1295</v>
      </c>
      <c r="C271" t="s">
        <v>643</v>
      </c>
      <c r="D271" t="s">
        <v>325</v>
      </c>
      <c r="E271" t="s">
        <v>1049</v>
      </c>
      <c r="F271" t="s">
        <v>649</v>
      </c>
      <c r="G271" t="s">
        <v>27</v>
      </c>
      <c r="H271" t="s">
        <v>1790</v>
      </c>
      <c r="I271" t="s">
        <v>643</v>
      </c>
      <c r="J271" t="s">
        <v>643</v>
      </c>
      <c r="K271" t="s">
        <v>643</v>
      </c>
      <c r="L271" t="s">
        <v>643</v>
      </c>
      <c r="M271" t="s">
        <v>1791</v>
      </c>
      <c r="N271" t="s">
        <v>687</v>
      </c>
      <c r="O271" t="s">
        <v>844</v>
      </c>
      <c r="P271" t="s">
        <v>637</v>
      </c>
      <c r="Q271" t="s">
        <v>643</v>
      </c>
      <c r="R271" t="s">
        <v>1050</v>
      </c>
      <c r="S271" t="s">
        <v>1051</v>
      </c>
      <c r="T271" t="s">
        <v>703</v>
      </c>
      <c r="U271" t="s">
        <v>1790</v>
      </c>
    </row>
    <row r="272" spans="1:21" ht="14.25" x14ac:dyDescent="0.2">
      <c r="A272" t="s">
        <v>1294</v>
      </c>
      <c r="B272" t="s">
        <v>1299</v>
      </c>
      <c r="C272" t="s">
        <v>643</v>
      </c>
      <c r="D272" t="s">
        <v>1242</v>
      </c>
      <c r="E272" t="s">
        <v>1241</v>
      </c>
      <c r="F272" t="s">
        <v>636</v>
      </c>
      <c r="G272" t="s">
        <v>16</v>
      </c>
      <c r="H272" t="s">
        <v>2117</v>
      </c>
      <c r="I272" t="s">
        <v>646</v>
      </c>
      <c r="J272" t="s">
        <v>2118</v>
      </c>
      <c r="K272" t="s">
        <v>637</v>
      </c>
      <c r="L272" t="s">
        <v>2119</v>
      </c>
      <c r="M272" t="s">
        <v>2120</v>
      </c>
      <c r="N272" t="s">
        <v>681</v>
      </c>
      <c r="O272" t="s">
        <v>646</v>
      </c>
      <c r="P272" t="s">
        <v>637</v>
      </c>
      <c r="Q272" t="s">
        <v>647</v>
      </c>
      <c r="R272" t="s">
        <v>721</v>
      </c>
      <c r="S272" t="s">
        <v>1243</v>
      </c>
      <c r="T272" t="s">
        <v>676</v>
      </c>
      <c r="U272" t="s">
        <v>2117</v>
      </c>
    </row>
    <row r="273" spans="1:21" ht="14.25" x14ac:dyDescent="0.2">
      <c r="A273" t="s">
        <v>1294</v>
      </c>
      <c r="B273" t="s">
        <v>1299</v>
      </c>
      <c r="C273" t="s">
        <v>643</v>
      </c>
      <c r="D273" t="s">
        <v>666</v>
      </c>
      <c r="E273" t="s">
        <v>665</v>
      </c>
      <c r="F273" t="s">
        <v>636</v>
      </c>
      <c r="G273" t="s">
        <v>16</v>
      </c>
      <c r="H273" t="s">
        <v>1318</v>
      </c>
      <c r="I273" t="s">
        <v>643</v>
      </c>
      <c r="J273" t="s">
        <v>643</v>
      </c>
      <c r="K273" t="s">
        <v>643</v>
      </c>
      <c r="L273" t="s">
        <v>643</v>
      </c>
      <c r="M273" t="s">
        <v>1319</v>
      </c>
      <c r="N273" t="s">
        <v>639</v>
      </c>
      <c r="O273" t="s">
        <v>646</v>
      </c>
      <c r="P273" t="s">
        <v>637</v>
      </c>
      <c r="Q273" t="s">
        <v>643</v>
      </c>
      <c r="R273" t="s">
        <v>643</v>
      </c>
      <c r="S273" t="s">
        <v>643</v>
      </c>
      <c r="T273" t="s">
        <v>643</v>
      </c>
      <c r="U273" t="s">
        <v>1318</v>
      </c>
    </row>
    <row r="274" spans="1:21" ht="14.25" x14ac:dyDescent="0.2">
      <c r="A274" t="s">
        <v>1294</v>
      </c>
      <c r="B274" t="s">
        <v>1299</v>
      </c>
      <c r="C274" t="s">
        <v>643</v>
      </c>
      <c r="D274" t="s">
        <v>513</v>
      </c>
      <c r="E274" t="s">
        <v>1028</v>
      </c>
      <c r="F274" t="s">
        <v>636</v>
      </c>
      <c r="G274" t="s">
        <v>16</v>
      </c>
      <c r="H274" t="s">
        <v>1318</v>
      </c>
      <c r="I274" t="s">
        <v>646</v>
      </c>
      <c r="J274" t="s">
        <v>1750</v>
      </c>
      <c r="K274" t="s">
        <v>637</v>
      </c>
      <c r="L274" t="s">
        <v>1751</v>
      </c>
      <c r="M274" t="s">
        <v>1752</v>
      </c>
      <c r="N274" t="s">
        <v>639</v>
      </c>
      <c r="O274" t="s">
        <v>646</v>
      </c>
      <c r="P274" t="s">
        <v>637</v>
      </c>
      <c r="Q274" t="s">
        <v>647</v>
      </c>
      <c r="R274" t="s">
        <v>1029</v>
      </c>
      <c r="S274" t="s">
        <v>1030</v>
      </c>
      <c r="T274" t="s">
        <v>698</v>
      </c>
      <c r="U274" t="s">
        <v>1318</v>
      </c>
    </row>
    <row r="275" spans="1:21" ht="14.25" x14ac:dyDescent="0.2">
      <c r="A275" t="s">
        <v>1464</v>
      </c>
      <c r="B275" t="s">
        <v>1465</v>
      </c>
      <c r="C275" t="s">
        <v>643</v>
      </c>
      <c r="D275" t="s">
        <v>319</v>
      </c>
      <c r="E275" t="s">
        <v>1054</v>
      </c>
      <c r="F275" t="s">
        <v>649</v>
      </c>
      <c r="G275" t="s">
        <v>16</v>
      </c>
      <c r="H275" t="s">
        <v>1736</v>
      </c>
      <c r="I275" t="s">
        <v>789</v>
      </c>
      <c r="J275" t="s">
        <v>1796</v>
      </c>
      <c r="K275" t="s">
        <v>790</v>
      </c>
      <c r="L275" t="s">
        <v>1797</v>
      </c>
      <c r="M275" t="s">
        <v>1798</v>
      </c>
      <c r="N275" t="s">
        <v>639</v>
      </c>
      <c r="O275" t="s">
        <v>789</v>
      </c>
      <c r="P275" t="s">
        <v>790</v>
      </c>
      <c r="Q275" t="s">
        <v>796</v>
      </c>
      <c r="R275" t="s">
        <v>721</v>
      </c>
      <c r="S275" t="s">
        <v>776</v>
      </c>
      <c r="T275" t="s">
        <v>676</v>
      </c>
      <c r="U275" t="s">
        <v>1736</v>
      </c>
    </row>
    <row r="276" spans="1:21" ht="14.25" x14ac:dyDescent="0.2">
      <c r="A276" t="s">
        <v>1294</v>
      </c>
      <c r="B276" t="s">
        <v>1684</v>
      </c>
      <c r="C276" t="s">
        <v>643</v>
      </c>
      <c r="D276" t="s">
        <v>1056</v>
      </c>
      <c r="E276" t="s">
        <v>1055</v>
      </c>
      <c r="F276" t="s">
        <v>636</v>
      </c>
      <c r="G276" t="s">
        <v>664</v>
      </c>
      <c r="H276" t="s">
        <v>1799</v>
      </c>
      <c r="I276" t="s">
        <v>981</v>
      </c>
      <c r="J276" t="s">
        <v>1800</v>
      </c>
      <c r="K276" t="s">
        <v>846</v>
      </c>
      <c r="L276" t="s">
        <v>1801</v>
      </c>
      <c r="M276" t="s">
        <v>1758</v>
      </c>
      <c r="N276" t="s">
        <v>639</v>
      </c>
      <c r="O276" t="s">
        <v>981</v>
      </c>
      <c r="P276" t="s">
        <v>846</v>
      </c>
      <c r="Q276" t="s">
        <v>1057</v>
      </c>
      <c r="R276" t="s">
        <v>643</v>
      </c>
      <c r="S276" t="s">
        <v>643</v>
      </c>
      <c r="T276" t="s">
        <v>643</v>
      </c>
      <c r="U276" t="s">
        <v>1799</v>
      </c>
    </row>
    <row r="277" spans="1:21" ht="14.25" x14ac:dyDescent="0.2">
      <c r="A277" t="s">
        <v>1294</v>
      </c>
      <c r="B277" t="s">
        <v>1684</v>
      </c>
      <c r="C277" t="s">
        <v>643</v>
      </c>
      <c r="D277" t="s">
        <v>645</v>
      </c>
      <c r="E277" t="s">
        <v>1058</v>
      </c>
      <c r="F277" t="s">
        <v>636</v>
      </c>
      <c r="G277" t="s">
        <v>10</v>
      </c>
      <c r="H277" t="s">
        <v>1802</v>
      </c>
      <c r="I277" t="s">
        <v>981</v>
      </c>
      <c r="J277" t="s">
        <v>1803</v>
      </c>
      <c r="K277" t="s">
        <v>846</v>
      </c>
      <c r="L277" t="s">
        <v>1804</v>
      </c>
      <c r="M277" t="s">
        <v>1805</v>
      </c>
      <c r="N277" t="s">
        <v>639</v>
      </c>
      <c r="O277" t="s">
        <v>981</v>
      </c>
      <c r="P277" t="s">
        <v>846</v>
      </c>
      <c r="Q277" t="s">
        <v>1057</v>
      </c>
      <c r="R277" t="s">
        <v>1059</v>
      </c>
      <c r="S277" t="s">
        <v>1060</v>
      </c>
      <c r="T277" t="s">
        <v>703</v>
      </c>
      <c r="U277" t="s">
        <v>1802</v>
      </c>
    </row>
    <row r="278" spans="1:21" ht="14.25" x14ac:dyDescent="0.2">
      <c r="A278" t="s">
        <v>1294</v>
      </c>
      <c r="B278" t="s">
        <v>1684</v>
      </c>
      <c r="C278" t="s">
        <v>643</v>
      </c>
      <c r="D278" t="s">
        <v>184</v>
      </c>
      <c r="E278" t="s">
        <v>1061</v>
      </c>
      <c r="F278" t="s">
        <v>636</v>
      </c>
      <c r="G278" t="s">
        <v>664</v>
      </c>
      <c r="H278" t="s">
        <v>1806</v>
      </c>
      <c r="I278" t="s">
        <v>981</v>
      </c>
      <c r="J278" t="s">
        <v>1807</v>
      </c>
      <c r="K278" t="s">
        <v>846</v>
      </c>
      <c r="L278" t="s">
        <v>1808</v>
      </c>
      <c r="M278" t="s">
        <v>1809</v>
      </c>
      <c r="N278" t="s">
        <v>639</v>
      </c>
      <c r="O278" t="s">
        <v>981</v>
      </c>
      <c r="P278" t="s">
        <v>846</v>
      </c>
      <c r="Q278" t="s">
        <v>1057</v>
      </c>
      <c r="R278" t="s">
        <v>643</v>
      </c>
      <c r="S278" t="s">
        <v>643</v>
      </c>
      <c r="T278" t="s">
        <v>643</v>
      </c>
      <c r="U278" t="s">
        <v>1806</v>
      </c>
    </row>
    <row r="279" spans="1:21" ht="14.25" x14ac:dyDescent="0.2">
      <c r="A279" t="s">
        <v>1294</v>
      </c>
      <c r="B279" t="s">
        <v>1684</v>
      </c>
      <c r="C279" t="s">
        <v>643</v>
      </c>
      <c r="D279" t="s">
        <v>1063</v>
      </c>
      <c r="E279" t="s">
        <v>1062</v>
      </c>
      <c r="F279" t="s">
        <v>636</v>
      </c>
      <c r="G279" t="s">
        <v>664</v>
      </c>
      <c r="H279" t="s">
        <v>1806</v>
      </c>
      <c r="I279" t="s">
        <v>981</v>
      </c>
      <c r="J279" t="s">
        <v>1810</v>
      </c>
      <c r="K279" t="s">
        <v>846</v>
      </c>
      <c r="L279" t="s">
        <v>1811</v>
      </c>
      <c r="M279" t="s">
        <v>1809</v>
      </c>
      <c r="N279" t="s">
        <v>639</v>
      </c>
      <c r="O279" t="s">
        <v>981</v>
      </c>
      <c r="P279" t="s">
        <v>846</v>
      </c>
      <c r="Q279" t="s">
        <v>1057</v>
      </c>
      <c r="R279" t="s">
        <v>643</v>
      </c>
      <c r="S279" t="s">
        <v>643</v>
      </c>
      <c r="T279" t="s">
        <v>643</v>
      </c>
      <c r="U279" t="s">
        <v>1806</v>
      </c>
    </row>
    <row r="280" spans="1:21" ht="14.25" x14ac:dyDescent="0.2">
      <c r="A280" t="s">
        <v>1294</v>
      </c>
      <c r="B280" t="s">
        <v>1684</v>
      </c>
      <c r="C280" t="s">
        <v>643</v>
      </c>
      <c r="D280" t="s">
        <v>145</v>
      </c>
      <c r="E280" t="s">
        <v>1064</v>
      </c>
      <c r="F280" t="s">
        <v>636</v>
      </c>
      <c r="G280" t="s">
        <v>27</v>
      </c>
      <c r="H280" t="s">
        <v>1812</v>
      </c>
      <c r="I280" t="s">
        <v>981</v>
      </c>
      <c r="J280" t="s">
        <v>1813</v>
      </c>
      <c r="K280" t="s">
        <v>846</v>
      </c>
      <c r="L280" t="s">
        <v>1814</v>
      </c>
      <c r="M280" t="s">
        <v>1815</v>
      </c>
      <c r="N280" t="s">
        <v>639</v>
      </c>
      <c r="O280" t="s">
        <v>981</v>
      </c>
      <c r="P280" t="s">
        <v>846</v>
      </c>
      <c r="Q280" t="s">
        <v>1057</v>
      </c>
      <c r="R280" t="s">
        <v>643</v>
      </c>
      <c r="S280" t="s">
        <v>643</v>
      </c>
      <c r="T280" t="s">
        <v>643</v>
      </c>
      <c r="U280" t="s">
        <v>1812</v>
      </c>
    </row>
    <row r="281" spans="1:21" ht="14.25" x14ac:dyDescent="0.2">
      <c r="A281" t="s">
        <v>1294</v>
      </c>
      <c r="B281" t="s">
        <v>1684</v>
      </c>
      <c r="C281" t="s">
        <v>643</v>
      </c>
      <c r="D281" t="s">
        <v>185</v>
      </c>
      <c r="E281" t="s">
        <v>1065</v>
      </c>
      <c r="F281" t="s">
        <v>636</v>
      </c>
      <c r="G281" t="s">
        <v>27</v>
      </c>
      <c r="H281" t="s">
        <v>1816</v>
      </c>
      <c r="I281" t="s">
        <v>981</v>
      </c>
      <c r="J281" t="s">
        <v>1817</v>
      </c>
      <c r="K281" t="s">
        <v>846</v>
      </c>
      <c r="L281" t="s">
        <v>1818</v>
      </c>
      <c r="M281" t="s">
        <v>1819</v>
      </c>
      <c r="N281" t="s">
        <v>639</v>
      </c>
      <c r="O281" t="s">
        <v>981</v>
      </c>
      <c r="P281" t="s">
        <v>846</v>
      </c>
      <c r="Q281" t="s">
        <v>1057</v>
      </c>
      <c r="R281" t="s">
        <v>643</v>
      </c>
      <c r="S281" t="s">
        <v>643</v>
      </c>
      <c r="T281" t="s">
        <v>643</v>
      </c>
      <c r="U281" t="s">
        <v>1816</v>
      </c>
    </row>
    <row r="282" spans="1:21" ht="14.25" x14ac:dyDescent="0.2">
      <c r="A282" t="s">
        <v>1294</v>
      </c>
      <c r="B282" t="s">
        <v>1684</v>
      </c>
      <c r="C282" t="s">
        <v>643</v>
      </c>
      <c r="D282" t="s">
        <v>215</v>
      </c>
      <c r="E282" t="s">
        <v>1066</v>
      </c>
      <c r="F282" t="s">
        <v>636</v>
      </c>
      <c r="G282" t="s">
        <v>27</v>
      </c>
      <c r="H282" t="s">
        <v>1816</v>
      </c>
      <c r="I282" t="s">
        <v>981</v>
      </c>
      <c r="J282" t="s">
        <v>1820</v>
      </c>
      <c r="K282" t="s">
        <v>846</v>
      </c>
      <c r="L282" t="s">
        <v>1821</v>
      </c>
      <c r="M282" t="s">
        <v>1822</v>
      </c>
      <c r="N282" t="s">
        <v>639</v>
      </c>
      <c r="O282" t="s">
        <v>981</v>
      </c>
      <c r="P282" t="s">
        <v>846</v>
      </c>
      <c r="Q282" t="s">
        <v>1057</v>
      </c>
      <c r="R282" t="s">
        <v>945</v>
      </c>
      <c r="S282" t="s">
        <v>1067</v>
      </c>
      <c r="T282" t="s">
        <v>703</v>
      </c>
      <c r="U282" t="s">
        <v>1816</v>
      </c>
    </row>
    <row r="283" spans="1:21" ht="14.25" x14ac:dyDescent="0.2">
      <c r="A283" t="s">
        <v>1294</v>
      </c>
      <c r="B283" t="s">
        <v>1684</v>
      </c>
      <c r="C283" t="s">
        <v>643</v>
      </c>
      <c r="D283" t="s">
        <v>242</v>
      </c>
      <c r="E283" t="s">
        <v>1068</v>
      </c>
      <c r="F283" t="s">
        <v>636</v>
      </c>
      <c r="G283" t="s">
        <v>27</v>
      </c>
      <c r="H283" t="s">
        <v>1823</v>
      </c>
      <c r="I283" t="s">
        <v>981</v>
      </c>
      <c r="J283" t="s">
        <v>1824</v>
      </c>
      <c r="K283" t="s">
        <v>846</v>
      </c>
      <c r="L283" t="s">
        <v>1825</v>
      </c>
      <c r="M283" t="s">
        <v>1826</v>
      </c>
      <c r="N283" t="s">
        <v>639</v>
      </c>
      <c r="O283" t="s">
        <v>981</v>
      </c>
      <c r="P283" t="s">
        <v>846</v>
      </c>
      <c r="Q283" t="s">
        <v>1057</v>
      </c>
      <c r="R283" t="s">
        <v>643</v>
      </c>
      <c r="S283" t="s">
        <v>643</v>
      </c>
      <c r="T283" t="s">
        <v>643</v>
      </c>
      <c r="U283" t="s">
        <v>1823</v>
      </c>
    </row>
    <row r="284" spans="1:21" ht="14.25" x14ac:dyDescent="0.2">
      <c r="A284" t="s">
        <v>1294</v>
      </c>
      <c r="B284" t="s">
        <v>1684</v>
      </c>
      <c r="C284" t="s">
        <v>643</v>
      </c>
      <c r="D284" t="s">
        <v>265</v>
      </c>
      <c r="E284" t="s">
        <v>1069</v>
      </c>
      <c r="F284" t="s">
        <v>636</v>
      </c>
      <c r="G284" t="s">
        <v>27</v>
      </c>
      <c r="H284" t="s">
        <v>1823</v>
      </c>
      <c r="I284" t="s">
        <v>981</v>
      </c>
      <c r="J284" t="s">
        <v>1827</v>
      </c>
      <c r="K284" t="s">
        <v>846</v>
      </c>
      <c r="L284" t="s">
        <v>1828</v>
      </c>
      <c r="M284" t="s">
        <v>1822</v>
      </c>
      <c r="N284" t="s">
        <v>639</v>
      </c>
      <c r="O284" t="s">
        <v>981</v>
      </c>
      <c r="P284" t="s">
        <v>846</v>
      </c>
      <c r="Q284" t="s">
        <v>1057</v>
      </c>
      <c r="R284" t="s">
        <v>945</v>
      </c>
      <c r="S284" t="s">
        <v>1067</v>
      </c>
      <c r="T284" t="s">
        <v>703</v>
      </c>
      <c r="U284" t="s">
        <v>1823</v>
      </c>
    </row>
    <row r="285" spans="1:21" ht="14.25" x14ac:dyDescent="0.2">
      <c r="A285" t="s">
        <v>1351</v>
      </c>
      <c r="B285" t="s">
        <v>1371</v>
      </c>
      <c r="C285" t="s">
        <v>643</v>
      </c>
      <c r="D285" t="s">
        <v>501</v>
      </c>
      <c r="E285" t="s">
        <v>1167</v>
      </c>
      <c r="F285" t="s">
        <v>636</v>
      </c>
      <c r="G285" t="s">
        <v>37</v>
      </c>
      <c r="H285" t="s">
        <v>1991</v>
      </c>
      <c r="I285" t="s">
        <v>643</v>
      </c>
      <c r="J285" t="s">
        <v>643</v>
      </c>
      <c r="K285" t="s">
        <v>654</v>
      </c>
      <c r="L285" t="s">
        <v>1992</v>
      </c>
      <c r="M285" t="s">
        <v>1993</v>
      </c>
      <c r="N285" t="s">
        <v>639</v>
      </c>
      <c r="O285" t="s">
        <v>712</v>
      </c>
      <c r="P285" t="s">
        <v>656</v>
      </c>
      <c r="Q285" t="s">
        <v>643</v>
      </c>
      <c r="R285" t="s">
        <v>643</v>
      </c>
      <c r="S285" t="s">
        <v>643</v>
      </c>
      <c r="T285" t="s">
        <v>643</v>
      </c>
      <c r="U285" t="s">
        <v>1991</v>
      </c>
    </row>
    <row r="286" spans="1:21" ht="14.25" x14ac:dyDescent="0.2">
      <c r="A286" t="s">
        <v>1351</v>
      </c>
      <c r="B286" t="s">
        <v>1371</v>
      </c>
      <c r="C286" t="s">
        <v>643</v>
      </c>
      <c r="D286" t="s">
        <v>391</v>
      </c>
      <c r="E286" t="s">
        <v>1039</v>
      </c>
      <c r="F286" t="s">
        <v>636</v>
      </c>
      <c r="G286" t="s">
        <v>16</v>
      </c>
      <c r="H286" t="s">
        <v>1767</v>
      </c>
      <c r="I286" t="s">
        <v>692</v>
      </c>
      <c r="J286" t="s">
        <v>1768</v>
      </c>
      <c r="K286" t="s">
        <v>643</v>
      </c>
      <c r="L286" t="s">
        <v>643</v>
      </c>
      <c r="M286" t="s">
        <v>1769</v>
      </c>
      <c r="N286" t="s">
        <v>693</v>
      </c>
      <c r="O286" t="s">
        <v>724</v>
      </c>
      <c r="P286" t="s">
        <v>673</v>
      </c>
      <c r="Q286" t="s">
        <v>713</v>
      </c>
      <c r="R286" t="s">
        <v>643</v>
      </c>
      <c r="S286" t="s">
        <v>643</v>
      </c>
      <c r="T286" t="s">
        <v>643</v>
      </c>
      <c r="U286" t="s">
        <v>1767</v>
      </c>
    </row>
    <row r="287" spans="1:21" ht="14.25" x14ac:dyDescent="0.2">
      <c r="A287" t="s">
        <v>1464</v>
      </c>
      <c r="B287" t="s">
        <v>1584</v>
      </c>
      <c r="C287" t="s">
        <v>643</v>
      </c>
      <c r="D287" t="s">
        <v>1073</v>
      </c>
      <c r="E287" t="s">
        <v>1072</v>
      </c>
      <c r="F287" t="s">
        <v>636</v>
      </c>
      <c r="G287" t="s">
        <v>34</v>
      </c>
      <c r="H287" t="s">
        <v>1834</v>
      </c>
      <c r="I287" t="s">
        <v>790</v>
      </c>
      <c r="J287" t="s">
        <v>1835</v>
      </c>
      <c r="K287" t="s">
        <v>790</v>
      </c>
      <c r="L287" t="s">
        <v>1836</v>
      </c>
      <c r="M287" t="s">
        <v>1837</v>
      </c>
      <c r="N287" t="s">
        <v>639</v>
      </c>
      <c r="O287" t="s">
        <v>790</v>
      </c>
      <c r="P287" t="s">
        <v>790</v>
      </c>
      <c r="Q287" t="s">
        <v>895</v>
      </c>
      <c r="R287" t="s">
        <v>643</v>
      </c>
      <c r="S287" t="s">
        <v>643</v>
      </c>
      <c r="T287" t="s">
        <v>643</v>
      </c>
      <c r="U287" t="s">
        <v>1834</v>
      </c>
    </row>
    <row r="288" spans="1:21" ht="14.25" x14ac:dyDescent="0.2">
      <c r="A288" t="s">
        <v>1464</v>
      </c>
      <c r="B288" t="s">
        <v>1572</v>
      </c>
      <c r="C288" t="s">
        <v>643</v>
      </c>
      <c r="D288" t="s">
        <v>176</v>
      </c>
      <c r="E288" t="s">
        <v>1074</v>
      </c>
      <c r="F288" t="s">
        <v>649</v>
      </c>
      <c r="G288" t="s">
        <v>27</v>
      </c>
      <c r="H288" t="s">
        <v>1838</v>
      </c>
      <c r="I288" t="s">
        <v>878</v>
      </c>
      <c r="J288" t="s">
        <v>2562</v>
      </c>
      <c r="K288" t="s">
        <v>790</v>
      </c>
      <c r="L288" t="s">
        <v>2563</v>
      </c>
      <c r="M288" t="s">
        <v>1748</v>
      </c>
      <c r="N288" t="s">
        <v>639</v>
      </c>
      <c r="O288" t="s">
        <v>878</v>
      </c>
      <c r="P288" t="s">
        <v>790</v>
      </c>
      <c r="Q288" t="s">
        <v>1075</v>
      </c>
      <c r="R288" t="s">
        <v>2564</v>
      </c>
      <c r="S288" t="s">
        <v>2565</v>
      </c>
      <c r="T288" t="s">
        <v>2554</v>
      </c>
      <c r="U288" t="s">
        <v>1838</v>
      </c>
    </row>
    <row r="289" spans="1:21" ht="14.25" x14ac:dyDescent="0.2">
      <c r="A289" t="s">
        <v>1464</v>
      </c>
      <c r="B289" t="s">
        <v>1572</v>
      </c>
      <c r="C289" t="s">
        <v>643</v>
      </c>
      <c r="D289" t="s">
        <v>236</v>
      </c>
      <c r="E289" t="s">
        <v>1076</v>
      </c>
      <c r="F289" t="s">
        <v>636</v>
      </c>
      <c r="G289" t="s">
        <v>27</v>
      </c>
      <c r="H289" t="s">
        <v>1839</v>
      </c>
      <c r="I289" t="s">
        <v>878</v>
      </c>
      <c r="J289" t="s">
        <v>1840</v>
      </c>
      <c r="K289" t="s">
        <v>790</v>
      </c>
      <c r="L289" t="s">
        <v>1841</v>
      </c>
      <c r="M289" t="s">
        <v>1360</v>
      </c>
      <c r="N289" t="s">
        <v>639</v>
      </c>
      <c r="O289" t="s">
        <v>878</v>
      </c>
      <c r="P289" t="s">
        <v>790</v>
      </c>
      <c r="Q289" t="s">
        <v>1075</v>
      </c>
      <c r="R289" t="s">
        <v>721</v>
      </c>
      <c r="S289" t="s">
        <v>776</v>
      </c>
      <c r="T289" t="s">
        <v>676</v>
      </c>
      <c r="U289" t="s">
        <v>1839</v>
      </c>
    </row>
    <row r="290" spans="1:21" ht="14.25" x14ac:dyDescent="0.2">
      <c r="A290" t="s">
        <v>1464</v>
      </c>
      <c r="B290" t="s">
        <v>1572</v>
      </c>
      <c r="C290" t="s">
        <v>643</v>
      </c>
      <c r="D290" t="s">
        <v>259</v>
      </c>
      <c r="E290" t="s">
        <v>1077</v>
      </c>
      <c r="F290" t="s">
        <v>636</v>
      </c>
      <c r="G290" t="s">
        <v>27</v>
      </c>
      <c r="H290" t="s">
        <v>1736</v>
      </c>
      <c r="I290" t="s">
        <v>878</v>
      </c>
      <c r="J290" t="s">
        <v>1842</v>
      </c>
      <c r="K290" t="s">
        <v>790</v>
      </c>
      <c r="L290" t="s">
        <v>1843</v>
      </c>
      <c r="M290" t="s">
        <v>1798</v>
      </c>
      <c r="N290" t="s">
        <v>639</v>
      </c>
      <c r="O290" t="s">
        <v>878</v>
      </c>
      <c r="P290" t="s">
        <v>790</v>
      </c>
      <c r="Q290" t="s">
        <v>1075</v>
      </c>
      <c r="R290" t="s">
        <v>911</v>
      </c>
      <c r="S290" t="s">
        <v>776</v>
      </c>
      <c r="T290" t="s">
        <v>676</v>
      </c>
      <c r="U290" t="s">
        <v>1736</v>
      </c>
    </row>
    <row r="291" spans="1:21" ht="14.25" x14ac:dyDescent="0.2">
      <c r="A291" t="s">
        <v>1464</v>
      </c>
      <c r="B291" t="s">
        <v>1572</v>
      </c>
      <c r="C291" t="s">
        <v>643</v>
      </c>
      <c r="D291" t="s">
        <v>302</v>
      </c>
      <c r="E291" t="s">
        <v>1078</v>
      </c>
      <c r="F291" t="s">
        <v>636</v>
      </c>
      <c r="G291" t="s">
        <v>27</v>
      </c>
      <c r="H291" t="s">
        <v>1844</v>
      </c>
      <c r="I291" t="s">
        <v>878</v>
      </c>
      <c r="J291" t="s">
        <v>1845</v>
      </c>
      <c r="K291" t="s">
        <v>790</v>
      </c>
      <c r="L291" t="s">
        <v>1846</v>
      </c>
      <c r="M291" t="s">
        <v>1847</v>
      </c>
      <c r="N291" t="s">
        <v>639</v>
      </c>
      <c r="O291" t="s">
        <v>878</v>
      </c>
      <c r="P291" t="s">
        <v>790</v>
      </c>
      <c r="Q291" t="s">
        <v>1075</v>
      </c>
      <c r="R291" t="s">
        <v>643</v>
      </c>
      <c r="S291" t="s">
        <v>643</v>
      </c>
      <c r="T291" t="s">
        <v>643</v>
      </c>
      <c r="U291" t="s">
        <v>1844</v>
      </c>
    </row>
    <row r="292" spans="1:21" ht="14.25" x14ac:dyDescent="0.2">
      <c r="A292" t="s">
        <v>1464</v>
      </c>
      <c r="B292" t="s">
        <v>1572</v>
      </c>
      <c r="C292" t="s">
        <v>643</v>
      </c>
      <c r="D292" t="s">
        <v>363</v>
      </c>
      <c r="E292" t="s">
        <v>1079</v>
      </c>
      <c r="F292" t="s">
        <v>636</v>
      </c>
      <c r="G292" t="s">
        <v>27</v>
      </c>
      <c r="H292" t="s">
        <v>1848</v>
      </c>
      <c r="I292" t="s">
        <v>878</v>
      </c>
      <c r="J292" t="s">
        <v>1849</v>
      </c>
      <c r="K292" t="s">
        <v>790</v>
      </c>
      <c r="L292" t="s">
        <v>1850</v>
      </c>
      <c r="M292" t="s">
        <v>1851</v>
      </c>
      <c r="N292" t="s">
        <v>639</v>
      </c>
      <c r="O292" t="s">
        <v>878</v>
      </c>
      <c r="P292" t="s">
        <v>790</v>
      </c>
      <c r="Q292" t="s">
        <v>1075</v>
      </c>
      <c r="R292" t="s">
        <v>643</v>
      </c>
      <c r="S292" t="s">
        <v>643</v>
      </c>
      <c r="T292" t="s">
        <v>643</v>
      </c>
      <c r="U292" t="s">
        <v>1848</v>
      </c>
    </row>
    <row r="293" spans="1:21" ht="14.25" x14ac:dyDescent="0.2">
      <c r="A293" t="s">
        <v>1464</v>
      </c>
      <c r="B293" t="s">
        <v>1572</v>
      </c>
      <c r="C293" t="s">
        <v>643</v>
      </c>
      <c r="D293" t="s">
        <v>376</v>
      </c>
      <c r="E293" t="s">
        <v>1080</v>
      </c>
      <c r="F293" t="s">
        <v>636</v>
      </c>
      <c r="G293" t="s">
        <v>27</v>
      </c>
      <c r="H293" t="s">
        <v>1848</v>
      </c>
      <c r="I293" t="s">
        <v>878</v>
      </c>
      <c r="J293" t="s">
        <v>1852</v>
      </c>
      <c r="K293" t="s">
        <v>790</v>
      </c>
      <c r="L293" t="s">
        <v>1853</v>
      </c>
      <c r="M293" t="s">
        <v>1851</v>
      </c>
      <c r="N293" t="s">
        <v>639</v>
      </c>
      <c r="O293" t="s">
        <v>878</v>
      </c>
      <c r="P293" t="s">
        <v>790</v>
      </c>
      <c r="Q293" t="s">
        <v>1075</v>
      </c>
      <c r="R293" t="s">
        <v>643</v>
      </c>
      <c r="S293" t="s">
        <v>643</v>
      </c>
      <c r="T293" t="s">
        <v>643</v>
      </c>
      <c r="U293" t="s">
        <v>1848</v>
      </c>
    </row>
    <row r="294" spans="1:21" ht="14.25" x14ac:dyDescent="0.2">
      <c r="A294" t="s">
        <v>1464</v>
      </c>
      <c r="B294" t="s">
        <v>1572</v>
      </c>
      <c r="C294" t="s">
        <v>643</v>
      </c>
      <c r="D294" t="s">
        <v>393</v>
      </c>
      <c r="E294" t="s">
        <v>1081</v>
      </c>
      <c r="F294" t="s">
        <v>636</v>
      </c>
      <c r="G294" t="s">
        <v>27</v>
      </c>
      <c r="H294" t="s">
        <v>1806</v>
      </c>
      <c r="I294" t="s">
        <v>878</v>
      </c>
      <c r="J294" t="s">
        <v>1854</v>
      </c>
      <c r="K294" t="s">
        <v>790</v>
      </c>
      <c r="L294" t="s">
        <v>1855</v>
      </c>
      <c r="M294" t="s">
        <v>1809</v>
      </c>
      <c r="N294" t="s">
        <v>639</v>
      </c>
      <c r="O294" t="s">
        <v>878</v>
      </c>
      <c r="P294" t="s">
        <v>790</v>
      </c>
      <c r="Q294" t="s">
        <v>1075</v>
      </c>
      <c r="R294" t="s">
        <v>643</v>
      </c>
      <c r="S294" t="s">
        <v>643</v>
      </c>
      <c r="T294" t="s">
        <v>643</v>
      </c>
      <c r="U294" t="s">
        <v>1806</v>
      </c>
    </row>
    <row r="295" spans="1:21" ht="14.25" x14ac:dyDescent="0.2">
      <c r="A295" t="s">
        <v>1464</v>
      </c>
      <c r="B295" t="s">
        <v>1465</v>
      </c>
      <c r="C295" t="s">
        <v>643</v>
      </c>
      <c r="D295" t="s">
        <v>336</v>
      </c>
      <c r="E295" t="s">
        <v>1082</v>
      </c>
      <c r="F295" t="s">
        <v>709</v>
      </c>
      <c r="G295" t="s">
        <v>16</v>
      </c>
      <c r="H295" t="s">
        <v>1856</v>
      </c>
      <c r="I295" t="s">
        <v>789</v>
      </c>
      <c r="J295" t="s">
        <v>1857</v>
      </c>
      <c r="K295" t="s">
        <v>790</v>
      </c>
      <c r="L295" t="s">
        <v>1858</v>
      </c>
      <c r="M295" t="s">
        <v>1480</v>
      </c>
      <c r="N295" t="s">
        <v>639</v>
      </c>
      <c r="O295" t="s">
        <v>789</v>
      </c>
      <c r="P295" t="s">
        <v>790</v>
      </c>
      <c r="Q295" t="s">
        <v>796</v>
      </c>
      <c r="R295" t="s">
        <v>911</v>
      </c>
      <c r="S295" t="s">
        <v>776</v>
      </c>
      <c r="T295" t="s">
        <v>676</v>
      </c>
      <c r="U295" t="s">
        <v>1856</v>
      </c>
    </row>
    <row r="296" spans="1:21" ht="14.25" x14ac:dyDescent="0.2">
      <c r="A296" t="s">
        <v>1464</v>
      </c>
      <c r="B296" t="s">
        <v>1465</v>
      </c>
      <c r="C296" t="s">
        <v>643</v>
      </c>
      <c r="D296" t="s">
        <v>336</v>
      </c>
      <c r="E296" t="s">
        <v>1082</v>
      </c>
      <c r="F296" t="s">
        <v>709</v>
      </c>
      <c r="G296" t="s">
        <v>16</v>
      </c>
      <c r="H296" t="s">
        <v>1856</v>
      </c>
      <c r="I296" t="s">
        <v>789</v>
      </c>
      <c r="J296" t="s">
        <v>1857</v>
      </c>
      <c r="K296" t="s">
        <v>790</v>
      </c>
      <c r="L296" t="s">
        <v>1858</v>
      </c>
      <c r="M296" t="s">
        <v>1480</v>
      </c>
      <c r="N296" t="s">
        <v>639</v>
      </c>
      <c r="O296" t="s">
        <v>789</v>
      </c>
      <c r="P296" t="s">
        <v>790</v>
      </c>
      <c r="Q296" t="s">
        <v>796</v>
      </c>
      <c r="R296" t="s">
        <v>2415</v>
      </c>
      <c r="S296" t="s">
        <v>2416</v>
      </c>
      <c r="T296" t="s">
        <v>703</v>
      </c>
      <c r="U296" t="s">
        <v>1856</v>
      </c>
    </row>
    <row r="297" spans="1:21" ht="14.25" x14ac:dyDescent="0.2">
      <c r="A297" t="s">
        <v>1464</v>
      </c>
      <c r="B297" t="s">
        <v>1465</v>
      </c>
      <c r="C297" t="s">
        <v>643</v>
      </c>
      <c r="D297" t="s">
        <v>336</v>
      </c>
      <c r="E297" t="s">
        <v>1082</v>
      </c>
      <c r="F297" t="s">
        <v>709</v>
      </c>
      <c r="G297" t="s">
        <v>16</v>
      </c>
      <c r="H297" t="s">
        <v>1856</v>
      </c>
      <c r="I297" t="s">
        <v>789</v>
      </c>
      <c r="J297" t="s">
        <v>1857</v>
      </c>
      <c r="K297" t="s">
        <v>790</v>
      </c>
      <c r="L297" t="s">
        <v>1858</v>
      </c>
      <c r="M297" t="s">
        <v>1480</v>
      </c>
      <c r="N297" t="s">
        <v>639</v>
      </c>
      <c r="O297" t="s">
        <v>789</v>
      </c>
      <c r="P297" t="s">
        <v>790</v>
      </c>
      <c r="Q297" t="s">
        <v>796</v>
      </c>
      <c r="R297" t="s">
        <v>2417</v>
      </c>
      <c r="S297" t="s">
        <v>2418</v>
      </c>
      <c r="T297" t="s">
        <v>703</v>
      </c>
      <c r="U297" t="s">
        <v>1856</v>
      </c>
    </row>
    <row r="298" spans="1:21" ht="14.25" x14ac:dyDescent="0.2">
      <c r="A298" t="s">
        <v>1351</v>
      </c>
      <c r="B298" t="s">
        <v>1366</v>
      </c>
      <c r="C298" t="s">
        <v>643</v>
      </c>
      <c r="D298" t="s">
        <v>390</v>
      </c>
      <c r="E298" t="s">
        <v>1083</v>
      </c>
      <c r="F298" t="s">
        <v>649</v>
      </c>
      <c r="G298" t="s">
        <v>34</v>
      </c>
      <c r="H298" t="s">
        <v>1416</v>
      </c>
      <c r="I298" t="s">
        <v>692</v>
      </c>
      <c r="J298" t="s">
        <v>1859</v>
      </c>
      <c r="K298" t="s">
        <v>673</v>
      </c>
      <c r="L298" t="s">
        <v>1860</v>
      </c>
      <c r="M298" t="s">
        <v>1386</v>
      </c>
      <c r="N298" t="s">
        <v>639</v>
      </c>
      <c r="O298" t="s">
        <v>971</v>
      </c>
      <c r="P298" t="s">
        <v>673</v>
      </c>
      <c r="Q298" t="s">
        <v>972</v>
      </c>
      <c r="R298" t="s">
        <v>643</v>
      </c>
      <c r="S298" t="s">
        <v>643</v>
      </c>
      <c r="T298" t="s">
        <v>643</v>
      </c>
      <c r="U298" t="s">
        <v>1416</v>
      </c>
    </row>
    <row r="299" spans="1:21" ht="14.25" x14ac:dyDescent="0.2">
      <c r="A299" t="s">
        <v>1464</v>
      </c>
      <c r="B299" t="s">
        <v>1465</v>
      </c>
      <c r="C299" t="s">
        <v>643</v>
      </c>
      <c r="D299" t="s">
        <v>404</v>
      </c>
      <c r="E299" t="s">
        <v>1084</v>
      </c>
      <c r="F299" t="s">
        <v>636</v>
      </c>
      <c r="G299" t="s">
        <v>27</v>
      </c>
      <c r="H299" t="s">
        <v>1861</v>
      </c>
      <c r="I299" t="s">
        <v>789</v>
      </c>
      <c r="J299" t="s">
        <v>1862</v>
      </c>
      <c r="K299" t="s">
        <v>790</v>
      </c>
      <c r="L299" t="s">
        <v>1863</v>
      </c>
      <c r="M299" t="s">
        <v>1864</v>
      </c>
      <c r="N299" t="s">
        <v>639</v>
      </c>
      <c r="O299" t="s">
        <v>789</v>
      </c>
      <c r="P299" t="s">
        <v>790</v>
      </c>
      <c r="Q299" t="s">
        <v>796</v>
      </c>
      <c r="R299" t="s">
        <v>643</v>
      </c>
      <c r="S299" t="s">
        <v>643</v>
      </c>
      <c r="T299" t="s">
        <v>643</v>
      </c>
      <c r="U299" t="s">
        <v>1861</v>
      </c>
    </row>
    <row r="300" spans="1:21" ht="14.25" x14ac:dyDescent="0.2">
      <c r="A300" t="s">
        <v>1464</v>
      </c>
      <c r="B300" t="s">
        <v>1465</v>
      </c>
      <c r="C300" t="s">
        <v>643</v>
      </c>
      <c r="D300" t="s">
        <v>415</v>
      </c>
      <c r="E300" t="s">
        <v>1085</v>
      </c>
      <c r="F300" t="s">
        <v>636</v>
      </c>
      <c r="G300" t="s">
        <v>27</v>
      </c>
      <c r="H300" t="s">
        <v>1861</v>
      </c>
      <c r="I300" t="s">
        <v>789</v>
      </c>
      <c r="J300" t="s">
        <v>1865</v>
      </c>
      <c r="K300" t="s">
        <v>790</v>
      </c>
      <c r="L300" t="s">
        <v>1866</v>
      </c>
      <c r="M300" t="s">
        <v>1864</v>
      </c>
      <c r="N300" t="s">
        <v>639</v>
      </c>
      <c r="O300" t="s">
        <v>789</v>
      </c>
      <c r="P300" t="s">
        <v>790</v>
      </c>
      <c r="Q300" t="s">
        <v>796</v>
      </c>
      <c r="R300" t="s">
        <v>643</v>
      </c>
      <c r="S300" t="s">
        <v>643</v>
      </c>
      <c r="T300" t="s">
        <v>643</v>
      </c>
      <c r="U300" t="s">
        <v>1861</v>
      </c>
    </row>
    <row r="301" spans="1:21" ht="14.25" x14ac:dyDescent="0.2">
      <c r="A301" t="s">
        <v>1464</v>
      </c>
      <c r="B301" t="s">
        <v>1465</v>
      </c>
      <c r="C301" t="s">
        <v>643</v>
      </c>
      <c r="D301" t="s">
        <v>283</v>
      </c>
      <c r="E301" t="s">
        <v>1086</v>
      </c>
      <c r="F301" t="s">
        <v>636</v>
      </c>
      <c r="G301" t="s">
        <v>27</v>
      </c>
      <c r="H301" t="s">
        <v>1861</v>
      </c>
      <c r="I301" t="s">
        <v>789</v>
      </c>
      <c r="J301" t="s">
        <v>1867</v>
      </c>
      <c r="K301" t="s">
        <v>790</v>
      </c>
      <c r="L301" t="s">
        <v>1868</v>
      </c>
      <c r="M301" t="s">
        <v>1864</v>
      </c>
      <c r="N301" t="s">
        <v>639</v>
      </c>
      <c r="O301" t="s">
        <v>789</v>
      </c>
      <c r="P301" t="s">
        <v>790</v>
      </c>
      <c r="Q301" t="s">
        <v>796</v>
      </c>
      <c r="R301" t="s">
        <v>643</v>
      </c>
      <c r="S301" t="s">
        <v>643</v>
      </c>
      <c r="T301" t="s">
        <v>643</v>
      </c>
      <c r="U301" t="s">
        <v>1861</v>
      </c>
    </row>
    <row r="302" spans="1:21" ht="14.25" x14ac:dyDescent="0.2">
      <c r="A302" t="s">
        <v>1464</v>
      </c>
      <c r="B302" t="s">
        <v>1465</v>
      </c>
      <c r="C302" t="s">
        <v>643</v>
      </c>
      <c r="D302" t="s">
        <v>454</v>
      </c>
      <c r="E302" t="s">
        <v>1087</v>
      </c>
      <c r="F302" t="s">
        <v>2566</v>
      </c>
      <c r="G302" t="s">
        <v>16</v>
      </c>
      <c r="H302" t="s">
        <v>1869</v>
      </c>
      <c r="I302" t="s">
        <v>789</v>
      </c>
      <c r="J302" t="s">
        <v>2567</v>
      </c>
      <c r="K302" t="s">
        <v>790</v>
      </c>
      <c r="L302" t="s">
        <v>2568</v>
      </c>
      <c r="M302" t="s">
        <v>1748</v>
      </c>
      <c r="N302" t="s">
        <v>639</v>
      </c>
      <c r="O302" t="s">
        <v>789</v>
      </c>
      <c r="P302" t="s">
        <v>790</v>
      </c>
      <c r="Q302" t="s">
        <v>796</v>
      </c>
      <c r="R302" t="s">
        <v>721</v>
      </c>
      <c r="S302" t="s">
        <v>776</v>
      </c>
      <c r="T302" t="s">
        <v>676</v>
      </c>
      <c r="U302" t="s">
        <v>1869</v>
      </c>
    </row>
    <row r="303" spans="1:21" ht="14.25" x14ac:dyDescent="0.2">
      <c r="A303" t="s">
        <v>1464</v>
      </c>
      <c r="B303" t="s">
        <v>1465</v>
      </c>
      <c r="C303" t="s">
        <v>643</v>
      </c>
      <c r="D303" t="s">
        <v>454</v>
      </c>
      <c r="E303" t="s">
        <v>1087</v>
      </c>
      <c r="F303" t="s">
        <v>2566</v>
      </c>
      <c r="G303" t="s">
        <v>16</v>
      </c>
      <c r="H303" t="s">
        <v>1869</v>
      </c>
      <c r="I303" t="s">
        <v>789</v>
      </c>
      <c r="J303" t="s">
        <v>2567</v>
      </c>
      <c r="K303" t="s">
        <v>790</v>
      </c>
      <c r="L303" t="s">
        <v>2568</v>
      </c>
      <c r="M303" t="s">
        <v>1748</v>
      </c>
      <c r="N303" t="s">
        <v>639</v>
      </c>
      <c r="O303" t="s">
        <v>789</v>
      </c>
      <c r="P303" t="s">
        <v>790</v>
      </c>
      <c r="Q303" t="s">
        <v>796</v>
      </c>
      <c r="R303" t="s">
        <v>2419</v>
      </c>
      <c r="S303" t="s">
        <v>2420</v>
      </c>
      <c r="T303" t="s">
        <v>703</v>
      </c>
      <c r="U303" t="s">
        <v>1869</v>
      </c>
    </row>
    <row r="304" spans="1:21" ht="14.25" x14ac:dyDescent="0.2">
      <c r="A304" t="s">
        <v>1464</v>
      </c>
      <c r="B304" t="s">
        <v>1465</v>
      </c>
      <c r="C304" t="s">
        <v>643</v>
      </c>
      <c r="D304" t="s">
        <v>454</v>
      </c>
      <c r="E304" t="s">
        <v>1087</v>
      </c>
      <c r="F304" t="s">
        <v>2566</v>
      </c>
      <c r="G304" t="s">
        <v>16</v>
      </c>
      <c r="H304" t="s">
        <v>1869</v>
      </c>
      <c r="I304" t="s">
        <v>789</v>
      </c>
      <c r="J304" t="s">
        <v>2567</v>
      </c>
      <c r="K304" t="s">
        <v>790</v>
      </c>
      <c r="L304" t="s">
        <v>2568</v>
      </c>
      <c r="M304" t="s">
        <v>1748</v>
      </c>
      <c r="N304" t="s">
        <v>639</v>
      </c>
      <c r="O304" t="s">
        <v>789</v>
      </c>
      <c r="P304" t="s">
        <v>790</v>
      </c>
      <c r="Q304" t="s">
        <v>796</v>
      </c>
      <c r="R304" t="s">
        <v>2569</v>
      </c>
      <c r="S304" t="s">
        <v>2570</v>
      </c>
      <c r="T304" t="s">
        <v>2380</v>
      </c>
      <c r="U304" t="s">
        <v>1869</v>
      </c>
    </row>
    <row r="305" spans="1:21" ht="14.25" x14ac:dyDescent="0.2">
      <c r="A305" t="s">
        <v>1464</v>
      </c>
      <c r="B305" t="s">
        <v>1465</v>
      </c>
      <c r="C305" t="s">
        <v>643</v>
      </c>
      <c r="D305" t="s">
        <v>645</v>
      </c>
      <c r="E305" t="s">
        <v>1088</v>
      </c>
      <c r="F305" t="s">
        <v>649</v>
      </c>
      <c r="G305" t="s">
        <v>10</v>
      </c>
      <c r="H305" t="s">
        <v>1870</v>
      </c>
      <c r="I305" t="s">
        <v>789</v>
      </c>
      <c r="J305" t="s">
        <v>2488</v>
      </c>
      <c r="K305" t="s">
        <v>790</v>
      </c>
      <c r="L305" t="s">
        <v>2489</v>
      </c>
      <c r="M305" t="s">
        <v>2480</v>
      </c>
      <c r="N305" t="s">
        <v>639</v>
      </c>
      <c r="O305" t="s">
        <v>789</v>
      </c>
      <c r="P305" t="s">
        <v>790</v>
      </c>
      <c r="Q305" t="s">
        <v>796</v>
      </c>
      <c r="R305" t="s">
        <v>2490</v>
      </c>
      <c r="S305" t="s">
        <v>2491</v>
      </c>
      <c r="T305" t="s">
        <v>2380</v>
      </c>
      <c r="U305" t="s">
        <v>1870</v>
      </c>
    </row>
    <row r="306" spans="1:21" ht="14.25" x14ac:dyDescent="0.2">
      <c r="A306" t="s">
        <v>1464</v>
      </c>
      <c r="B306" t="s">
        <v>1465</v>
      </c>
      <c r="C306" t="s">
        <v>643</v>
      </c>
      <c r="D306" t="s">
        <v>645</v>
      </c>
      <c r="E306" t="s">
        <v>1088</v>
      </c>
      <c r="F306" t="s">
        <v>649</v>
      </c>
      <c r="G306" t="s">
        <v>10</v>
      </c>
      <c r="H306" t="s">
        <v>1870</v>
      </c>
      <c r="I306" t="s">
        <v>789</v>
      </c>
      <c r="J306" t="s">
        <v>2488</v>
      </c>
      <c r="K306" t="s">
        <v>790</v>
      </c>
      <c r="L306" t="s">
        <v>2489</v>
      </c>
      <c r="M306" t="s">
        <v>2480</v>
      </c>
      <c r="N306" t="s">
        <v>639</v>
      </c>
      <c r="O306" t="s">
        <v>789</v>
      </c>
      <c r="P306" t="s">
        <v>790</v>
      </c>
      <c r="Q306" t="s">
        <v>796</v>
      </c>
      <c r="R306" t="s">
        <v>2492</v>
      </c>
      <c r="S306" t="s">
        <v>2493</v>
      </c>
      <c r="T306" t="s">
        <v>2380</v>
      </c>
      <c r="U306" t="s">
        <v>1870</v>
      </c>
    </row>
    <row r="307" spans="1:21" ht="14.25" x14ac:dyDescent="0.2">
      <c r="A307" t="s">
        <v>1604</v>
      </c>
      <c r="B307" t="s">
        <v>643</v>
      </c>
      <c r="C307" t="s">
        <v>643</v>
      </c>
      <c r="D307" t="s">
        <v>268</v>
      </c>
      <c r="E307" t="s">
        <v>1089</v>
      </c>
      <c r="F307" t="s">
        <v>649</v>
      </c>
      <c r="G307" t="s">
        <v>16</v>
      </c>
      <c r="H307" t="s">
        <v>1871</v>
      </c>
      <c r="I307" t="s">
        <v>643</v>
      </c>
      <c r="J307" t="s">
        <v>643</v>
      </c>
      <c r="K307" t="s">
        <v>703</v>
      </c>
      <c r="L307" t="s">
        <v>1872</v>
      </c>
      <c r="M307" t="s">
        <v>1873</v>
      </c>
      <c r="N307" t="s">
        <v>639</v>
      </c>
      <c r="O307" t="s">
        <v>909</v>
      </c>
      <c r="P307" t="s">
        <v>910</v>
      </c>
      <c r="Q307" t="s">
        <v>643</v>
      </c>
      <c r="R307" t="s">
        <v>911</v>
      </c>
      <c r="S307" t="s">
        <v>776</v>
      </c>
      <c r="T307" t="s">
        <v>676</v>
      </c>
      <c r="U307" t="s">
        <v>1871</v>
      </c>
    </row>
    <row r="308" spans="1:21" ht="14.25" x14ac:dyDescent="0.2">
      <c r="A308" t="s">
        <v>1604</v>
      </c>
      <c r="B308" t="s">
        <v>643</v>
      </c>
      <c r="C308" t="s">
        <v>643</v>
      </c>
      <c r="D308" t="s">
        <v>268</v>
      </c>
      <c r="E308" t="s">
        <v>1089</v>
      </c>
      <c r="F308" t="s">
        <v>649</v>
      </c>
      <c r="G308" t="s">
        <v>16</v>
      </c>
      <c r="H308" t="s">
        <v>1871</v>
      </c>
      <c r="I308" t="s">
        <v>643</v>
      </c>
      <c r="J308" t="s">
        <v>643</v>
      </c>
      <c r="K308" t="s">
        <v>703</v>
      </c>
      <c r="L308" t="s">
        <v>1872</v>
      </c>
      <c r="M308" t="s">
        <v>1873</v>
      </c>
      <c r="N308" t="s">
        <v>639</v>
      </c>
      <c r="O308" t="s">
        <v>909</v>
      </c>
      <c r="P308" t="s">
        <v>910</v>
      </c>
      <c r="Q308" t="s">
        <v>643</v>
      </c>
      <c r="R308" t="s">
        <v>2421</v>
      </c>
      <c r="S308" t="s">
        <v>2422</v>
      </c>
      <c r="T308" t="s">
        <v>703</v>
      </c>
      <c r="U308" t="s">
        <v>1871</v>
      </c>
    </row>
    <row r="309" spans="1:21" ht="14.25" x14ac:dyDescent="0.2">
      <c r="A309" t="s">
        <v>1294</v>
      </c>
      <c r="B309" t="s">
        <v>1684</v>
      </c>
      <c r="C309" t="s">
        <v>643</v>
      </c>
      <c r="D309" t="s">
        <v>287</v>
      </c>
      <c r="E309" t="s">
        <v>1090</v>
      </c>
      <c r="F309" t="s">
        <v>636</v>
      </c>
      <c r="G309" t="s">
        <v>27</v>
      </c>
      <c r="H309" t="s">
        <v>1874</v>
      </c>
      <c r="I309" t="s">
        <v>981</v>
      </c>
      <c r="J309" t="s">
        <v>1875</v>
      </c>
      <c r="K309" t="s">
        <v>846</v>
      </c>
      <c r="L309" t="s">
        <v>1876</v>
      </c>
      <c r="M309" t="s">
        <v>1877</v>
      </c>
      <c r="N309" t="s">
        <v>639</v>
      </c>
      <c r="O309" t="s">
        <v>981</v>
      </c>
      <c r="P309" t="s">
        <v>846</v>
      </c>
      <c r="Q309" t="s">
        <v>1057</v>
      </c>
      <c r="R309" t="s">
        <v>945</v>
      </c>
      <c r="S309" t="s">
        <v>1067</v>
      </c>
      <c r="T309" t="s">
        <v>703</v>
      </c>
      <c r="U309" t="s">
        <v>1874</v>
      </c>
    </row>
    <row r="310" spans="1:21" ht="14.25" x14ac:dyDescent="0.2">
      <c r="A310" t="s">
        <v>1450</v>
      </c>
      <c r="B310" t="s">
        <v>1451</v>
      </c>
      <c r="C310" t="s">
        <v>643</v>
      </c>
      <c r="D310" t="s">
        <v>124</v>
      </c>
      <c r="E310" t="s">
        <v>996</v>
      </c>
      <c r="F310" t="s">
        <v>636</v>
      </c>
      <c r="G310" t="s">
        <v>27</v>
      </c>
      <c r="H310" t="s">
        <v>1705</v>
      </c>
      <c r="I310" t="s">
        <v>698</v>
      </c>
      <c r="J310" t="s">
        <v>1706</v>
      </c>
      <c r="K310" t="s">
        <v>673</v>
      </c>
      <c r="L310" t="s">
        <v>1707</v>
      </c>
      <c r="M310" t="s">
        <v>1401</v>
      </c>
      <c r="N310" t="s">
        <v>639</v>
      </c>
      <c r="O310" t="s">
        <v>698</v>
      </c>
      <c r="P310" t="s">
        <v>673</v>
      </c>
      <c r="Q310" t="s">
        <v>778</v>
      </c>
      <c r="R310" t="s">
        <v>643</v>
      </c>
      <c r="S310" t="s">
        <v>643</v>
      </c>
      <c r="T310" t="s">
        <v>643</v>
      </c>
      <c r="U310" t="s">
        <v>1705</v>
      </c>
    </row>
    <row r="311" spans="1:21" ht="14.25" x14ac:dyDescent="0.2">
      <c r="A311" t="s">
        <v>1464</v>
      </c>
      <c r="B311" t="s">
        <v>1572</v>
      </c>
      <c r="C311" t="s">
        <v>643</v>
      </c>
      <c r="D311" t="s">
        <v>87</v>
      </c>
      <c r="E311" t="s">
        <v>1092</v>
      </c>
      <c r="F311" t="s">
        <v>649</v>
      </c>
      <c r="G311" t="s">
        <v>10</v>
      </c>
      <c r="H311" t="s">
        <v>1881</v>
      </c>
      <c r="I311" t="s">
        <v>878</v>
      </c>
      <c r="J311" t="s">
        <v>2571</v>
      </c>
      <c r="K311" t="s">
        <v>790</v>
      </c>
      <c r="L311" t="s">
        <v>2572</v>
      </c>
      <c r="M311" t="s">
        <v>1748</v>
      </c>
      <c r="N311" t="s">
        <v>639</v>
      </c>
      <c r="O311" t="s">
        <v>878</v>
      </c>
      <c r="P311" t="s">
        <v>790</v>
      </c>
      <c r="Q311" t="s">
        <v>1075</v>
      </c>
      <c r="R311" t="s">
        <v>2573</v>
      </c>
      <c r="S311" t="s">
        <v>2574</v>
      </c>
      <c r="T311" t="s">
        <v>2554</v>
      </c>
      <c r="U311" t="s">
        <v>1881</v>
      </c>
    </row>
    <row r="312" spans="1:21" ht="14.25" x14ac:dyDescent="0.2">
      <c r="A312" t="s">
        <v>1464</v>
      </c>
      <c r="B312" t="s">
        <v>1572</v>
      </c>
      <c r="C312" t="s">
        <v>643</v>
      </c>
      <c r="D312" t="s">
        <v>301</v>
      </c>
      <c r="E312" t="s">
        <v>1093</v>
      </c>
      <c r="F312" t="s">
        <v>636</v>
      </c>
      <c r="G312" t="s">
        <v>16</v>
      </c>
      <c r="H312" t="s">
        <v>1883</v>
      </c>
      <c r="I312" t="s">
        <v>878</v>
      </c>
      <c r="J312" t="s">
        <v>1884</v>
      </c>
      <c r="K312" t="s">
        <v>790</v>
      </c>
      <c r="L312" t="s">
        <v>1885</v>
      </c>
      <c r="M312" t="s">
        <v>1480</v>
      </c>
      <c r="N312" t="s">
        <v>639</v>
      </c>
      <c r="O312" t="s">
        <v>878</v>
      </c>
      <c r="P312" t="s">
        <v>790</v>
      </c>
      <c r="Q312" t="s">
        <v>1075</v>
      </c>
      <c r="R312" t="s">
        <v>643</v>
      </c>
      <c r="S312" t="s">
        <v>643</v>
      </c>
      <c r="T312" t="s">
        <v>643</v>
      </c>
      <c r="U312" t="s">
        <v>1883</v>
      </c>
    </row>
    <row r="313" spans="1:21" ht="14.25" x14ac:dyDescent="0.2">
      <c r="A313" t="s">
        <v>1464</v>
      </c>
      <c r="B313" t="s">
        <v>1572</v>
      </c>
      <c r="C313" t="s">
        <v>643</v>
      </c>
      <c r="D313" t="s">
        <v>510</v>
      </c>
      <c r="E313" t="s">
        <v>1094</v>
      </c>
      <c r="F313" t="s">
        <v>636</v>
      </c>
      <c r="G313" t="s">
        <v>16</v>
      </c>
      <c r="H313" t="s">
        <v>1886</v>
      </c>
      <c r="I313" t="s">
        <v>878</v>
      </c>
      <c r="J313" t="s">
        <v>1887</v>
      </c>
      <c r="K313" t="s">
        <v>790</v>
      </c>
      <c r="L313" t="s">
        <v>1888</v>
      </c>
      <c r="M313" t="s">
        <v>1480</v>
      </c>
      <c r="N313" t="s">
        <v>639</v>
      </c>
      <c r="O313" t="s">
        <v>878</v>
      </c>
      <c r="P313" t="s">
        <v>790</v>
      </c>
      <c r="Q313" t="s">
        <v>1075</v>
      </c>
      <c r="R313" t="s">
        <v>643</v>
      </c>
      <c r="S313" t="s">
        <v>643</v>
      </c>
      <c r="T313" t="s">
        <v>643</v>
      </c>
      <c r="U313" t="s">
        <v>1886</v>
      </c>
    </row>
    <row r="314" spans="1:21" ht="14.25" x14ac:dyDescent="0.2">
      <c r="A314" t="s">
        <v>1351</v>
      </c>
      <c r="B314" t="s">
        <v>1366</v>
      </c>
      <c r="C314" t="s">
        <v>643</v>
      </c>
      <c r="D314" t="s">
        <v>298</v>
      </c>
      <c r="E314" t="s">
        <v>1095</v>
      </c>
      <c r="F314" t="s">
        <v>636</v>
      </c>
      <c r="G314" t="s">
        <v>37</v>
      </c>
      <c r="H314" t="s">
        <v>1346</v>
      </c>
      <c r="I314" t="s">
        <v>692</v>
      </c>
      <c r="J314" t="s">
        <v>1889</v>
      </c>
      <c r="K314" t="s">
        <v>643</v>
      </c>
      <c r="L314" t="s">
        <v>643</v>
      </c>
      <c r="M314" t="s">
        <v>1347</v>
      </c>
      <c r="N314" t="s">
        <v>693</v>
      </c>
      <c r="O314" t="s">
        <v>692</v>
      </c>
      <c r="P314" t="s">
        <v>673</v>
      </c>
      <c r="Q314" t="s">
        <v>643</v>
      </c>
      <c r="R314" t="s">
        <v>643</v>
      </c>
      <c r="S314" t="s">
        <v>643</v>
      </c>
      <c r="T314" t="s">
        <v>643</v>
      </c>
      <c r="U314" t="s">
        <v>1346</v>
      </c>
    </row>
    <row r="315" spans="1:21" ht="14.25" x14ac:dyDescent="0.2">
      <c r="A315" t="s">
        <v>1351</v>
      </c>
      <c r="B315" t="s">
        <v>1366</v>
      </c>
      <c r="C315" t="s">
        <v>643</v>
      </c>
      <c r="D315" t="s">
        <v>317</v>
      </c>
      <c r="E315" t="s">
        <v>1096</v>
      </c>
      <c r="F315" t="s">
        <v>636</v>
      </c>
      <c r="G315" t="s">
        <v>37</v>
      </c>
      <c r="H315" t="s">
        <v>1346</v>
      </c>
      <c r="I315" t="s">
        <v>643</v>
      </c>
      <c r="J315" t="s">
        <v>643</v>
      </c>
      <c r="K315" t="s">
        <v>643</v>
      </c>
      <c r="L315" t="s">
        <v>643</v>
      </c>
      <c r="M315" t="s">
        <v>1347</v>
      </c>
      <c r="N315" t="s">
        <v>687</v>
      </c>
      <c r="O315" t="s">
        <v>692</v>
      </c>
      <c r="P315" t="s">
        <v>673</v>
      </c>
      <c r="Q315" t="s">
        <v>643</v>
      </c>
      <c r="R315" t="s">
        <v>643</v>
      </c>
      <c r="S315" t="s">
        <v>643</v>
      </c>
      <c r="T315" t="s">
        <v>643</v>
      </c>
      <c r="U315" t="s">
        <v>1346</v>
      </c>
    </row>
    <row r="316" spans="1:21" ht="14.25" x14ac:dyDescent="0.2">
      <c r="A316" t="s">
        <v>1464</v>
      </c>
      <c r="B316" t="s">
        <v>1572</v>
      </c>
      <c r="C316" t="s">
        <v>643</v>
      </c>
      <c r="D316" t="s">
        <v>134</v>
      </c>
      <c r="E316" t="s">
        <v>1097</v>
      </c>
      <c r="F316" t="s">
        <v>636</v>
      </c>
      <c r="G316" t="s">
        <v>37</v>
      </c>
      <c r="H316" t="s">
        <v>2575</v>
      </c>
      <c r="I316" t="s">
        <v>878</v>
      </c>
      <c r="J316" t="s">
        <v>2576</v>
      </c>
      <c r="K316" t="s">
        <v>790</v>
      </c>
      <c r="L316" t="s">
        <v>2577</v>
      </c>
      <c r="M316" t="s">
        <v>1748</v>
      </c>
      <c r="N316" t="s">
        <v>639</v>
      </c>
      <c r="O316" t="s">
        <v>878</v>
      </c>
      <c r="P316" t="s">
        <v>790</v>
      </c>
      <c r="Q316" t="s">
        <v>1075</v>
      </c>
      <c r="R316" t="s">
        <v>2578</v>
      </c>
      <c r="S316" t="s">
        <v>2579</v>
      </c>
      <c r="T316" t="s">
        <v>2554</v>
      </c>
      <c r="U316" t="s">
        <v>2575</v>
      </c>
    </row>
    <row r="317" spans="1:21" ht="14.25" x14ac:dyDescent="0.2">
      <c r="A317" t="s">
        <v>1464</v>
      </c>
      <c r="B317" t="s">
        <v>1572</v>
      </c>
      <c r="C317" t="s">
        <v>643</v>
      </c>
      <c r="D317" t="s">
        <v>177</v>
      </c>
      <c r="E317" t="s">
        <v>1099</v>
      </c>
      <c r="F317" t="s">
        <v>649</v>
      </c>
      <c r="G317" t="s">
        <v>37</v>
      </c>
      <c r="H317" t="s">
        <v>1802</v>
      </c>
      <c r="I317" t="s">
        <v>878</v>
      </c>
      <c r="J317" t="s">
        <v>2580</v>
      </c>
      <c r="K317" t="s">
        <v>790</v>
      </c>
      <c r="L317" t="s">
        <v>2581</v>
      </c>
      <c r="M317" t="s">
        <v>1748</v>
      </c>
      <c r="N317" t="s">
        <v>639</v>
      </c>
      <c r="O317" t="s">
        <v>878</v>
      </c>
      <c r="P317" t="s">
        <v>790</v>
      </c>
      <c r="Q317" t="s">
        <v>1075</v>
      </c>
      <c r="R317" t="s">
        <v>2494</v>
      </c>
      <c r="S317" t="s">
        <v>2495</v>
      </c>
      <c r="T317" t="s">
        <v>2496</v>
      </c>
      <c r="U317" t="s">
        <v>1802</v>
      </c>
    </row>
    <row r="318" spans="1:21" ht="14.25" x14ac:dyDescent="0.2">
      <c r="A318" t="s">
        <v>1464</v>
      </c>
      <c r="B318" t="s">
        <v>1572</v>
      </c>
      <c r="C318" t="s">
        <v>643</v>
      </c>
      <c r="D318" t="s">
        <v>177</v>
      </c>
      <c r="E318" t="s">
        <v>1099</v>
      </c>
      <c r="F318" t="s">
        <v>649</v>
      </c>
      <c r="G318" t="s">
        <v>37</v>
      </c>
      <c r="H318" t="s">
        <v>1802</v>
      </c>
      <c r="I318" t="s">
        <v>878</v>
      </c>
      <c r="J318" t="s">
        <v>2580</v>
      </c>
      <c r="K318" t="s">
        <v>790</v>
      </c>
      <c r="L318" t="s">
        <v>2581</v>
      </c>
      <c r="M318" t="s">
        <v>1748</v>
      </c>
      <c r="N318" t="s">
        <v>639</v>
      </c>
      <c r="O318" t="s">
        <v>878</v>
      </c>
      <c r="P318" t="s">
        <v>790</v>
      </c>
      <c r="Q318" t="s">
        <v>1075</v>
      </c>
      <c r="R318" t="s">
        <v>2582</v>
      </c>
      <c r="S318" t="s">
        <v>2583</v>
      </c>
      <c r="T318" t="s">
        <v>2554</v>
      </c>
      <c r="U318" t="s">
        <v>1802</v>
      </c>
    </row>
    <row r="319" spans="1:21" ht="14.25" x14ac:dyDescent="0.2">
      <c r="A319" t="s">
        <v>1464</v>
      </c>
      <c r="B319" t="s">
        <v>1572</v>
      </c>
      <c r="C319" t="s">
        <v>643</v>
      </c>
      <c r="D319" t="s">
        <v>209</v>
      </c>
      <c r="E319" t="s">
        <v>1100</v>
      </c>
      <c r="F319" t="s">
        <v>649</v>
      </c>
      <c r="G319" t="s">
        <v>37</v>
      </c>
      <c r="H319" t="s">
        <v>1802</v>
      </c>
      <c r="I319" t="s">
        <v>878</v>
      </c>
      <c r="J319" t="s">
        <v>2584</v>
      </c>
      <c r="K319" t="s">
        <v>790</v>
      </c>
      <c r="L319" t="s">
        <v>2585</v>
      </c>
      <c r="M319" t="s">
        <v>1748</v>
      </c>
      <c r="N319" t="s">
        <v>639</v>
      </c>
      <c r="O319" t="s">
        <v>878</v>
      </c>
      <c r="P319" t="s">
        <v>790</v>
      </c>
      <c r="Q319" t="s">
        <v>1075</v>
      </c>
      <c r="R319" t="s">
        <v>1101</v>
      </c>
      <c r="S319" t="s">
        <v>1101</v>
      </c>
      <c r="T319" t="s">
        <v>703</v>
      </c>
      <c r="U319" t="s">
        <v>1802</v>
      </c>
    </row>
    <row r="320" spans="1:21" ht="14.25" x14ac:dyDescent="0.2">
      <c r="A320" t="s">
        <v>1464</v>
      </c>
      <c r="B320" t="s">
        <v>1572</v>
      </c>
      <c r="C320" t="s">
        <v>643</v>
      </c>
      <c r="D320" t="s">
        <v>209</v>
      </c>
      <c r="E320" t="s">
        <v>1100</v>
      </c>
      <c r="F320" t="s">
        <v>649</v>
      </c>
      <c r="G320" t="s">
        <v>37</v>
      </c>
      <c r="H320" t="s">
        <v>1802</v>
      </c>
      <c r="I320" t="s">
        <v>878</v>
      </c>
      <c r="J320" t="s">
        <v>2584</v>
      </c>
      <c r="K320" t="s">
        <v>790</v>
      </c>
      <c r="L320" t="s">
        <v>2585</v>
      </c>
      <c r="M320" t="s">
        <v>1748</v>
      </c>
      <c r="N320" t="s">
        <v>639</v>
      </c>
      <c r="O320" t="s">
        <v>878</v>
      </c>
      <c r="P320" t="s">
        <v>790</v>
      </c>
      <c r="Q320" t="s">
        <v>1075</v>
      </c>
      <c r="R320" t="s">
        <v>2578</v>
      </c>
      <c r="S320" t="s">
        <v>2586</v>
      </c>
      <c r="T320" t="s">
        <v>2554</v>
      </c>
      <c r="U320" t="s">
        <v>1802</v>
      </c>
    </row>
    <row r="321" spans="1:21" ht="14.25" x14ac:dyDescent="0.2">
      <c r="A321" t="s">
        <v>1464</v>
      </c>
      <c r="B321" t="s">
        <v>1572</v>
      </c>
      <c r="C321" t="s">
        <v>643</v>
      </c>
      <c r="D321" t="s">
        <v>405</v>
      </c>
      <c r="E321" t="s">
        <v>1102</v>
      </c>
      <c r="F321" t="s">
        <v>636</v>
      </c>
      <c r="G321" t="s">
        <v>34</v>
      </c>
      <c r="H321" t="s">
        <v>1767</v>
      </c>
      <c r="I321" t="s">
        <v>878</v>
      </c>
      <c r="J321" t="s">
        <v>1890</v>
      </c>
      <c r="K321" t="s">
        <v>790</v>
      </c>
      <c r="L321" t="s">
        <v>1891</v>
      </c>
      <c r="M321" t="s">
        <v>1882</v>
      </c>
      <c r="N321" t="s">
        <v>639</v>
      </c>
      <c r="O321" t="s">
        <v>878</v>
      </c>
      <c r="P321" t="s">
        <v>790</v>
      </c>
      <c r="Q321" t="s">
        <v>1075</v>
      </c>
      <c r="R321" t="s">
        <v>1103</v>
      </c>
      <c r="S321" t="s">
        <v>1104</v>
      </c>
      <c r="T321" t="s">
        <v>703</v>
      </c>
      <c r="U321" t="s">
        <v>1767</v>
      </c>
    </row>
    <row r="322" spans="1:21" ht="14.25" x14ac:dyDescent="0.2">
      <c r="A322" t="s">
        <v>1464</v>
      </c>
      <c r="B322" t="s">
        <v>1572</v>
      </c>
      <c r="C322" t="s">
        <v>643</v>
      </c>
      <c r="D322" t="s">
        <v>304</v>
      </c>
      <c r="E322" t="s">
        <v>1105</v>
      </c>
      <c r="F322" t="s">
        <v>636</v>
      </c>
      <c r="G322" t="s">
        <v>34</v>
      </c>
      <c r="H322" t="s">
        <v>1892</v>
      </c>
      <c r="I322" t="s">
        <v>878</v>
      </c>
      <c r="J322" t="s">
        <v>1893</v>
      </c>
      <c r="K322" t="s">
        <v>790</v>
      </c>
      <c r="L322" t="s">
        <v>1894</v>
      </c>
      <c r="M322" t="s">
        <v>1882</v>
      </c>
      <c r="N322" t="s">
        <v>639</v>
      </c>
      <c r="O322" t="s">
        <v>878</v>
      </c>
      <c r="P322" t="s">
        <v>790</v>
      </c>
      <c r="Q322" t="s">
        <v>1075</v>
      </c>
      <c r="R322" t="s">
        <v>643</v>
      </c>
      <c r="S322" t="s">
        <v>643</v>
      </c>
      <c r="T322" t="s">
        <v>643</v>
      </c>
      <c r="U322" t="s">
        <v>1892</v>
      </c>
    </row>
    <row r="323" spans="1:21" ht="14.25" x14ac:dyDescent="0.2">
      <c r="A323" t="s">
        <v>1464</v>
      </c>
      <c r="B323" t="s">
        <v>1572</v>
      </c>
      <c r="C323" t="s">
        <v>643</v>
      </c>
      <c r="D323" t="s">
        <v>321</v>
      </c>
      <c r="E323" t="s">
        <v>1106</v>
      </c>
      <c r="F323" t="s">
        <v>649</v>
      </c>
      <c r="G323" t="s">
        <v>34</v>
      </c>
      <c r="H323" t="s">
        <v>1895</v>
      </c>
      <c r="I323" t="s">
        <v>878</v>
      </c>
      <c r="J323" t="s">
        <v>2587</v>
      </c>
      <c r="K323" t="s">
        <v>790</v>
      </c>
      <c r="L323" t="s">
        <v>2588</v>
      </c>
      <c r="M323" t="s">
        <v>1748</v>
      </c>
      <c r="N323" t="s">
        <v>639</v>
      </c>
      <c r="O323" t="s">
        <v>878</v>
      </c>
      <c r="P323" t="s">
        <v>790</v>
      </c>
      <c r="Q323" t="s">
        <v>1075</v>
      </c>
      <c r="R323" t="s">
        <v>652</v>
      </c>
      <c r="S323" t="s">
        <v>2578</v>
      </c>
      <c r="T323" t="s">
        <v>2554</v>
      </c>
      <c r="U323" t="s">
        <v>1895</v>
      </c>
    </row>
    <row r="324" spans="1:21" ht="14.25" x14ac:dyDescent="0.2">
      <c r="A324" t="s">
        <v>1294</v>
      </c>
      <c r="B324" t="s">
        <v>1446</v>
      </c>
      <c r="C324" t="s">
        <v>643</v>
      </c>
      <c r="D324" t="s">
        <v>343</v>
      </c>
      <c r="E324" t="s">
        <v>1107</v>
      </c>
      <c r="F324" t="s">
        <v>636</v>
      </c>
      <c r="G324" t="s">
        <v>925</v>
      </c>
      <c r="H324" t="s">
        <v>1346</v>
      </c>
      <c r="I324" t="s">
        <v>698</v>
      </c>
      <c r="J324" t="s">
        <v>1896</v>
      </c>
      <c r="K324" t="s">
        <v>673</v>
      </c>
      <c r="L324" t="s">
        <v>1897</v>
      </c>
      <c r="M324" t="s">
        <v>1347</v>
      </c>
      <c r="N324" t="s">
        <v>639</v>
      </c>
      <c r="O324" t="s">
        <v>835</v>
      </c>
      <c r="P324" t="s">
        <v>673</v>
      </c>
      <c r="Q324" t="s">
        <v>786</v>
      </c>
      <c r="R324" t="s">
        <v>1108</v>
      </c>
      <c r="S324" t="s">
        <v>1109</v>
      </c>
      <c r="T324" t="s">
        <v>676</v>
      </c>
      <c r="U324" t="s">
        <v>1346</v>
      </c>
    </row>
    <row r="325" spans="1:21" ht="14.25" x14ac:dyDescent="0.2">
      <c r="A325" t="s">
        <v>1294</v>
      </c>
      <c r="B325" t="s">
        <v>1446</v>
      </c>
      <c r="C325" t="s">
        <v>643</v>
      </c>
      <c r="D325" t="s">
        <v>343</v>
      </c>
      <c r="E325" t="s">
        <v>1107</v>
      </c>
      <c r="F325" t="s">
        <v>636</v>
      </c>
      <c r="G325" t="s">
        <v>925</v>
      </c>
      <c r="H325" t="s">
        <v>1346</v>
      </c>
      <c r="I325" t="s">
        <v>698</v>
      </c>
      <c r="J325" t="s">
        <v>1896</v>
      </c>
      <c r="K325" t="s">
        <v>673</v>
      </c>
      <c r="L325" t="s">
        <v>1897</v>
      </c>
      <c r="M325" t="s">
        <v>1347</v>
      </c>
      <c r="N325" t="s">
        <v>639</v>
      </c>
      <c r="O325" t="s">
        <v>835</v>
      </c>
      <c r="P325" t="s">
        <v>673</v>
      </c>
      <c r="Q325" t="s">
        <v>786</v>
      </c>
      <c r="R325" t="s">
        <v>721</v>
      </c>
      <c r="S325" t="s">
        <v>2423</v>
      </c>
      <c r="T325" t="s">
        <v>676</v>
      </c>
      <c r="U325" t="s">
        <v>1346</v>
      </c>
    </row>
    <row r="326" spans="1:21" ht="14.25" x14ac:dyDescent="0.2">
      <c r="A326" t="s">
        <v>1294</v>
      </c>
      <c r="B326" t="s">
        <v>1446</v>
      </c>
      <c r="C326" t="s">
        <v>643</v>
      </c>
      <c r="D326" t="s">
        <v>343</v>
      </c>
      <c r="E326" t="s">
        <v>1107</v>
      </c>
      <c r="F326" t="s">
        <v>636</v>
      </c>
      <c r="G326" t="s">
        <v>925</v>
      </c>
      <c r="H326" t="s">
        <v>1346</v>
      </c>
      <c r="I326" t="s">
        <v>698</v>
      </c>
      <c r="J326" t="s">
        <v>1896</v>
      </c>
      <c r="K326" t="s">
        <v>673</v>
      </c>
      <c r="L326" t="s">
        <v>1897</v>
      </c>
      <c r="M326" t="s">
        <v>1347</v>
      </c>
      <c r="N326" t="s">
        <v>639</v>
      </c>
      <c r="O326" t="s">
        <v>835</v>
      </c>
      <c r="P326" t="s">
        <v>673</v>
      </c>
      <c r="Q326" t="s">
        <v>786</v>
      </c>
      <c r="R326" t="s">
        <v>782</v>
      </c>
      <c r="S326" t="s">
        <v>783</v>
      </c>
      <c r="T326" t="s">
        <v>676</v>
      </c>
      <c r="U326" t="s">
        <v>1346</v>
      </c>
    </row>
    <row r="327" spans="1:21" ht="14.25" x14ac:dyDescent="0.2">
      <c r="A327" t="s">
        <v>1464</v>
      </c>
      <c r="B327" t="s">
        <v>1572</v>
      </c>
      <c r="C327" t="s">
        <v>643</v>
      </c>
      <c r="D327" t="s">
        <v>2589</v>
      </c>
      <c r="E327" t="s">
        <v>1110</v>
      </c>
      <c r="F327" t="s">
        <v>709</v>
      </c>
      <c r="G327" t="s">
        <v>34</v>
      </c>
      <c r="H327" t="s">
        <v>1346</v>
      </c>
      <c r="I327" t="s">
        <v>878</v>
      </c>
      <c r="J327" t="s">
        <v>2590</v>
      </c>
      <c r="K327" t="s">
        <v>790</v>
      </c>
      <c r="L327" t="s">
        <v>2591</v>
      </c>
      <c r="M327" t="s">
        <v>1748</v>
      </c>
      <c r="N327" t="s">
        <v>639</v>
      </c>
      <c r="O327" t="s">
        <v>878</v>
      </c>
      <c r="P327" t="s">
        <v>790</v>
      </c>
      <c r="Q327" t="s">
        <v>1075</v>
      </c>
      <c r="R327" t="s">
        <v>652</v>
      </c>
      <c r="S327" t="s">
        <v>2592</v>
      </c>
      <c r="T327" t="s">
        <v>2554</v>
      </c>
      <c r="U327" t="s">
        <v>1346</v>
      </c>
    </row>
    <row r="328" spans="1:21" ht="14.25" x14ac:dyDescent="0.2">
      <c r="A328" t="s">
        <v>1464</v>
      </c>
      <c r="B328" t="s">
        <v>1572</v>
      </c>
      <c r="C328" t="s">
        <v>643</v>
      </c>
      <c r="D328" t="s">
        <v>2589</v>
      </c>
      <c r="E328" t="s">
        <v>1110</v>
      </c>
      <c r="F328" t="s">
        <v>709</v>
      </c>
      <c r="G328" t="s">
        <v>34</v>
      </c>
      <c r="H328" t="s">
        <v>1346</v>
      </c>
      <c r="I328" t="s">
        <v>878</v>
      </c>
      <c r="J328" t="s">
        <v>2590</v>
      </c>
      <c r="K328" t="s">
        <v>790</v>
      </c>
      <c r="L328" t="s">
        <v>2591</v>
      </c>
      <c r="M328" t="s">
        <v>1748</v>
      </c>
      <c r="N328" t="s">
        <v>639</v>
      </c>
      <c r="O328" t="s">
        <v>878</v>
      </c>
      <c r="P328" t="s">
        <v>790</v>
      </c>
      <c r="Q328" t="s">
        <v>1075</v>
      </c>
      <c r="R328" t="s">
        <v>652</v>
      </c>
      <c r="S328" t="s">
        <v>2578</v>
      </c>
      <c r="T328" t="s">
        <v>2554</v>
      </c>
      <c r="U328" t="s">
        <v>1346</v>
      </c>
    </row>
    <row r="329" spans="1:21" ht="14.25" x14ac:dyDescent="0.2">
      <c r="A329" t="s">
        <v>1351</v>
      </c>
      <c r="B329" t="s">
        <v>1371</v>
      </c>
      <c r="C329" t="s">
        <v>643</v>
      </c>
      <c r="D329" t="s">
        <v>348</v>
      </c>
      <c r="E329" t="s">
        <v>958</v>
      </c>
      <c r="F329" t="s">
        <v>636</v>
      </c>
      <c r="G329" t="s">
        <v>16</v>
      </c>
      <c r="H329" t="s">
        <v>1346</v>
      </c>
      <c r="I329" t="s">
        <v>727</v>
      </c>
      <c r="J329" t="s">
        <v>1659</v>
      </c>
      <c r="K329" t="s">
        <v>673</v>
      </c>
      <c r="L329" t="s">
        <v>1660</v>
      </c>
      <c r="M329" t="s">
        <v>1386</v>
      </c>
      <c r="N329" t="s">
        <v>639</v>
      </c>
      <c r="O329" t="s">
        <v>720</v>
      </c>
      <c r="P329" t="s">
        <v>673</v>
      </c>
      <c r="Q329" t="s">
        <v>713</v>
      </c>
      <c r="R329" t="s">
        <v>959</v>
      </c>
      <c r="S329" t="s">
        <v>960</v>
      </c>
      <c r="T329" t="s">
        <v>676</v>
      </c>
      <c r="U329" t="s">
        <v>1346</v>
      </c>
    </row>
    <row r="330" spans="1:21" ht="14.25" x14ac:dyDescent="0.2">
      <c r="A330" t="s">
        <v>1351</v>
      </c>
      <c r="B330" t="s">
        <v>1371</v>
      </c>
      <c r="C330" t="s">
        <v>643</v>
      </c>
      <c r="D330" t="s">
        <v>546</v>
      </c>
      <c r="E330" t="s">
        <v>976</v>
      </c>
      <c r="F330" t="s">
        <v>636</v>
      </c>
      <c r="G330" t="s">
        <v>16</v>
      </c>
      <c r="H330" t="s">
        <v>1346</v>
      </c>
      <c r="I330" t="s">
        <v>727</v>
      </c>
      <c r="J330" t="s">
        <v>1680</v>
      </c>
      <c r="K330" t="s">
        <v>673</v>
      </c>
      <c r="L330" t="s">
        <v>1681</v>
      </c>
      <c r="M330" t="s">
        <v>1347</v>
      </c>
      <c r="N330" t="s">
        <v>693</v>
      </c>
      <c r="O330" t="s">
        <v>731</v>
      </c>
      <c r="P330" t="s">
        <v>673</v>
      </c>
      <c r="Q330" t="s">
        <v>713</v>
      </c>
      <c r="R330" t="s">
        <v>959</v>
      </c>
      <c r="S330" t="s">
        <v>960</v>
      </c>
      <c r="T330" t="s">
        <v>676</v>
      </c>
      <c r="U330" t="s">
        <v>1346</v>
      </c>
    </row>
    <row r="331" spans="1:21" ht="14.25" x14ac:dyDescent="0.2">
      <c r="A331" t="s">
        <v>1351</v>
      </c>
      <c r="B331" t="s">
        <v>1371</v>
      </c>
      <c r="C331" t="s">
        <v>643</v>
      </c>
      <c r="D331" t="s">
        <v>547</v>
      </c>
      <c r="E331" t="s">
        <v>977</v>
      </c>
      <c r="F331" t="s">
        <v>636</v>
      </c>
      <c r="G331" t="s">
        <v>16</v>
      </c>
      <c r="H331" t="s">
        <v>1346</v>
      </c>
      <c r="I331" t="s">
        <v>727</v>
      </c>
      <c r="J331" t="s">
        <v>1682</v>
      </c>
      <c r="K331" t="s">
        <v>673</v>
      </c>
      <c r="L331" t="s">
        <v>1683</v>
      </c>
      <c r="M331" t="s">
        <v>1347</v>
      </c>
      <c r="N331" t="s">
        <v>693</v>
      </c>
      <c r="O331" t="s">
        <v>755</v>
      </c>
      <c r="P331" t="s">
        <v>673</v>
      </c>
      <c r="Q331" t="s">
        <v>713</v>
      </c>
      <c r="R331" t="s">
        <v>959</v>
      </c>
      <c r="S331" t="s">
        <v>960</v>
      </c>
      <c r="T331" t="s">
        <v>676</v>
      </c>
      <c r="U331" t="s">
        <v>1346</v>
      </c>
    </row>
    <row r="332" spans="1:21" ht="14.25" x14ac:dyDescent="0.2">
      <c r="A332" t="s">
        <v>1351</v>
      </c>
      <c r="B332" t="s">
        <v>1371</v>
      </c>
      <c r="C332" t="s">
        <v>643</v>
      </c>
      <c r="D332" t="s">
        <v>549</v>
      </c>
      <c r="E332" t="s">
        <v>1040</v>
      </c>
      <c r="F332" t="s">
        <v>636</v>
      </c>
      <c r="G332" t="s">
        <v>16</v>
      </c>
      <c r="H332" t="s">
        <v>1346</v>
      </c>
      <c r="I332" t="s">
        <v>727</v>
      </c>
      <c r="J332" t="s">
        <v>1770</v>
      </c>
      <c r="K332" t="s">
        <v>673</v>
      </c>
      <c r="L332" t="s">
        <v>1771</v>
      </c>
      <c r="M332" t="s">
        <v>1386</v>
      </c>
      <c r="N332" t="s">
        <v>639</v>
      </c>
      <c r="O332" t="s">
        <v>720</v>
      </c>
      <c r="P332" t="s">
        <v>673</v>
      </c>
      <c r="Q332" t="s">
        <v>713</v>
      </c>
      <c r="R332" t="s">
        <v>959</v>
      </c>
      <c r="S332" t="s">
        <v>960</v>
      </c>
      <c r="T332" t="s">
        <v>676</v>
      </c>
      <c r="U332" t="s">
        <v>1346</v>
      </c>
    </row>
    <row r="333" spans="1:21" ht="14.25" x14ac:dyDescent="0.2">
      <c r="A333" t="s">
        <v>1464</v>
      </c>
      <c r="B333" t="s">
        <v>1481</v>
      </c>
      <c r="C333" t="s">
        <v>643</v>
      </c>
      <c r="D333" t="s">
        <v>87</v>
      </c>
      <c r="E333" t="s">
        <v>1115</v>
      </c>
      <c r="F333" t="s">
        <v>636</v>
      </c>
      <c r="G333" t="s">
        <v>10</v>
      </c>
      <c r="H333" t="s">
        <v>1910</v>
      </c>
      <c r="I333" t="s">
        <v>643</v>
      </c>
      <c r="J333" t="s">
        <v>643</v>
      </c>
      <c r="K333" t="s">
        <v>643</v>
      </c>
      <c r="L333" t="s">
        <v>643</v>
      </c>
      <c r="M333" t="s">
        <v>1911</v>
      </c>
      <c r="N333" t="s">
        <v>687</v>
      </c>
      <c r="O333" t="s">
        <v>855</v>
      </c>
      <c r="P333" t="s">
        <v>790</v>
      </c>
      <c r="Q333" t="s">
        <v>643</v>
      </c>
      <c r="R333" t="s">
        <v>643</v>
      </c>
      <c r="S333" t="s">
        <v>643</v>
      </c>
      <c r="T333" t="s">
        <v>643</v>
      </c>
      <c r="U333" t="s">
        <v>1910</v>
      </c>
    </row>
    <row r="334" spans="1:21" ht="14.25" x14ac:dyDescent="0.2">
      <c r="A334" t="s">
        <v>1351</v>
      </c>
      <c r="B334" t="s">
        <v>1371</v>
      </c>
      <c r="C334" t="s">
        <v>643</v>
      </c>
      <c r="D334" t="s">
        <v>554</v>
      </c>
      <c r="E334" t="s">
        <v>1236</v>
      </c>
      <c r="F334" t="s">
        <v>636</v>
      </c>
      <c r="G334" t="s">
        <v>34</v>
      </c>
      <c r="H334" t="s">
        <v>2011</v>
      </c>
      <c r="I334" t="s">
        <v>692</v>
      </c>
      <c r="J334" t="s">
        <v>2105</v>
      </c>
      <c r="K334" t="s">
        <v>673</v>
      </c>
      <c r="L334" t="s">
        <v>2106</v>
      </c>
      <c r="M334" t="s">
        <v>1386</v>
      </c>
      <c r="N334" t="s">
        <v>639</v>
      </c>
      <c r="O334" t="s">
        <v>724</v>
      </c>
      <c r="P334" t="s">
        <v>673</v>
      </c>
      <c r="Q334" t="s">
        <v>713</v>
      </c>
      <c r="R334" t="s">
        <v>643</v>
      </c>
      <c r="S334" t="s">
        <v>643</v>
      </c>
      <c r="T334" t="s">
        <v>643</v>
      </c>
      <c r="U334" t="s">
        <v>2011</v>
      </c>
    </row>
    <row r="335" spans="1:21" ht="14.25" x14ac:dyDescent="0.2">
      <c r="A335" t="s">
        <v>1351</v>
      </c>
      <c r="B335" t="s">
        <v>1371</v>
      </c>
      <c r="C335" t="s">
        <v>643</v>
      </c>
      <c r="D335" t="s">
        <v>543</v>
      </c>
      <c r="E335" t="s">
        <v>1182</v>
      </c>
      <c r="F335" t="s">
        <v>636</v>
      </c>
      <c r="G335" t="s">
        <v>34</v>
      </c>
      <c r="H335" t="s">
        <v>2011</v>
      </c>
      <c r="I335" t="s">
        <v>692</v>
      </c>
      <c r="J335" t="s">
        <v>2012</v>
      </c>
      <c r="K335" t="s">
        <v>673</v>
      </c>
      <c r="L335" t="s">
        <v>2013</v>
      </c>
      <c r="M335" t="s">
        <v>1401</v>
      </c>
      <c r="N335" t="s">
        <v>639</v>
      </c>
      <c r="O335" t="s">
        <v>712</v>
      </c>
      <c r="P335" t="s">
        <v>673</v>
      </c>
      <c r="Q335" t="s">
        <v>713</v>
      </c>
      <c r="R335" t="s">
        <v>721</v>
      </c>
      <c r="S335" t="s">
        <v>1183</v>
      </c>
      <c r="T335" t="s">
        <v>676</v>
      </c>
      <c r="U335" t="s">
        <v>2011</v>
      </c>
    </row>
    <row r="336" spans="1:21" ht="14.25" x14ac:dyDescent="0.2">
      <c r="A336" t="s">
        <v>1450</v>
      </c>
      <c r="B336" t="s">
        <v>1918</v>
      </c>
      <c r="C336" t="s">
        <v>643</v>
      </c>
      <c r="D336" t="s">
        <v>465</v>
      </c>
      <c r="E336" t="s">
        <v>1120</v>
      </c>
      <c r="F336" t="s">
        <v>649</v>
      </c>
      <c r="G336" t="s">
        <v>16</v>
      </c>
      <c r="H336" t="s">
        <v>1919</v>
      </c>
      <c r="I336" t="s">
        <v>839</v>
      </c>
      <c r="J336" t="s">
        <v>1920</v>
      </c>
      <c r="K336" t="s">
        <v>673</v>
      </c>
      <c r="L336" t="s">
        <v>2347</v>
      </c>
      <c r="M336" t="s">
        <v>2346</v>
      </c>
      <c r="N336" t="s">
        <v>639</v>
      </c>
      <c r="O336" t="s">
        <v>839</v>
      </c>
      <c r="P336" t="s">
        <v>673</v>
      </c>
      <c r="Q336" t="s">
        <v>840</v>
      </c>
      <c r="R336" t="s">
        <v>1121</v>
      </c>
      <c r="S336" t="s">
        <v>1122</v>
      </c>
      <c r="T336" t="s">
        <v>703</v>
      </c>
      <c r="U336" t="s">
        <v>1919</v>
      </c>
    </row>
    <row r="337" spans="1:21" ht="14.25" x14ac:dyDescent="0.2">
      <c r="A337" t="s">
        <v>1450</v>
      </c>
      <c r="B337" t="s">
        <v>1918</v>
      </c>
      <c r="C337" t="s">
        <v>643</v>
      </c>
      <c r="D337" t="s">
        <v>472</v>
      </c>
      <c r="E337" t="s">
        <v>1123</v>
      </c>
      <c r="F337" t="s">
        <v>636</v>
      </c>
      <c r="G337" t="s">
        <v>16</v>
      </c>
      <c r="H337" t="s">
        <v>1921</v>
      </c>
      <c r="I337" t="s">
        <v>643</v>
      </c>
      <c r="J337" t="s">
        <v>643</v>
      </c>
      <c r="K337" t="s">
        <v>703</v>
      </c>
      <c r="L337" t="s">
        <v>1922</v>
      </c>
      <c r="M337" t="s">
        <v>1923</v>
      </c>
      <c r="N337" t="s">
        <v>639</v>
      </c>
      <c r="O337" t="s">
        <v>839</v>
      </c>
      <c r="P337" t="s">
        <v>673</v>
      </c>
      <c r="Q337" t="s">
        <v>643</v>
      </c>
      <c r="R337" t="s">
        <v>939</v>
      </c>
      <c r="S337" t="s">
        <v>2192</v>
      </c>
      <c r="T337" t="s">
        <v>703</v>
      </c>
      <c r="U337" t="s">
        <v>1921</v>
      </c>
    </row>
    <row r="338" spans="1:21" ht="14.25" x14ac:dyDescent="0.2">
      <c r="A338" t="s">
        <v>1450</v>
      </c>
      <c r="B338" t="s">
        <v>1451</v>
      </c>
      <c r="C338" t="s">
        <v>643</v>
      </c>
      <c r="D338" t="s">
        <v>231</v>
      </c>
      <c r="E338" t="s">
        <v>989</v>
      </c>
      <c r="F338" t="s">
        <v>636</v>
      </c>
      <c r="G338" t="s">
        <v>27</v>
      </c>
      <c r="H338" t="s">
        <v>1698</v>
      </c>
      <c r="I338" t="s">
        <v>698</v>
      </c>
      <c r="J338" t="s">
        <v>1699</v>
      </c>
      <c r="K338" t="s">
        <v>673</v>
      </c>
      <c r="L338" t="s">
        <v>1700</v>
      </c>
      <c r="M338" t="s">
        <v>1401</v>
      </c>
      <c r="N338" t="s">
        <v>639</v>
      </c>
      <c r="O338" t="s">
        <v>698</v>
      </c>
      <c r="P338" t="s">
        <v>673</v>
      </c>
      <c r="Q338" t="s">
        <v>778</v>
      </c>
      <c r="R338" t="s">
        <v>643</v>
      </c>
      <c r="S338" t="s">
        <v>643</v>
      </c>
      <c r="T338" t="s">
        <v>643</v>
      </c>
      <c r="U338" t="s">
        <v>1698</v>
      </c>
    </row>
    <row r="339" spans="1:21" ht="14.25" x14ac:dyDescent="0.2">
      <c r="A339" t="s">
        <v>1320</v>
      </c>
      <c r="B339" t="s">
        <v>1321</v>
      </c>
      <c r="C339" t="s">
        <v>643</v>
      </c>
      <c r="D339" t="s">
        <v>468</v>
      </c>
      <c r="E339" t="s">
        <v>686</v>
      </c>
      <c r="F339" t="s">
        <v>636</v>
      </c>
      <c r="G339" t="s">
        <v>16</v>
      </c>
      <c r="H339" t="s">
        <v>1346</v>
      </c>
      <c r="I339" t="s">
        <v>727</v>
      </c>
      <c r="J339" t="s">
        <v>2593</v>
      </c>
      <c r="K339" t="s">
        <v>673</v>
      </c>
      <c r="L339" t="s">
        <v>2594</v>
      </c>
      <c r="M339" t="s">
        <v>2595</v>
      </c>
      <c r="N339" t="s">
        <v>639</v>
      </c>
      <c r="O339" t="s">
        <v>688</v>
      </c>
      <c r="P339" t="s">
        <v>673</v>
      </c>
      <c r="Q339" t="s">
        <v>683</v>
      </c>
      <c r="R339" t="s">
        <v>643</v>
      </c>
      <c r="S339" t="s">
        <v>643</v>
      </c>
      <c r="T339" t="s">
        <v>643</v>
      </c>
      <c r="U339" t="s">
        <v>1346</v>
      </c>
    </row>
    <row r="340" spans="1:21" ht="14.25" x14ac:dyDescent="0.2">
      <c r="A340" t="s">
        <v>1450</v>
      </c>
      <c r="B340" t="s">
        <v>1451</v>
      </c>
      <c r="C340" t="s">
        <v>643</v>
      </c>
      <c r="D340" t="s">
        <v>838</v>
      </c>
      <c r="E340" t="s">
        <v>837</v>
      </c>
      <c r="F340" t="s">
        <v>709</v>
      </c>
      <c r="G340" t="s">
        <v>16</v>
      </c>
      <c r="H340" t="s">
        <v>1516</v>
      </c>
      <c r="I340" t="s">
        <v>839</v>
      </c>
      <c r="J340" t="s">
        <v>1517</v>
      </c>
      <c r="K340" t="s">
        <v>673</v>
      </c>
      <c r="L340" t="s">
        <v>1518</v>
      </c>
      <c r="M340" t="s">
        <v>1386</v>
      </c>
      <c r="N340" t="s">
        <v>639</v>
      </c>
      <c r="O340" t="s">
        <v>839</v>
      </c>
      <c r="P340" t="s">
        <v>673</v>
      </c>
      <c r="Q340" t="s">
        <v>840</v>
      </c>
      <c r="R340" t="s">
        <v>721</v>
      </c>
      <c r="S340" t="s">
        <v>841</v>
      </c>
      <c r="T340" t="s">
        <v>676</v>
      </c>
      <c r="U340" t="s">
        <v>1516</v>
      </c>
    </row>
    <row r="341" spans="1:21" ht="14.25" x14ac:dyDescent="0.2">
      <c r="A341" t="s">
        <v>1464</v>
      </c>
      <c r="B341" t="s">
        <v>1481</v>
      </c>
      <c r="C341" t="s">
        <v>643</v>
      </c>
      <c r="D341" t="s">
        <v>504</v>
      </c>
      <c r="E341" t="s">
        <v>1130</v>
      </c>
      <c r="F341" t="s">
        <v>636</v>
      </c>
      <c r="G341" t="s">
        <v>16</v>
      </c>
      <c r="H341" t="s">
        <v>1930</v>
      </c>
      <c r="I341" t="s">
        <v>727</v>
      </c>
      <c r="J341" t="s">
        <v>1931</v>
      </c>
      <c r="K341" t="s">
        <v>790</v>
      </c>
      <c r="L341" t="s">
        <v>1932</v>
      </c>
      <c r="M341" t="s">
        <v>1933</v>
      </c>
      <c r="N341" t="s">
        <v>639</v>
      </c>
      <c r="O341" t="s">
        <v>1131</v>
      </c>
      <c r="P341" t="s">
        <v>790</v>
      </c>
      <c r="Q341" t="s">
        <v>857</v>
      </c>
      <c r="R341" t="s">
        <v>721</v>
      </c>
      <c r="S341" t="s">
        <v>760</v>
      </c>
      <c r="T341" t="s">
        <v>676</v>
      </c>
      <c r="U341" t="s">
        <v>1930</v>
      </c>
    </row>
    <row r="342" spans="1:21" ht="14.25" x14ac:dyDescent="0.2">
      <c r="A342" t="s">
        <v>1464</v>
      </c>
      <c r="B342" t="s">
        <v>1481</v>
      </c>
      <c r="C342" t="s">
        <v>643</v>
      </c>
      <c r="D342" t="s">
        <v>504</v>
      </c>
      <c r="E342" t="s">
        <v>1130</v>
      </c>
      <c r="F342" t="s">
        <v>636</v>
      </c>
      <c r="G342" t="s">
        <v>16</v>
      </c>
      <c r="H342" t="s">
        <v>1930</v>
      </c>
      <c r="I342" t="s">
        <v>727</v>
      </c>
      <c r="J342" t="s">
        <v>1931</v>
      </c>
      <c r="K342" t="s">
        <v>790</v>
      </c>
      <c r="L342" t="s">
        <v>1932</v>
      </c>
      <c r="M342" t="s">
        <v>1933</v>
      </c>
      <c r="N342" t="s">
        <v>639</v>
      </c>
      <c r="O342" t="s">
        <v>1131</v>
      </c>
      <c r="P342" t="s">
        <v>790</v>
      </c>
      <c r="Q342" t="s">
        <v>857</v>
      </c>
      <c r="R342" t="s">
        <v>721</v>
      </c>
      <c r="S342" t="s">
        <v>1153</v>
      </c>
      <c r="T342" t="s">
        <v>676</v>
      </c>
      <c r="U342" t="s">
        <v>1930</v>
      </c>
    </row>
    <row r="343" spans="1:21" ht="14.25" x14ac:dyDescent="0.2">
      <c r="A343" t="s">
        <v>1464</v>
      </c>
      <c r="B343" t="s">
        <v>1481</v>
      </c>
      <c r="C343" t="s">
        <v>643</v>
      </c>
      <c r="D343" t="s">
        <v>506</v>
      </c>
      <c r="E343" t="s">
        <v>1132</v>
      </c>
      <c r="F343" t="s">
        <v>636</v>
      </c>
      <c r="G343" t="s">
        <v>16</v>
      </c>
      <c r="H343" t="s">
        <v>1930</v>
      </c>
      <c r="I343" t="s">
        <v>727</v>
      </c>
      <c r="J343" t="s">
        <v>1934</v>
      </c>
      <c r="K343" t="s">
        <v>790</v>
      </c>
      <c r="L343" t="s">
        <v>1935</v>
      </c>
      <c r="M343" t="s">
        <v>1933</v>
      </c>
      <c r="N343" t="s">
        <v>639</v>
      </c>
      <c r="O343" t="s">
        <v>1133</v>
      </c>
      <c r="P343" t="s">
        <v>790</v>
      </c>
      <c r="Q343" t="s">
        <v>857</v>
      </c>
      <c r="R343" t="s">
        <v>721</v>
      </c>
      <c r="S343" t="s">
        <v>760</v>
      </c>
      <c r="T343" t="s">
        <v>676</v>
      </c>
      <c r="U343" t="s">
        <v>1930</v>
      </c>
    </row>
    <row r="344" spans="1:21" ht="14.25" x14ac:dyDescent="0.2">
      <c r="A344" t="s">
        <v>1464</v>
      </c>
      <c r="B344" t="s">
        <v>1481</v>
      </c>
      <c r="C344" t="s">
        <v>643</v>
      </c>
      <c r="D344" t="s">
        <v>506</v>
      </c>
      <c r="E344" t="s">
        <v>1132</v>
      </c>
      <c r="F344" t="s">
        <v>636</v>
      </c>
      <c r="G344" t="s">
        <v>16</v>
      </c>
      <c r="H344" t="s">
        <v>1930</v>
      </c>
      <c r="I344" t="s">
        <v>727</v>
      </c>
      <c r="J344" t="s">
        <v>1934</v>
      </c>
      <c r="K344" t="s">
        <v>790</v>
      </c>
      <c r="L344" t="s">
        <v>1935</v>
      </c>
      <c r="M344" t="s">
        <v>1933</v>
      </c>
      <c r="N344" t="s">
        <v>639</v>
      </c>
      <c r="O344" t="s">
        <v>1133</v>
      </c>
      <c r="P344" t="s">
        <v>790</v>
      </c>
      <c r="Q344" t="s">
        <v>857</v>
      </c>
      <c r="R344" t="s">
        <v>721</v>
      </c>
      <c r="S344" t="s">
        <v>1153</v>
      </c>
      <c r="T344" t="s">
        <v>676</v>
      </c>
      <c r="U344" t="s">
        <v>1930</v>
      </c>
    </row>
    <row r="345" spans="1:21" ht="14.25" x14ac:dyDescent="0.2">
      <c r="A345" t="s">
        <v>1464</v>
      </c>
      <c r="B345" t="s">
        <v>1584</v>
      </c>
      <c r="C345" t="s">
        <v>643</v>
      </c>
      <c r="D345" t="s">
        <v>473</v>
      </c>
      <c r="E345" t="s">
        <v>1134</v>
      </c>
      <c r="F345" t="s">
        <v>636</v>
      </c>
      <c r="G345" t="s">
        <v>16</v>
      </c>
      <c r="H345" t="s">
        <v>1930</v>
      </c>
      <c r="I345" t="s">
        <v>727</v>
      </c>
      <c r="J345" t="s">
        <v>1936</v>
      </c>
      <c r="K345" t="s">
        <v>790</v>
      </c>
      <c r="L345" t="s">
        <v>1937</v>
      </c>
      <c r="M345" t="s">
        <v>1933</v>
      </c>
      <c r="N345" t="s">
        <v>639</v>
      </c>
      <c r="O345" t="s">
        <v>727</v>
      </c>
      <c r="P345" t="s">
        <v>790</v>
      </c>
      <c r="Q345" t="s">
        <v>1135</v>
      </c>
      <c r="R345" t="s">
        <v>911</v>
      </c>
      <c r="S345" t="s">
        <v>1136</v>
      </c>
      <c r="T345" t="s">
        <v>676</v>
      </c>
      <c r="U345" t="s">
        <v>1930</v>
      </c>
    </row>
    <row r="346" spans="1:21" ht="14.25" x14ac:dyDescent="0.2">
      <c r="A346" t="s">
        <v>1464</v>
      </c>
      <c r="B346" t="s">
        <v>1584</v>
      </c>
      <c r="C346" t="s">
        <v>643</v>
      </c>
      <c r="D346" t="s">
        <v>473</v>
      </c>
      <c r="E346" t="s">
        <v>1134</v>
      </c>
      <c r="F346" t="s">
        <v>636</v>
      </c>
      <c r="G346" t="s">
        <v>16</v>
      </c>
      <c r="H346" t="s">
        <v>1930</v>
      </c>
      <c r="I346" t="s">
        <v>727</v>
      </c>
      <c r="J346" t="s">
        <v>1936</v>
      </c>
      <c r="K346" t="s">
        <v>790</v>
      </c>
      <c r="L346" t="s">
        <v>1937</v>
      </c>
      <c r="M346" t="s">
        <v>1933</v>
      </c>
      <c r="N346" t="s">
        <v>639</v>
      </c>
      <c r="O346" t="s">
        <v>727</v>
      </c>
      <c r="P346" t="s">
        <v>790</v>
      </c>
      <c r="Q346" t="s">
        <v>1135</v>
      </c>
      <c r="R346" t="s">
        <v>959</v>
      </c>
      <c r="S346" t="s">
        <v>2424</v>
      </c>
      <c r="T346" t="s">
        <v>676</v>
      </c>
      <c r="U346" t="s">
        <v>1930</v>
      </c>
    </row>
    <row r="347" spans="1:21" ht="14.25" x14ac:dyDescent="0.2">
      <c r="A347" t="s">
        <v>1464</v>
      </c>
      <c r="B347" t="s">
        <v>1584</v>
      </c>
      <c r="C347" t="s">
        <v>643</v>
      </c>
      <c r="D347" t="s">
        <v>473</v>
      </c>
      <c r="E347" t="s">
        <v>1134</v>
      </c>
      <c r="F347" t="s">
        <v>636</v>
      </c>
      <c r="G347" t="s">
        <v>16</v>
      </c>
      <c r="H347" t="s">
        <v>1930</v>
      </c>
      <c r="I347" t="s">
        <v>727</v>
      </c>
      <c r="J347" t="s">
        <v>1936</v>
      </c>
      <c r="K347" t="s">
        <v>790</v>
      </c>
      <c r="L347" t="s">
        <v>1937</v>
      </c>
      <c r="M347" t="s">
        <v>1933</v>
      </c>
      <c r="N347" t="s">
        <v>639</v>
      </c>
      <c r="O347" t="s">
        <v>727</v>
      </c>
      <c r="P347" t="s">
        <v>790</v>
      </c>
      <c r="Q347" t="s">
        <v>1135</v>
      </c>
      <c r="R347" t="s">
        <v>721</v>
      </c>
      <c r="S347" t="s">
        <v>1153</v>
      </c>
      <c r="T347" t="s">
        <v>676</v>
      </c>
      <c r="U347" t="s">
        <v>1930</v>
      </c>
    </row>
    <row r="348" spans="1:21" ht="14.25" x14ac:dyDescent="0.2">
      <c r="A348" t="s">
        <v>1464</v>
      </c>
      <c r="B348" t="s">
        <v>1584</v>
      </c>
      <c r="C348" t="s">
        <v>643</v>
      </c>
      <c r="D348" t="s">
        <v>467</v>
      </c>
      <c r="E348" t="s">
        <v>1137</v>
      </c>
      <c r="F348" t="s">
        <v>636</v>
      </c>
      <c r="G348" t="s">
        <v>16</v>
      </c>
      <c r="H348" t="s">
        <v>1930</v>
      </c>
      <c r="I348" t="s">
        <v>727</v>
      </c>
      <c r="J348" t="s">
        <v>1938</v>
      </c>
      <c r="K348" t="s">
        <v>790</v>
      </c>
      <c r="L348" t="s">
        <v>1939</v>
      </c>
      <c r="M348" t="s">
        <v>1933</v>
      </c>
      <c r="N348" t="s">
        <v>639</v>
      </c>
      <c r="O348" t="s">
        <v>727</v>
      </c>
      <c r="P348" t="s">
        <v>790</v>
      </c>
      <c r="Q348" t="s">
        <v>1135</v>
      </c>
      <c r="R348" t="s">
        <v>721</v>
      </c>
      <c r="S348" t="s">
        <v>1138</v>
      </c>
      <c r="T348" t="s">
        <v>676</v>
      </c>
      <c r="U348" t="s">
        <v>1930</v>
      </c>
    </row>
    <row r="349" spans="1:21" ht="14.25" x14ac:dyDescent="0.2">
      <c r="A349" t="s">
        <v>1464</v>
      </c>
      <c r="B349" t="s">
        <v>1584</v>
      </c>
      <c r="C349" t="s">
        <v>643</v>
      </c>
      <c r="D349" t="s">
        <v>467</v>
      </c>
      <c r="E349" t="s">
        <v>1137</v>
      </c>
      <c r="F349" t="s">
        <v>636</v>
      </c>
      <c r="G349" t="s">
        <v>16</v>
      </c>
      <c r="H349" t="s">
        <v>1930</v>
      </c>
      <c r="I349" t="s">
        <v>727</v>
      </c>
      <c r="J349" t="s">
        <v>1938</v>
      </c>
      <c r="K349" t="s">
        <v>790</v>
      </c>
      <c r="L349" t="s">
        <v>1939</v>
      </c>
      <c r="M349" t="s">
        <v>1933</v>
      </c>
      <c r="N349" t="s">
        <v>639</v>
      </c>
      <c r="O349" t="s">
        <v>727</v>
      </c>
      <c r="P349" t="s">
        <v>790</v>
      </c>
      <c r="Q349" t="s">
        <v>1135</v>
      </c>
      <c r="R349" t="s">
        <v>959</v>
      </c>
      <c r="S349" t="s">
        <v>2424</v>
      </c>
      <c r="T349" t="s">
        <v>676</v>
      </c>
      <c r="U349" t="s">
        <v>1930</v>
      </c>
    </row>
    <row r="350" spans="1:21" ht="14.25" x14ac:dyDescent="0.2">
      <c r="A350" t="s">
        <v>1464</v>
      </c>
      <c r="B350" t="s">
        <v>1584</v>
      </c>
      <c r="C350" t="s">
        <v>643</v>
      </c>
      <c r="D350" t="s">
        <v>467</v>
      </c>
      <c r="E350" t="s">
        <v>1137</v>
      </c>
      <c r="F350" t="s">
        <v>636</v>
      </c>
      <c r="G350" t="s">
        <v>16</v>
      </c>
      <c r="H350" t="s">
        <v>1930</v>
      </c>
      <c r="I350" t="s">
        <v>727</v>
      </c>
      <c r="J350" t="s">
        <v>1938</v>
      </c>
      <c r="K350" t="s">
        <v>790</v>
      </c>
      <c r="L350" t="s">
        <v>1939</v>
      </c>
      <c r="M350" t="s">
        <v>1933</v>
      </c>
      <c r="N350" t="s">
        <v>639</v>
      </c>
      <c r="O350" t="s">
        <v>727</v>
      </c>
      <c r="P350" t="s">
        <v>790</v>
      </c>
      <c r="Q350" t="s">
        <v>1135</v>
      </c>
      <c r="R350" t="s">
        <v>721</v>
      </c>
      <c r="S350" t="s">
        <v>1153</v>
      </c>
      <c r="T350" t="s">
        <v>676</v>
      </c>
      <c r="U350" t="s">
        <v>1930</v>
      </c>
    </row>
    <row r="351" spans="1:21" ht="14.25" x14ac:dyDescent="0.2">
      <c r="A351" t="s">
        <v>1721</v>
      </c>
      <c r="B351" t="s">
        <v>643</v>
      </c>
      <c r="C351" t="s">
        <v>643</v>
      </c>
      <c r="D351" t="s">
        <v>645</v>
      </c>
      <c r="E351" t="s">
        <v>1007</v>
      </c>
      <c r="F351" t="s">
        <v>636</v>
      </c>
      <c r="G351" t="s">
        <v>10</v>
      </c>
      <c r="H351" t="s">
        <v>1722</v>
      </c>
      <c r="I351" t="s">
        <v>727</v>
      </c>
      <c r="J351" t="s">
        <v>1723</v>
      </c>
      <c r="K351" t="s">
        <v>643</v>
      </c>
      <c r="L351" t="s">
        <v>643</v>
      </c>
      <c r="M351" t="s">
        <v>1724</v>
      </c>
      <c r="N351" t="s">
        <v>693</v>
      </c>
      <c r="O351" t="s">
        <v>1008</v>
      </c>
      <c r="P351" t="s">
        <v>656</v>
      </c>
      <c r="Q351" t="s">
        <v>1009</v>
      </c>
      <c r="R351" t="s">
        <v>643</v>
      </c>
      <c r="S351" t="s">
        <v>643</v>
      </c>
      <c r="T351" t="s">
        <v>643</v>
      </c>
      <c r="U351" t="s">
        <v>1722</v>
      </c>
    </row>
    <row r="352" spans="1:21" ht="14.25" x14ac:dyDescent="0.2">
      <c r="A352" t="s">
        <v>1721</v>
      </c>
      <c r="B352" t="s">
        <v>643</v>
      </c>
      <c r="C352" t="s">
        <v>643</v>
      </c>
      <c r="D352" t="s">
        <v>152</v>
      </c>
      <c r="E352" t="s">
        <v>1018</v>
      </c>
      <c r="F352" t="s">
        <v>636</v>
      </c>
      <c r="G352" t="s">
        <v>16</v>
      </c>
      <c r="H352" t="s">
        <v>1368</v>
      </c>
      <c r="I352" t="s">
        <v>643</v>
      </c>
      <c r="J352" t="s">
        <v>643</v>
      </c>
      <c r="K352" t="s">
        <v>676</v>
      </c>
      <c r="L352" t="s">
        <v>1740</v>
      </c>
      <c r="M352" t="s">
        <v>1370</v>
      </c>
      <c r="N352" t="s">
        <v>639</v>
      </c>
      <c r="O352" t="s">
        <v>1011</v>
      </c>
      <c r="P352" t="s">
        <v>656</v>
      </c>
      <c r="Q352" t="s">
        <v>643</v>
      </c>
      <c r="R352" t="s">
        <v>643</v>
      </c>
      <c r="S352" t="s">
        <v>643</v>
      </c>
      <c r="T352" t="s">
        <v>643</v>
      </c>
      <c r="U352" t="s">
        <v>1368</v>
      </c>
    </row>
    <row r="353" spans="1:21" ht="14.25" x14ac:dyDescent="0.2">
      <c r="A353" t="s">
        <v>1721</v>
      </c>
      <c r="B353" t="s">
        <v>643</v>
      </c>
      <c r="C353" t="s">
        <v>643</v>
      </c>
      <c r="D353" t="s">
        <v>369</v>
      </c>
      <c r="E353" t="s">
        <v>1017</v>
      </c>
      <c r="F353" t="s">
        <v>649</v>
      </c>
      <c r="G353" t="s">
        <v>16</v>
      </c>
      <c r="H353" t="s">
        <v>1736</v>
      </c>
      <c r="I353" t="s">
        <v>1011</v>
      </c>
      <c r="J353" t="s">
        <v>1737</v>
      </c>
      <c r="K353" t="s">
        <v>727</v>
      </c>
      <c r="L353" t="s">
        <v>1738</v>
      </c>
      <c r="M353" t="s">
        <v>1739</v>
      </c>
      <c r="N353" t="s">
        <v>639</v>
      </c>
      <c r="O353" t="s">
        <v>1011</v>
      </c>
      <c r="P353" t="s">
        <v>727</v>
      </c>
      <c r="Q353" t="s">
        <v>1009</v>
      </c>
      <c r="R353" t="s">
        <v>721</v>
      </c>
      <c r="S353" t="s">
        <v>815</v>
      </c>
      <c r="T353" t="s">
        <v>676</v>
      </c>
      <c r="U353" t="s">
        <v>1736</v>
      </c>
    </row>
    <row r="354" spans="1:21" ht="14.25" x14ac:dyDescent="0.2">
      <c r="A354" t="s">
        <v>1721</v>
      </c>
      <c r="B354" t="s">
        <v>643</v>
      </c>
      <c r="C354" t="s">
        <v>643</v>
      </c>
      <c r="D354" t="s">
        <v>369</v>
      </c>
      <c r="E354" t="s">
        <v>1017</v>
      </c>
      <c r="F354" t="s">
        <v>649</v>
      </c>
      <c r="G354" t="s">
        <v>16</v>
      </c>
      <c r="H354" t="s">
        <v>1736</v>
      </c>
      <c r="I354" t="s">
        <v>1011</v>
      </c>
      <c r="J354" t="s">
        <v>1737</v>
      </c>
      <c r="K354" t="s">
        <v>727</v>
      </c>
      <c r="L354" t="s">
        <v>1738</v>
      </c>
      <c r="M354" t="s">
        <v>1739</v>
      </c>
      <c r="N354" t="s">
        <v>639</v>
      </c>
      <c r="O354" t="s">
        <v>1011</v>
      </c>
      <c r="P354" t="s">
        <v>727</v>
      </c>
      <c r="Q354" t="s">
        <v>1009</v>
      </c>
      <c r="R354" t="s">
        <v>1015</v>
      </c>
      <c r="S354" t="s">
        <v>1016</v>
      </c>
      <c r="T354" t="s">
        <v>676</v>
      </c>
      <c r="U354" t="s">
        <v>1736</v>
      </c>
    </row>
    <row r="355" spans="1:21" ht="14.25" x14ac:dyDescent="0.2">
      <c r="A355" t="s">
        <v>1721</v>
      </c>
      <c r="B355" t="s">
        <v>643</v>
      </c>
      <c r="C355" t="s">
        <v>643</v>
      </c>
      <c r="D355" t="s">
        <v>369</v>
      </c>
      <c r="E355" t="s">
        <v>1017</v>
      </c>
      <c r="F355" t="s">
        <v>649</v>
      </c>
      <c r="G355" t="s">
        <v>16</v>
      </c>
      <c r="H355" t="s">
        <v>1736</v>
      </c>
      <c r="I355" t="s">
        <v>1011</v>
      </c>
      <c r="J355" t="s">
        <v>1737</v>
      </c>
      <c r="K355" t="s">
        <v>727</v>
      </c>
      <c r="L355" t="s">
        <v>1738</v>
      </c>
      <c r="M355" t="s">
        <v>1739</v>
      </c>
      <c r="N355" t="s">
        <v>639</v>
      </c>
      <c r="O355" t="s">
        <v>1011</v>
      </c>
      <c r="P355" t="s">
        <v>727</v>
      </c>
      <c r="Q355" t="s">
        <v>1009</v>
      </c>
      <c r="R355" t="s">
        <v>729</v>
      </c>
      <c r="S355" t="s">
        <v>2425</v>
      </c>
      <c r="T355" t="s">
        <v>676</v>
      </c>
      <c r="U355" t="s">
        <v>1736</v>
      </c>
    </row>
    <row r="356" spans="1:21" ht="14.25" x14ac:dyDescent="0.2">
      <c r="A356" t="s">
        <v>1721</v>
      </c>
      <c r="B356" t="s">
        <v>643</v>
      </c>
      <c r="C356" t="s">
        <v>643</v>
      </c>
      <c r="D356" t="s">
        <v>369</v>
      </c>
      <c r="E356" t="s">
        <v>1017</v>
      </c>
      <c r="F356" t="s">
        <v>649</v>
      </c>
      <c r="G356" t="s">
        <v>16</v>
      </c>
      <c r="H356" t="s">
        <v>1736</v>
      </c>
      <c r="I356" t="s">
        <v>1011</v>
      </c>
      <c r="J356" t="s">
        <v>1737</v>
      </c>
      <c r="K356" t="s">
        <v>727</v>
      </c>
      <c r="L356" t="s">
        <v>1738</v>
      </c>
      <c r="M356" t="s">
        <v>1739</v>
      </c>
      <c r="N356" t="s">
        <v>639</v>
      </c>
      <c r="O356" t="s">
        <v>1011</v>
      </c>
      <c r="P356" t="s">
        <v>727</v>
      </c>
      <c r="Q356" t="s">
        <v>1009</v>
      </c>
      <c r="R356" t="s">
        <v>2426</v>
      </c>
      <c r="S356" t="s">
        <v>657</v>
      </c>
      <c r="T356" t="s">
        <v>676</v>
      </c>
      <c r="U356" t="s">
        <v>1736</v>
      </c>
    </row>
    <row r="357" spans="1:21" ht="14.25" x14ac:dyDescent="0.2">
      <c r="A357" t="s">
        <v>1721</v>
      </c>
      <c r="B357" t="s">
        <v>643</v>
      </c>
      <c r="C357" t="s">
        <v>643</v>
      </c>
      <c r="D357" t="s">
        <v>191</v>
      </c>
      <c r="E357" t="s">
        <v>1145</v>
      </c>
      <c r="F357" t="s">
        <v>649</v>
      </c>
      <c r="G357" t="s">
        <v>664</v>
      </c>
      <c r="H357" t="s">
        <v>1956</v>
      </c>
      <c r="I357" t="s">
        <v>727</v>
      </c>
      <c r="J357" t="s">
        <v>1957</v>
      </c>
      <c r="K357" t="s">
        <v>676</v>
      </c>
      <c r="L357" t="s">
        <v>1958</v>
      </c>
      <c r="M357" t="s">
        <v>1728</v>
      </c>
      <c r="N357" t="s">
        <v>639</v>
      </c>
      <c r="O357" t="s">
        <v>1011</v>
      </c>
      <c r="P357" t="s">
        <v>727</v>
      </c>
      <c r="Q357" t="s">
        <v>1009</v>
      </c>
      <c r="R357" t="s">
        <v>1015</v>
      </c>
      <c r="S357" t="s">
        <v>1020</v>
      </c>
      <c r="T357" t="s">
        <v>676</v>
      </c>
      <c r="U357" t="s">
        <v>1956</v>
      </c>
    </row>
    <row r="358" spans="1:21" ht="14.25" x14ac:dyDescent="0.2">
      <c r="A358" t="s">
        <v>1721</v>
      </c>
      <c r="B358" t="s">
        <v>643</v>
      </c>
      <c r="C358" t="s">
        <v>643</v>
      </c>
      <c r="D358" t="s">
        <v>222</v>
      </c>
      <c r="E358" t="s">
        <v>1146</v>
      </c>
      <c r="F358" t="s">
        <v>636</v>
      </c>
      <c r="G358" t="s">
        <v>664</v>
      </c>
      <c r="H358" t="s">
        <v>1959</v>
      </c>
      <c r="I358" t="s">
        <v>727</v>
      </c>
      <c r="J358" t="s">
        <v>1960</v>
      </c>
      <c r="K358" t="s">
        <v>676</v>
      </c>
      <c r="L358" t="s">
        <v>1961</v>
      </c>
      <c r="M358" t="s">
        <v>1962</v>
      </c>
      <c r="N358" t="s">
        <v>639</v>
      </c>
      <c r="O358" t="s">
        <v>1011</v>
      </c>
      <c r="P358" t="s">
        <v>727</v>
      </c>
      <c r="Q358" t="s">
        <v>1009</v>
      </c>
      <c r="R358" t="s">
        <v>721</v>
      </c>
      <c r="S358" t="s">
        <v>1147</v>
      </c>
      <c r="T358" t="s">
        <v>676</v>
      </c>
      <c r="U358" t="s">
        <v>1959</v>
      </c>
    </row>
    <row r="359" spans="1:21" ht="14.25" x14ac:dyDescent="0.2">
      <c r="A359" t="s">
        <v>1721</v>
      </c>
      <c r="B359" t="s">
        <v>643</v>
      </c>
      <c r="C359" t="s">
        <v>643</v>
      </c>
      <c r="D359" t="s">
        <v>222</v>
      </c>
      <c r="E359" t="s">
        <v>1146</v>
      </c>
      <c r="F359" t="s">
        <v>636</v>
      </c>
      <c r="G359" t="s">
        <v>664</v>
      </c>
      <c r="H359" t="s">
        <v>1959</v>
      </c>
      <c r="I359" t="s">
        <v>727</v>
      </c>
      <c r="J359" t="s">
        <v>1960</v>
      </c>
      <c r="K359" t="s">
        <v>676</v>
      </c>
      <c r="L359" t="s">
        <v>1961</v>
      </c>
      <c r="M359" t="s">
        <v>1962</v>
      </c>
      <c r="N359" t="s">
        <v>639</v>
      </c>
      <c r="O359" t="s">
        <v>1011</v>
      </c>
      <c r="P359" t="s">
        <v>727</v>
      </c>
      <c r="Q359" t="s">
        <v>1009</v>
      </c>
      <c r="R359" t="s">
        <v>721</v>
      </c>
      <c r="S359" t="s">
        <v>815</v>
      </c>
      <c r="T359" t="s">
        <v>676</v>
      </c>
      <c r="U359" t="s">
        <v>1959</v>
      </c>
    </row>
    <row r="360" spans="1:21" ht="14.25" x14ac:dyDescent="0.2">
      <c r="A360" t="s">
        <v>1721</v>
      </c>
      <c r="B360" t="s">
        <v>643</v>
      </c>
      <c r="C360" t="s">
        <v>643</v>
      </c>
      <c r="D360" t="s">
        <v>222</v>
      </c>
      <c r="E360" t="s">
        <v>1146</v>
      </c>
      <c r="F360" t="s">
        <v>636</v>
      </c>
      <c r="G360" t="s">
        <v>664</v>
      </c>
      <c r="H360" t="s">
        <v>1959</v>
      </c>
      <c r="I360" t="s">
        <v>727</v>
      </c>
      <c r="J360" t="s">
        <v>1960</v>
      </c>
      <c r="K360" t="s">
        <v>676</v>
      </c>
      <c r="L360" t="s">
        <v>1961</v>
      </c>
      <c r="M360" t="s">
        <v>1962</v>
      </c>
      <c r="N360" t="s">
        <v>639</v>
      </c>
      <c r="O360" t="s">
        <v>1011</v>
      </c>
      <c r="P360" t="s">
        <v>727</v>
      </c>
      <c r="Q360" t="s">
        <v>1009</v>
      </c>
      <c r="R360" t="s">
        <v>1015</v>
      </c>
      <c r="S360" t="s">
        <v>1016</v>
      </c>
      <c r="T360" t="s">
        <v>676</v>
      </c>
      <c r="U360" t="s">
        <v>1959</v>
      </c>
    </row>
    <row r="361" spans="1:21" ht="14.25" x14ac:dyDescent="0.2">
      <c r="A361" t="s">
        <v>1721</v>
      </c>
      <c r="B361" t="s">
        <v>643</v>
      </c>
      <c r="C361" t="s">
        <v>643</v>
      </c>
      <c r="D361" t="s">
        <v>155</v>
      </c>
      <c r="E361" t="s">
        <v>1176</v>
      </c>
      <c r="F361" t="s">
        <v>636</v>
      </c>
      <c r="G361" t="s">
        <v>34</v>
      </c>
      <c r="H361" t="s">
        <v>2000</v>
      </c>
      <c r="I361" t="s">
        <v>727</v>
      </c>
      <c r="J361" t="s">
        <v>2001</v>
      </c>
      <c r="K361" t="s">
        <v>676</v>
      </c>
      <c r="L361" t="s">
        <v>2002</v>
      </c>
      <c r="M361" t="s">
        <v>2003</v>
      </c>
      <c r="N361" t="s">
        <v>639</v>
      </c>
      <c r="O361" t="s">
        <v>1011</v>
      </c>
      <c r="P361" t="s">
        <v>727</v>
      </c>
      <c r="Q361" t="s">
        <v>1009</v>
      </c>
      <c r="R361" t="s">
        <v>721</v>
      </c>
      <c r="S361" t="s">
        <v>1177</v>
      </c>
      <c r="T361" t="s">
        <v>676</v>
      </c>
      <c r="U361" t="s">
        <v>2000</v>
      </c>
    </row>
    <row r="362" spans="1:21" ht="14.25" x14ac:dyDescent="0.2">
      <c r="A362" t="s">
        <v>1721</v>
      </c>
      <c r="B362" t="s">
        <v>643</v>
      </c>
      <c r="C362" t="s">
        <v>643</v>
      </c>
      <c r="D362" t="s">
        <v>155</v>
      </c>
      <c r="E362" t="s">
        <v>1176</v>
      </c>
      <c r="F362" t="s">
        <v>636</v>
      </c>
      <c r="G362" t="s">
        <v>34</v>
      </c>
      <c r="H362" t="s">
        <v>2000</v>
      </c>
      <c r="I362" t="s">
        <v>727</v>
      </c>
      <c r="J362" t="s">
        <v>2001</v>
      </c>
      <c r="K362" t="s">
        <v>676</v>
      </c>
      <c r="L362" t="s">
        <v>2002</v>
      </c>
      <c r="M362" t="s">
        <v>2003</v>
      </c>
      <c r="N362" t="s">
        <v>639</v>
      </c>
      <c r="O362" t="s">
        <v>1011</v>
      </c>
      <c r="P362" t="s">
        <v>727</v>
      </c>
      <c r="Q362" t="s">
        <v>1009</v>
      </c>
      <c r="R362" t="s">
        <v>721</v>
      </c>
      <c r="S362" t="s">
        <v>2427</v>
      </c>
      <c r="T362" t="s">
        <v>676</v>
      </c>
      <c r="U362" t="s">
        <v>2000</v>
      </c>
    </row>
    <row r="363" spans="1:21" ht="14.25" x14ac:dyDescent="0.2">
      <c r="A363" t="s">
        <v>1721</v>
      </c>
      <c r="B363" t="s">
        <v>643</v>
      </c>
      <c r="C363" t="s">
        <v>643</v>
      </c>
      <c r="D363" t="s">
        <v>155</v>
      </c>
      <c r="E363" t="s">
        <v>1176</v>
      </c>
      <c r="F363" t="s">
        <v>636</v>
      </c>
      <c r="G363" t="s">
        <v>34</v>
      </c>
      <c r="H363" t="s">
        <v>2000</v>
      </c>
      <c r="I363" t="s">
        <v>727</v>
      </c>
      <c r="J363" t="s">
        <v>2001</v>
      </c>
      <c r="K363" t="s">
        <v>676</v>
      </c>
      <c r="L363" t="s">
        <v>2002</v>
      </c>
      <c r="M363" t="s">
        <v>2003</v>
      </c>
      <c r="N363" t="s">
        <v>639</v>
      </c>
      <c r="O363" t="s">
        <v>1011</v>
      </c>
      <c r="P363" t="s">
        <v>727</v>
      </c>
      <c r="Q363" t="s">
        <v>1009</v>
      </c>
      <c r="R363" t="s">
        <v>911</v>
      </c>
      <c r="S363" t="s">
        <v>2428</v>
      </c>
      <c r="T363" t="s">
        <v>676</v>
      </c>
      <c r="U363" t="s">
        <v>2000</v>
      </c>
    </row>
    <row r="364" spans="1:21" ht="14.25" x14ac:dyDescent="0.2">
      <c r="A364" t="s">
        <v>1721</v>
      </c>
      <c r="B364" t="s">
        <v>643</v>
      </c>
      <c r="C364" t="s">
        <v>643</v>
      </c>
      <c r="D364" t="s">
        <v>155</v>
      </c>
      <c r="E364" t="s">
        <v>1176</v>
      </c>
      <c r="F364" t="s">
        <v>636</v>
      </c>
      <c r="G364" t="s">
        <v>34</v>
      </c>
      <c r="H364" t="s">
        <v>2000</v>
      </c>
      <c r="I364" t="s">
        <v>727</v>
      </c>
      <c r="J364" t="s">
        <v>2001</v>
      </c>
      <c r="K364" t="s">
        <v>676</v>
      </c>
      <c r="L364" t="s">
        <v>2002</v>
      </c>
      <c r="M364" t="s">
        <v>2003</v>
      </c>
      <c r="N364" t="s">
        <v>639</v>
      </c>
      <c r="O364" t="s">
        <v>1011</v>
      </c>
      <c r="P364" t="s">
        <v>727</v>
      </c>
      <c r="Q364" t="s">
        <v>1009</v>
      </c>
      <c r="R364" t="s">
        <v>721</v>
      </c>
      <c r="S364" t="s">
        <v>2429</v>
      </c>
      <c r="T364" t="s">
        <v>676</v>
      </c>
      <c r="U364" t="s">
        <v>2000</v>
      </c>
    </row>
    <row r="365" spans="1:21" ht="14.25" x14ac:dyDescent="0.2">
      <c r="A365" t="s">
        <v>1721</v>
      </c>
      <c r="B365" t="s">
        <v>643</v>
      </c>
      <c r="C365" t="s">
        <v>643</v>
      </c>
      <c r="D365" t="s">
        <v>155</v>
      </c>
      <c r="E365" t="s">
        <v>1176</v>
      </c>
      <c r="F365" t="s">
        <v>636</v>
      </c>
      <c r="G365" t="s">
        <v>34</v>
      </c>
      <c r="H365" t="s">
        <v>2000</v>
      </c>
      <c r="I365" t="s">
        <v>727</v>
      </c>
      <c r="J365" t="s">
        <v>2001</v>
      </c>
      <c r="K365" t="s">
        <v>676</v>
      </c>
      <c r="L365" t="s">
        <v>2002</v>
      </c>
      <c r="M365" t="s">
        <v>2003</v>
      </c>
      <c r="N365" t="s">
        <v>639</v>
      </c>
      <c r="O365" t="s">
        <v>1011</v>
      </c>
      <c r="P365" t="s">
        <v>727</v>
      </c>
      <c r="Q365" t="s">
        <v>1009</v>
      </c>
      <c r="R365" t="s">
        <v>1015</v>
      </c>
      <c r="S365" t="s">
        <v>1020</v>
      </c>
      <c r="T365" t="s">
        <v>676</v>
      </c>
      <c r="U365" t="s">
        <v>2000</v>
      </c>
    </row>
    <row r="366" spans="1:21" ht="14.25" x14ac:dyDescent="0.2">
      <c r="A366" t="s">
        <v>1320</v>
      </c>
      <c r="B366" t="s">
        <v>1339</v>
      </c>
      <c r="C366" t="s">
        <v>643</v>
      </c>
      <c r="D366" t="s">
        <v>449</v>
      </c>
      <c r="E366" t="s">
        <v>1148</v>
      </c>
      <c r="F366" t="s">
        <v>649</v>
      </c>
      <c r="G366" t="s">
        <v>16</v>
      </c>
      <c r="H366" t="s">
        <v>1753</v>
      </c>
      <c r="I366" t="s">
        <v>727</v>
      </c>
      <c r="J366" t="s">
        <v>1963</v>
      </c>
      <c r="K366" t="s">
        <v>673</v>
      </c>
      <c r="L366" t="s">
        <v>1964</v>
      </c>
      <c r="M366" t="s">
        <v>1566</v>
      </c>
      <c r="N366" t="s">
        <v>639</v>
      </c>
      <c r="O366" t="s">
        <v>874</v>
      </c>
      <c r="P366" t="s">
        <v>673</v>
      </c>
      <c r="Q366" t="s">
        <v>670</v>
      </c>
      <c r="R366" t="s">
        <v>643</v>
      </c>
      <c r="S366" t="s">
        <v>643</v>
      </c>
      <c r="T366" t="s">
        <v>643</v>
      </c>
      <c r="U366" t="s">
        <v>1753</v>
      </c>
    </row>
    <row r="367" spans="1:21" ht="14.25" x14ac:dyDescent="0.2">
      <c r="A367" t="s">
        <v>1464</v>
      </c>
      <c r="B367" t="s">
        <v>1465</v>
      </c>
      <c r="C367" t="s">
        <v>643</v>
      </c>
      <c r="D367" t="s">
        <v>436</v>
      </c>
      <c r="E367" t="s">
        <v>1149</v>
      </c>
      <c r="F367" t="s">
        <v>636</v>
      </c>
      <c r="G367" t="s">
        <v>27</v>
      </c>
      <c r="H367" t="s">
        <v>1965</v>
      </c>
      <c r="I367" t="s">
        <v>789</v>
      </c>
      <c r="J367" t="s">
        <v>1966</v>
      </c>
      <c r="K367" t="s">
        <v>790</v>
      </c>
      <c r="L367" t="s">
        <v>1967</v>
      </c>
      <c r="M367" t="s">
        <v>1475</v>
      </c>
      <c r="N367" t="s">
        <v>639</v>
      </c>
      <c r="O367" t="s">
        <v>789</v>
      </c>
      <c r="P367" t="s">
        <v>790</v>
      </c>
      <c r="Q367" t="s">
        <v>796</v>
      </c>
      <c r="R367" t="s">
        <v>643</v>
      </c>
      <c r="S367" t="s">
        <v>643</v>
      </c>
      <c r="T367" t="s">
        <v>643</v>
      </c>
      <c r="U367" t="s">
        <v>1965</v>
      </c>
    </row>
    <row r="368" spans="1:21" ht="14.25" x14ac:dyDescent="0.2">
      <c r="A368" t="s">
        <v>1721</v>
      </c>
      <c r="B368" t="s">
        <v>643</v>
      </c>
      <c r="C368" t="s">
        <v>643</v>
      </c>
      <c r="D368" t="s">
        <v>356</v>
      </c>
      <c r="E368" t="s">
        <v>1014</v>
      </c>
      <c r="F368" t="s">
        <v>649</v>
      </c>
      <c r="G368" t="s">
        <v>16</v>
      </c>
      <c r="H368" t="s">
        <v>1732</v>
      </c>
      <c r="I368" t="s">
        <v>727</v>
      </c>
      <c r="J368" t="s">
        <v>1733</v>
      </c>
      <c r="K368" t="s">
        <v>676</v>
      </c>
      <c r="L368" t="s">
        <v>1734</v>
      </c>
      <c r="M368" t="s">
        <v>1735</v>
      </c>
      <c r="N368" t="s">
        <v>639</v>
      </c>
      <c r="O368" t="s">
        <v>1011</v>
      </c>
      <c r="P368" t="s">
        <v>727</v>
      </c>
      <c r="Q368" t="s">
        <v>1009</v>
      </c>
      <c r="R368" t="s">
        <v>1015</v>
      </c>
      <c r="S368" t="s">
        <v>1016</v>
      </c>
      <c r="T368" t="s">
        <v>676</v>
      </c>
      <c r="U368" t="s">
        <v>1732</v>
      </c>
    </row>
    <row r="369" spans="1:21" ht="14.25" x14ac:dyDescent="0.2">
      <c r="A369" t="s">
        <v>1464</v>
      </c>
      <c r="B369" t="s">
        <v>1481</v>
      </c>
      <c r="C369" t="s">
        <v>643</v>
      </c>
      <c r="D369" t="s">
        <v>135</v>
      </c>
      <c r="E369" t="s">
        <v>1151</v>
      </c>
      <c r="F369" t="s">
        <v>636</v>
      </c>
      <c r="G369" t="s">
        <v>34</v>
      </c>
      <c r="H369" t="s">
        <v>1829</v>
      </c>
      <c r="I369" t="s">
        <v>727</v>
      </c>
      <c r="J369" t="s">
        <v>1972</v>
      </c>
      <c r="K369" t="s">
        <v>643</v>
      </c>
      <c r="L369" t="s">
        <v>643</v>
      </c>
      <c r="M369" t="s">
        <v>1544</v>
      </c>
      <c r="N369" t="s">
        <v>681</v>
      </c>
      <c r="O369" t="s">
        <v>1131</v>
      </c>
      <c r="P369" t="s">
        <v>790</v>
      </c>
      <c r="Q369" t="s">
        <v>857</v>
      </c>
      <c r="R369" t="s">
        <v>643</v>
      </c>
      <c r="S369" t="s">
        <v>643</v>
      </c>
      <c r="T369" t="s">
        <v>643</v>
      </c>
      <c r="U369" t="s">
        <v>1829</v>
      </c>
    </row>
    <row r="370" spans="1:21" ht="14.25" x14ac:dyDescent="0.2">
      <c r="A370" t="s">
        <v>1721</v>
      </c>
      <c r="B370" t="s">
        <v>643</v>
      </c>
      <c r="C370" t="s">
        <v>643</v>
      </c>
      <c r="D370" t="s">
        <v>190</v>
      </c>
      <c r="E370" t="s">
        <v>1019</v>
      </c>
      <c r="F370" t="s">
        <v>649</v>
      </c>
      <c r="G370" t="s">
        <v>16</v>
      </c>
      <c r="H370" t="s">
        <v>1741</v>
      </c>
      <c r="I370" t="s">
        <v>1011</v>
      </c>
      <c r="J370" t="s">
        <v>1742</v>
      </c>
      <c r="K370" t="s">
        <v>727</v>
      </c>
      <c r="L370" t="s">
        <v>1743</v>
      </c>
      <c r="M370" t="s">
        <v>1744</v>
      </c>
      <c r="N370" t="s">
        <v>639</v>
      </c>
      <c r="O370" t="s">
        <v>1011</v>
      </c>
      <c r="P370" t="s">
        <v>727</v>
      </c>
      <c r="Q370" t="s">
        <v>1009</v>
      </c>
      <c r="R370" t="s">
        <v>1015</v>
      </c>
      <c r="S370" t="s">
        <v>1020</v>
      </c>
      <c r="T370" t="s">
        <v>676</v>
      </c>
      <c r="U370" t="s">
        <v>1741</v>
      </c>
    </row>
    <row r="371" spans="1:21" ht="14.25" x14ac:dyDescent="0.2">
      <c r="A371" t="s">
        <v>1721</v>
      </c>
      <c r="B371" t="s">
        <v>643</v>
      </c>
      <c r="C371" t="s">
        <v>643</v>
      </c>
      <c r="D371" t="s">
        <v>190</v>
      </c>
      <c r="E371" t="s">
        <v>1019</v>
      </c>
      <c r="F371" t="s">
        <v>649</v>
      </c>
      <c r="G371" t="s">
        <v>16</v>
      </c>
      <c r="H371" t="s">
        <v>1741</v>
      </c>
      <c r="I371" t="s">
        <v>1011</v>
      </c>
      <c r="J371" t="s">
        <v>1742</v>
      </c>
      <c r="K371" t="s">
        <v>727</v>
      </c>
      <c r="L371" t="s">
        <v>1743</v>
      </c>
      <c r="M371" t="s">
        <v>1744</v>
      </c>
      <c r="N371" t="s">
        <v>639</v>
      </c>
      <c r="O371" t="s">
        <v>1011</v>
      </c>
      <c r="P371" t="s">
        <v>727</v>
      </c>
      <c r="Q371" t="s">
        <v>1009</v>
      </c>
      <c r="R371" t="s">
        <v>721</v>
      </c>
      <c r="S371" t="s">
        <v>2430</v>
      </c>
      <c r="T371" t="s">
        <v>676</v>
      </c>
      <c r="U371" t="s">
        <v>1741</v>
      </c>
    </row>
    <row r="372" spans="1:21" ht="14.25" x14ac:dyDescent="0.2">
      <c r="A372" t="s">
        <v>1721</v>
      </c>
      <c r="B372" t="s">
        <v>643</v>
      </c>
      <c r="C372" t="s">
        <v>643</v>
      </c>
      <c r="D372" t="s">
        <v>190</v>
      </c>
      <c r="E372" t="s">
        <v>1019</v>
      </c>
      <c r="F372" t="s">
        <v>649</v>
      </c>
      <c r="G372" t="s">
        <v>16</v>
      </c>
      <c r="H372" t="s">
        <v>1741</v>
      </c>
      <c r="I372" t="s">
        <v>1011</v>
      </c>
      <c r="J372" t="s">
        <v>1742</v>
      </c>
      <c r="K372" t="s">
        <v>727</v>
      </c>
      <c r="L372" t="s">
        <v>1743</v>
      </c>
      <c r="M372" t="s">
        <v>1744</v>
      </c>
      <c r="N372" t="s">
        <v>639</v>
      </c>
      <c r="O372" t="s">
        <v>1011</v>
      </c>
      <c r="P372" t="s">
        <v>727</v>
      </c>
      <c r="Q372" t="s">
        <v>1009</v>
      </c>
      <c r="R372" t="s">
        <v>743</v>
      </c>
      <c r="S372" t="s">
        <v>1783</v>
      </c>
      <c r="T372" t="s">
        <v>676</v>
      </c>
      <c r="U372" t="s">
        <v>1741</v>
      </c>
    </row>
    <row r="373" spans="1:21" ht="14.25" x14ac:dyDescent="0.2">
      <c r="A373" t="s">
        <v>1464</v>
      </c>
      <c r="B373" t="s">
        <v>1465</v>
      </c>
      <c r="C373" t="s">
        <v>643</v>
      </c>
      <c r="D373" t="s">
        <v>442</v>
      </c>
      <c r="E373" t="s">
        <v>1154</v>
      </c>
      <c r="F373" t="s">
        <v>636</v>
      </c>
      <c r="G373" t="s">
        <v>27</v>
      </c>
      <c r="H373" t="s">
        <v>1965</v>
      </c>
      <c r="I373" t="s">
        <v>789</v>
      </c>
      <c r="J373" t="s">
        <v>1975</v>
      </c>
      <c r="K373" t="s">
        <v>790</v>
      </c>
      <c r="L373" t="s">
        <v>1976</v>
      </c>
      <c r="M373" t="s">
        <v>1475</v>
      </c>
      <c r="N373" t="s">
        <v>639</v>
      </c>
      <c r="O373" t="s">
        <v>789</v>
      </c>
      <c r="P373" t="s">
        <v>790</v>
      </c>
      <c r="Q373" t="s">
        <v>796</v>
      </c>
      <c r="R373" t="s">
        <v>643</v>
      </c>
      <c r="S373" t="s">
        <v>643</v>
      </c>
      <c r="T373" t="s">
        <v>643</v>
      </c>
      <c r="U373" t="s">
        <v>1965</v>
      </c>
    </row>
    <row r="374" spans="1:21" ht="14.25" x14ac:dyDescent="0.2">
      <c r="A374" t="s">
        <v>1464</v>
      </c>
      <c r="B374" t="s">
        <v>1465</v>
      </c>
      <c r="C374" t="s">
        <v>643</v>
      </c>
      <c r="D374" t="s">
        <v>448</v>
      </c>
      <c r="E374" t="s">
        <v>1155</v>
      </c>
      <c r="F374" t="s">
        <v>636</v>
      </c>
      <c r="G374" t="s">
        <v>27</v>
      </c>
      <c r="H374" t="s">
        <v>1965</v>
      </c>
      <c r="I374" t="s">
        <v>789</v>
      </c>
      <c r="J374" t="s">
        <v>1977</v>
      </c>
      <c r="K374" t="s">
        <v>790</v>
      </c>
      <c r="L374" t="s">
        <v>1978</v>
      </c>
      <c r="M374" t="s">
        <v>1475</v>
      </c>
      <c r="N374" t="s">
        <v>639</v>
      </c>
      <c r="O374" t="s">
        <v>789</v>
      </c>
      <c r="P374" t="s">
        <v>790</v>
      </c>
      <c r="Q374" t="s">
        <v>796</v>
      </c>
      <c r="R374" t="s">
        <v>643</v>
      </c>
      <c r="S374" t="s">
        <v>643</v>
      </c>
      <c r="T374" t="s">
        <v>643</v>
      </c>
      <c r="U374" t="s">
        <v>1965</v>
      </c>
    </row>
    <row r="375" spans="1:21" ht="14.25" x14ac:dyDescent="0.2">
      <c r="A375" t="s">
        <v>1721</v>
      </c>
      <c r="B375" t="s">
        <v>643</v>
      </c>
      <c r="C375" t="s">
        <v>643</v>
      </c>
      <c r="D375" t="s">
        <v>249</v>
      </c>
      <c r="E375" t="s">
        <v>1181</v>
      </c>
      <c r="F375" t="s">
        <v>649</v>
      </c>
      <c r="G375" t="s">
        <v>34</v>
      </c>
      <c r="H375" t="s">
        <v>2008</v>
      </c>
      <c r="I375" t="s">
        <v>727</v>
      </c>
      <c r="J375" t="s">
        <v>2009</v>
      </c>
      <c r="K375" t="s">
        <v>676</v>
      </c>
      <c r="L375" t="s">
        <v>2010</v>
      </c>
      <c r="M375" t="s">
        <v>1735</v>
      </c>
      <c r="N375" t="s">
        <v>639</v>
      </c>
      <c r="O375" t="s">
        <v>1011</v>
      </c>
      <c r="P375" t="s">
        <v>727</v>
      </c>
      <c r="Q375" t="s">
        <v>1009</v>
      </c>
      <c r="R375" t="s">
        <v>721</v>
      </c>
      <c r="S375" t="s">
        <v>1180</v>
      </c>
      <c r="T375" t="s">
        <v>676</v>
      </c>
      <c r="U375" t="s">
        <v>2008</v>
      </c>
    </row>
    <row r="376" spans="1:21" ht="14.25" x14ac:dyDescent="0.2">
      <c r="A376" t="s">
        <v>1721</v>
      </c>
      <c r="B376" t="s">
        <v>643</v>
      </c>
      <c r="C376" t="s">
        <v>643</v>
      </c>
      <c r="D376" t="s">
        <v>249</v>
      </c>
      <c r="E376" t="s">
        <v>1181</v>
      </c>
      <c r="F376" t="s">
        <v>649</v>
      </c>
      <c r="G376" t="s">
        <v>34</v>
      </c>
      <c r="H376" t="s">
        <v>2008</v>
      </c>
      <c r="I376" t="s">
        <v>727</v>
      </c>
      <c r="J376" t="s">
        <v>2009</v>
      </c>
      <c r="K376" t="s">
        <v>676</v>
      </c>
      <c r="L376" t="s">
        <v>2010</v>
      </c>
      <c r="M376" t="s">
        <v>1735</v>
      </c>
      <c r="N376" t="s">
        <v>639</v>
      </c>
      <c r="O376" t="s">
        <v>1011</v>
      </c>
      <c r="P376" t="s">
        <v>727</v>
      </c>
      <c r="Q376" t="s">
        <v>1009</v>
      </c>
      <c r="R376" t="s">
        <v>721</v>
      </c>
      <c r="S376" t="s">
        <v>1180</v>
      </c>
      <c r="T376" t="s">
        <v>676</v>
      </c>
      <c r="U376" t="s">
        <v>2008</v>
      </c>
    </row>
    <row r="377" spans="1:21" ht="14.25" x14ac:dyDescent="0.2">
      <c r="A377" t="s">
        <v>1721</v>
      </c>
      <c r="B377" t="s">
        <v>643</v>
      </c>
      <c r="C377" t="s">
        <v>643</v>
      </c>
      <c r="D377" t="s">
        <v>249</v>
      </c>
      <c r="E377" t="s">
        <v>1181</v>
      </c>
      <c r="F377" t="s">
        <v>649</v>
      </c>
      <c r="G377" t="s">
        <v>34</v>
      </c>
      <c r="H377" t="s">
        <v>2008</v>
      </c>
      <c r="I377" t="s">
        <v>727</v>
      </c>
      <c r="J377" t="s">
        <v>2009</v>
      </c>
      <c r="K377" t="s">
        <v>676</v>
      </c>
      <c r="L377" t="s">
        <v>2010</v>
      </c>
      <c r="M377" t="s">
        <v>1735</v>
      </c>
      <c r="N377" t="s">
        <v>639</v>
      </c>
      <c r="O377" t="s">
        <v>1011</v>
      </c>
      <c r="P377" t="s">
        <v>727</v>
      </c>
      <c r="Q377" t="s">
        <v>1009</v>
      </c>
      <c r="R377" t="s">
        <v>1015</v>
      </c>
      <c r="S377" t="s">
        <v>1020</v>
      </c>
      <c r="T377" t="s">
        <v>676</v>
      </c>
      <c r="U377" t="s">
        <v>2008</v>
      </c>
    </row>
    <row r="378" spans="1:21" ht="14.25" x14ac:dyDescent="0.2">
      <c r="A378" t="s">
        <v>1721</v>
      </c>
      <c r="B378" t="s">
        <v>643</v>
      </c>
      <c r="C378" t="s">
        <v>643</v>
      </c>
      <c r="D378" t="s">
        <v>107</v>
      </c>
      <c r="E378" t="s">
        <v>1160</v>
      </c>
      <c r="F378" t="s">
        <v>649</v>
      </c>
      <c r="G378" t="s">
        <v>34</v>
      </c>
      <c r="H378" t="s">
        <v>1725</v>
      </c>
      <c r="I378" t="s">
        <v>727</v>
      </c>
      <c r="J378" t="s">
        <v>1982</v>
      </c>
      <c r="K378" t="s">
        <v>643</v>
      </c>
      <c r="L378" t="s">
        <v>643</v>
      </c>
      <c r="M378" t="s">
        <v>1735</v>
      </c>
      <c r="N378" t="s">
        <v>693</v>
      </c>
      <c r="O378" t="s">
        <v>1161</v>
      </c>
      <c r="P378" t="s">
        <v>656</v>
      </c>
      <c r="Q378" t="s">
        <v>1009</v>
      </c>
      <c r="R378" t="s">
        <v>721</v>
      </c>
      <c r="S378" t="s">
        <v>1162</v>
      </c>
      <c r="T378" t="s">
        <v>676</v>
      </c>
      <c r="U378" t="s">
        <v>1725</v>
      </c>
    </row>
    <row r="379" spans="1:21" ht="14.25" x14ac:dyDescent="0.2">
      <c r="A379" t="s">
        <v>1721</v>
      </c>
      <c r="B379" t="s">
        <v>643</v>
      </c>
      <c r="C379" t="s">
        <v>643</v>
      </c>
      <c r="D379" t="s">
        <v>107</v>
      </c>
      <c r="E379" t="s">
        <v>1160</v>
      </c>
      <c r="F379" t="s">
        <v>649</v>
      </c>
      <c r="G379" t="s">
        <v>34</v>
      </c>
      <c r="H379" t="s">
        <v>1725</v>
      </c>
      <c r="I379" t="s">
        <v>727</v>
      </c>
      <c r="J379" t="s">
        <v>1982</v>
      </c>
      <c r="K379" t="s">
        <v>643</v>
      </c>
      <c r="L379" t="s">
        <v>643</v>
      </c>
      <c r="M379" t="s">
        <v>1735</v>
      </c>
      <c r="N379" t="s">
        <v>693</v>
      </c>
      <c r="O379" t="s">
        <v>1161</v>
      </c>
      <c r="P379" t="s">
        <v>656</v>
      </c>
      <c r="Q379" t="s">
        <v>1009</v>
      </c>
      <c r="R379" t="s">
        <v>721</v>
      </c>
      <c r="S379" t="s">
        <v>1983</v>
      </c>
      <c r="T379" t="s">
        <v>676</v>
      </c>
      <c r="U379" t="s">
        <v>1725</v>
      </c>
    </row>
    <row r="380" spans="1:21" ht="14.25" x14ac:dyDescent="0.2">
      <c r="A380" t="s">
        <v>1721</v>
      </c>
      <c r="B380" t="s">
        <v>643</v>
      </c>
      <c r="C380" t="s">
        <v>643</v>
      </c>
      <c r="D380" t="s">
        <v>1179</v>
      </c>
      <c r="E380" t="s">
        <v>1178</v>
      </c>
      <c r="F380" t="s">
        <v>636</v>
      </c>
      <c r="G380" t="s">
        <v>34</v>
      </c>
      <c r="H380" t="s">
        <v>2004</v>
      </c>
      <c r="I380" t="s">
        <v>727</v>
      </c>
      <c r="J380" t="s">
        <v>2005</v>
      </c>
      <c r="K380" t="s">
        <v>676</v>
      </c>
      <c r="L380" t="s">
        <v>2006</v>
      </c>
      <c r="M380" t="s">
        <v>2007</v>
      </c>
      <c r="N380" t="s">
        <v>639</v>
      </c>
      <c r="O380" t="s">
        <v>1011</v>
      </c>
      <c r="P380" t="s">
        <v>727</v>
      </c>
      <c r="Q380" t="s">
        <v>1009</v>
      </c>
      <c r="R380" t="s">
        <v>721</v>
      </c>
      <c r="S380" t="s">
        <v>1180</v>
      </c>
      <c r="T380" t="s">
        <v>676</v>
      </c>
      <c r="U380" t="s">
        <v>2004</v>
      </c>
    </row>
    <row r="381" spans="1:21" ht="14.25" x14ac:dyDescent="0.2">
      <c r="A381" t="s">
        <v>1721</v>
      </c>
      <c r="B381" t="s">
        <v>643</v>
      </c>
      <c r="C381" t="s">
        <v>643</v>
      </c>
      <c r="D381" t="s">
        <v>1179</v>
      </c>
      <c r="E381" t="s">
        <v>1178</v>
      </c>
      <c r="F381" t="s">
        <v>636</v>
      </c>
      <c r="G381" t="s">
        <v>34</v>
      </c>
      <c r="H381" t="s">
        <v>2004</v>
      </c>
      <c r="I381" t="s">
        <v>727</v>
      </c>
      <c r="J381" t="s">
        <v>2005</v>
      </c>
      <c r="K381" t="s">
        <v>676</v>
      </c>
      <c r="L381" t="s">
        <v>2006</v>
      </c>
      <c r="M381" t="s">
        <v>2007</v>
      </c>
      <c r="N381" t="s">
        <v>639</v>
      </c>
      <c r="O381" t="s">
        <v>1011</v>
      </c>
      <c r="P381" t="s">
        <v>727</v>
      </c>
      <c r="Q381" t="s">
        <v>1009</v>
      </c>
      <c r="R381" t="s">
        <v>1015</v>
      </c>
      <c r="S381" t="s">
        <v>1020</v>
      </c>
      <c r="T381" t="s">
        <v>676</v>
      </c>
      <c r="U381" t="s">
        <v>2004</v>
      </c>
    </row>
    <row r="382" spans="1:21" ht="14.25" x14ac:dyDescent="0.2">
      <c r="A382" t="s">
        <v>1351</v>
      </c>
      <c r="B382" t="s">
        <v>1371</v>
      </c>
      <c r="C382" t="s">
        <v>643</v>
      </c>
      <c r="D382" t="s">
        <v>544</v>
      </c>
      <c r="E382" t="s">
        <v>975</v>
      </c>
      <c r="F382" t="s">
        <v>636</v>
      </c>
      <c r="G382" t="s">
        <v>16</v>
      </c>
      <c r="H382" t="s">
        <v>1677</v>
      </c>
      <c r="I382" t="s">
        <v>727</v>
      </c>
      <c r="J382" t="s">
        <v>1678</v>
      </c>
      <c r="K382" t="s">
        <v>673</v>
      </c>
      <c r="L382" t="s">
        <v>1679</v>
      </c>
      <c r="M382" t="s">
        <v>1386</v>
      </c>
      <c r="N382" t="s">
        <v>639</v>
      </c>
      <c r="O382" t="s">
        <v>759</v>
      </c>
      <c r="P382" t="s">
        <v>673</v>
      </c>
      <c r="Q382" t="s">
        <v>713</v>
      </c>
      <c r="R382" t="s">
        <v>643</v>
      </c>
      <c r="S382" t="s">
        <v>643</v>
      </c>
      <c r="T382" t="s">
        <v>643</v>
      </c>
      <c r="U382" t="s">
        <v>1677</v>
      </c>
    </row>
    <row r="383" spans="1:21" ht="14.25" x14ac:dyDescent="0.2">
      <c r="A383" t="s">
        <v>1351</v>
      </c>
      <c r="B383" t="s">
        <v>1371</v>
      </c>
      <c r="C383" t="s">
        <v>643</v>
      </c>
      <c r="D383" t="s">
        <v>551</v>
      </c>
      <c r="E383" t="s">
        <v>1041</v>
      </c>
      <c r="F383" t="s">
        <v>636</v>
      </c>
      <c r="G383" t="s">
        <v>16</v>
      </c>
      <c r="H383" t="s">
        <v>1346</v>
      </c>
      <c r="I383" t="s">
        <v>727</v>
      </c>
      <c r="J383" t="s">
        <v>1772</v>
      </c>
      <c r="K383" t="s">
        <v>673</v>
      </c>
      <c r="L383" t="s">
        <v>1773</v>
      </c>
      <c r="M383" t="s">
        <v>1386</v>
      </c>
      <c r="N383" t="s">
        <v>639</v>
      </c>
      <c r="O383" t="s">
        <v>728</v>
      </c>
      <c r="P383" t="s">
        <v>673</v>
      </c>
      <c r="Q383" t="s">
        <v>713</v>
      </c>
      <c r="R383" t="s">
        <v>643</v>
      </c>
      <c r="S383" t="s">
        <v>643</v>
      </c>
      <c r="T383" t="s">
        <v>643</v>
      </c>
      <c r="U383" t="s">
        <v>1346</v>
      </c>
    </row>
    <row r="384" spans="1:21" ht="14.25" x14ac:dyDescent="0.2">
      <c r="A384" t="s">
        <v>1351</v>
      </c>
      <c r="B384" t="s">
        <v>1371</v>
      </c>
      <c r="C384" t="s">
        <v>643</v>
      </c>
      <c r="D384" t="s">
        <v>418</v>
      </c>
      <c r="E384" t="s">
        <v>1071</v>
      </c>
      <c r="F384" t="s">
        <v>636</v>
      </c>
      <c r="G384" t="s">
        <v>16</v>
      </c>
      <c r="H384" t="s">
        <v>1677</v>
      </c>
      <c r="I384" t="s">
        <v>727</v>
      </c>
      <c r="J384" t="s">
        <v>1832</v>
      </c>
      <c r="K384" t="s">
        <v>643</v>
      </c>
      <c r="L384" t="s">
        <v>643</v>
      </c>
      <c r="M384" t="s">
        <v>1833</v>
      </c>
      <c r="N384" t="s">
        <v>693</v>
      </c>
      <c r="O384" t="s">
        <v>720</v>
      </c>
      <c r="P384" t="s">
        <v>673</v>
      </c>
      <c r="Q384" t="s">
        <v>713</v>
      </c>
      <c r="R384" t="s">
        <v>643</v>
      </c>
      <c r="S384" t="s">
        <v>643</v>
      </c>
      <c r="T384" t="s">
        <v>643</v>
      </c>
      <c r="U384" t="s">
        <v>1677</v>
      </c>
    </row>
    <row r="385" spans="1:21" ht="14.25" x14ac:dyDescent="0.2">
      <c r="A385" t="s">
        <v>1351</v>
      </c>
      <c r="B385" t="s">
        <v>1371</v>
      </c>
      <c r="C385" t="s">
        <v>643</v>
      </c>
      <c r="D385" t="s">
        <v>424</v>
      </c>
      <c r="E385" t="s">
        <v>1111</v>
      </c>
      <c r="F385" t="s">
        <v>636</v>
      </c>
      <c r="G385" t="s">
        <v>16</v>
      </c>
      <c r="H385" t="s">
        <v>1898</v>
      </c>
      <c r="I385" t="s">
        <v>727</v>
      </c>
      <c r="J385" t="s">
        <v>1899</v>
      </c>
      <c r="K385" t="s">
        <v>643</v>
      </c>
      <c r="L385" t="s">
        <v>643</v>
      </c>
      <c r="M385" t="s">
        <v>1833</v>
      </c>
      <c r="N385" t="s">
        <v>693</v>
      </c>
      <c r="O385" t="s">
        <v>720</v>
      </c>
      <c r="P385" t="s">
        <v>673</v>
      </c>
      <c r="Q385" t="s">
        <v>713</v>
      </c>
      <c r="R385" t="s">
        <v>643</v>
      </c>
      <c r="S385" t="s">
        <v>643</v>
      </c>
      <c r="T385" t="s">
        <v>643</v>
      </c>
      <c r="U385" t="s">
        <v>1898</v>
      </c>
    </row>
    <row r="386" spans="1:21" ht="14.25" x14ac:dyDescent="0.2">
      <c r="A386" t="s">
        <v>1351</v>
      </c>
      <c r="B386" t="s">
        <v>1371</v>
      </c>
      <c r="C386" t="s">
        <v>643</v>
      </c>
      <c r="D386" t="s">
        <v>401</v>
      </c>
      <c r="E386" t="s">
        <v>1070</v>
      </c>
      <c r="F386" t="s">
        <v>636</v>
      </c>
      <c r="G386" t="s">
        <v>16</v>
      </c>
      <c r="H386" t="s">
        <v>1829</v>
      </c>
      <c r="I386" t="s">
        <v>727</v>
      </c>
      <c r="J386" t="s">
        <v>1830</v>
      </c>
      <c r="K386" t="s">
        <v>673</v>
      </c>
      <c r="L386" t="s">
        <v>1831</v>
      </c>
      <c r="M386" t="s">
        <v>1386</v>
      </c>
      <c r="N386" t="s">
        <v>639</v>
      </c>
      <c r="O386" t="s">
        <v>748</v>
      </c>
      <c r="P386" t="s">
        <v>673</v>
      </c>
      <c r="Q386" t="s">
        <v>713</v>
      </c>
      <c r="R386" t="s">
        <v>643</v>
      </c>
      <c r="S386" t="s">
        <v>643</v>
      </c>
      <c r="T386" t="s">
        <v>643</v>
      </c>
      <c r="U386" t="s">
        <v>1829</v>
      </c>
    </row>
    <row r="387" spans="1:21" ht="14.25" x14ac:dyDescent="0.2">
      <c r="A387" t="s">
        <v>1294</v>
      </c>
      <c r="B387" t="s">
        <v>1295</v>
      </c>
      <c r="C387" t="s">
        <v>643</v>
      </c>
      <c r="D387" t="s">
        <v>344</v>
      </c>
      <c r="E387" t="s">
        <v>1168</v>
      </c>
      <c r="F387" t="s">
        <v>636</v>
      </c>
      <c r="G387" t="s">
        <v>34</v>
      </c>
      <c r="H387" t="s">
        <v>1994</v>
      </c>
      <c r="I387" t="s">
        <v>844</v>
      </c>
      <c r="J387" t="s">
        <v>1995</v>
      </c>
      <c r="K387" t="s">
        <v>637</v>
      </c>
      <c r="L387" t="s">
        <v>1996</v>
      </c>
      <c r="M387" t="s">
        <v>1307</v>
      </c>
      <c r="N387" t="s">
        <v>639</v>
      </c>
      <c r="O387" t="s">
        <v>1169</v>
      </c>
      <c r="P387" t="s">
        <v>637</v>
      </c>
      <c r="Q387" t="s">
        <v>1170</v>
      </c>
      <c r="R387" t="s">
        <v>1171</v>
      </c>
      <c r="S387" t="s">
        <v>1172</v>
      </c>
      <c r="T387" t="s">
        <v>676</v>
      </c>
      <c r="U387" t="s">
        <v>1994</v>
      </c>
    </row>
    <row r="388" spans="1:21" ht="14.25" x14ac:dyDescent="0.2">
      <c r="A388" t="s">
        <v>1294</v>
      </c>
      <c r="B388" t="s">
        <v>1295</v>
      </c>
      <c r="C388" t="s">
        <v>643</v>
      </c>
      <c r="D388" t="s">
        <v>344</v>
      </c>
      <c r="E388" t="s">
        <v>1168</v>
      </c>
      <c r="F388" t="s">
        <v>636</v>
      </c>
      <c r="G388" t="s">
        <v>34</v>
      </c>
      <c r="H388" t="s">
        <v>1994</v>
      </c>
      <c r="I388" t="s">
        <v>844</v>
      </c>
      <c r="J388" t="s">
        <v>1995</v>
      </c>
      <c r="K388" t="s">
        <v>637</v>
      </c>
      <c r="L388" t="s">
        <v>1996</v>
      </c>
      <c r="M388" t="s">
        <v>1307</v>
      </c>
      <c r="N388" t="s">
        <v>639</v>
      </c>
      <c r="O388" t="s">
        <v>1169</v>
      </c>
      <c r="P388" t="s">
        <v>637</v>
      </c>
      <c r="Q388" t="s">
        <v>1170</v>
      </c>
      <c r="R388" t="s">
        <v>1171</v>
      </c>
      <c r="S388" t="s">
        <v>1669</v>
      </c>
      <c r="T388" t="s">
        <v>676</v>
      </c>
      <c r="U388" t="s">
        <v>1994</v>
      </c>
    </row>
    <row r="389" spans="1:21" ht="14.25" x14ac:dyDescent="0.2">
      <c r="A389" t="s">
        <v>1294</v>
      </c>
      <c r="B389" t="s">
        <v>1295</v>
      </c>
      <c r="C389" t="s">
        <v>643</v>
      </c>
      <c r="D389" t="s">
        <v>344</v>
      </c>
      <c r="E389" t="s">
        <v>1168</v>
      </c>
      <c r="F389" t="s">
        <v>636</v>
      </c>
      <c r="G389" t="s">
        <v>34</v>
      </c>
      <c r="H389" t="s">
        <v>1994</v>
      </c>
      <c r="I389" t="s">
        <v>844</v>
      </c>
      <c r="J389" t="s">
        <v>1995</v>
      </c>
      <c r="K389" t="s">
        <v>637</v>
      </c>
      <c r="L389" t="s">
        <v>1996</v>
      </c>
      <c r="M389" t="s">
        <v>1307</v>
      </c>
      <c r="N389" t="s">
        <v>639</v>
      </c>
      <c r="O389" t="s">
        <v>1169</v>
      </c>
      <c r="P389" t="s">
        <v>637</v>
      </c>
      <c r="Q389" t="s">
        <v>1170</v>
      </c>
      <c r="R389" t="s">
        <v>1171</v>
      </c>
      <c r="S389" t="s">
        <v>1669</v>
      </c>
      <c r="T389" t="s">
        <v>676</v>
      </c>
      <c r="U389" t="s">
        <v>1994</v>
      </c>
    </row>
    <row r="390" spans="1:21" ht="14.25" x14ac:dyDescent="0.2">
      <c r="A390" t="s">
        <v>1294</v>
      </c>
      <c r="B390" t="s">
        <v>1295</v>
      </c>
      <c r="C390" t="s">
        <v>643</v>
      </c>
      <c r="D390" t="s">
        <v>326</v>
      </c>
      <c r="E390" t="s">
        <v>1173</v>
      </c>
      <c r="F390" t="s">
        <v>636</v>
      </c>
      <c r="G390" t="s">
        <v>925</v>
      </c>
      <c r="H390" t="s">
        <v>1997</v>
      </c>
      <c r="I390" t="s">
        <v>844</v>
      </c>
      <c r="J390" t="s">
        <v>1998</v>
      </c>
      <c r="K390" t="s">
        <v>637</v>
      </c>
      <c r="L390" t="s">
        <v>1999</v>
      </c>
      <c r="M390" t="s">
        <v>1307</v>
      </c>
      <c r="N390" t="s">
        <v>639</v>
      </c>
      <c r="O390" t="s">
        <v>1174</v>
      </c>
      <c r="P390" t="s">
        <v>637</v>
      </c>
      <c r="Q390" t="s">
        <v>1170</v>
      </c>
      <c r="R390" t="s">
        <v>721</v>
      </c>
      <c r="S390" t="s">
        <v>1175</v>
      </c>
      <c r="T390" t="s">
        <v>676</v>
      </c>
      <c r="U390" t="s">
        <v>1997</v>
      </c>
    </row>
    <row r="391" spans="1:21" ht="14.25" x14ac:dyDescent="0.2">
      <c r="A391" t="s">
        <v>1721</v>
      </c>
      <c r="B391" t="s">
        <v>643</v>
      </c>
      <c r="C391" t="s">
        <v>643</v>
      </c>
      <c r="D391" t="s">
        <v>105</v>
      </c>
      <c r="E391" t="s">
        <v>1156</v>
      </c>
      <c r="F391" t="s">
        <v>649</v>
      </c>
      <c r="G391" t="s">
        <v>48</v>
      </c>
      <c r="H391" t="s">
        <v>1956</v>
      </c>
      <c r="I391" t="s">
        <v>643</v>
      </c>
      <c r="J391" t="s">
        <v>643</v>
      </c>
      <c r="K391" t="s">
        <v>2380</v>
      </c>
      <c r="L391" t="s">
        <v>2431</v>
      </c>
      <c r="M391" t="s">
        <v>2432</v>
      </c>
      <c r="N391" t="s">
        <v>639</v>
      </c>
      <c r="O391" t="s">
        <v>1011</v>
      </c>
      <c r="P391" t="s">
        <v>727</v>
      </c>
      <c r="Q391" t="s">
        <v>643</v>
      </c>
      <c r="R391" t="s">
        <v>1015</v>
      </c>
      <c r="S391" t="s">
        <v>1020</v>
      </c>
      <c r="T391" t="s">
        <v>676</v>
      </c>
      <c r="U391" t="s">
        <v>1956</v>
      </c>
    </row>
    <row r="392" spans="1:21" ht="14.25" x14ac:dyDescent="0.2">
      <c r="A392" t="s">
        <v>1721</v>
      </c>
      <c r="B392" t="s">
        <v>643</v>
      </c>
      <c r="C392" t="s">
        <v>643</v>
      </c>
      <c r="D392" t="s">
        <v>105</v>
      </c>
      <c r="E392" t="s">
        <v>1156</v>
      </c>
      <c r="F392" t="s">
        <v>649</v>
      </c>
      <c r="G392" t="s">
        <v>48</v>
      </c>
      <c r="H392" t="s">
        <v>1956</v>
      </c>
      <c r="I392" t="s">
        <v>643</v>
      </c>
      <c r="J392" t="s">
        <v>643</v>
      </c>
      <c r="K392" t="s">
        <v>2380</v>
      </c>
      <c r="L392" t="s">
        <v>2431</v>
      </c>
      <c r="M392" t="s">
        <v>2432</v>
      </c>
      <c r="N392" t="s">
        <v>639</v>
      </c>
      <c r="O392" t="s">
        <v>1011</v>
      </c>
      <c r="P392" t="s">
        <v>727</v>
      </c>
      <c r="Q392" t="s">
        <v>643</v>
      </c>
      <c r="R392" t="s">
        <v>801</v>
      </c>
      <c r="S392" t="s">
        <v>2433</v>
      </c>
      <c r="T392" t="s">
        <v>2380</v>
      </c>
      <c r="U392" t="s">
        <v>1956</v>
      </c>
    </row>
    <row r="393" spans="1:21" ht="14.25" x14ac:dyDescent="0.2">
      <c r="A393" t="s">
        <v>1721</v>
      </c>
      <c r="B393" t="s">
        <v>643</v>
      </c>
      <c r="C393" t="s">
        <v>643</v>
      </c>
      <c r="D393" t="s">
        <v>105</v>
      </c>
      <c r="E393" t="s">
        <v>1156</v>
      </c>
      <c r="F393" t="s">
        <v>649</v>
      </c>
      <c r="G393" t="s">
        <v>48</v>
      </c>
      <c r="H393" t="s">
        <v>1956</v>
      </c>
      <c r="I393" t="s">
        <v>643</v>
      </c>
      <c r="J393" t="s">
        <v>643</v>
      </c>
      <c r="K393" t="s">
        <v>2380</v>
      </c>
      <c r="L393" t="s">
        <v>2431</v>
      </c>
      <c r="M393" t="s">
        <v>2432</v>
      </c>
      <c r="N393" t="s">
        <v>639</v>
      </c>
      <c r="O393" t="s">
        <v>1011</v>
      </c>
      <c r="P393" t="s">
        <v>727</v>
      </c>
      <c r="Q393" t="s">
        <v>643</v>
      </c>
      <c r="R393" t="s">
        <v>801</v>
      </c>
      <c r="S393" t="s">
        <v>2434</v>
      </c>
      <c r="T393" t="s">
        <v>2380</v>
      </c>
      <c r="U393" t="s">
        <v>1956</v>
      </c>
    </row>
    <row r="394" spans="1:21" ht="14.25" x14ac:dyDescent="0.2">
      <c r="A394" t="s">
        <v>1721</v>
      </c>
      <c r="B394" t="s">
        <v>643</v>
      </c>
      <c r="C394" t="s">
        <v>643</v>
      </c>
      <c r="D394" t="s">
        <v>105</v>
      </c>
      <c r="E394" t="s">
        <v>1156</v>
      </c>
      <c r="F394" t="s">
        <v>649</v>
      </c>
      <c r="G394" t="s">
        <v>48</v>
      </c>
      <c r="H394" t="s">
        <v>1956</v>
      </c>
      <c r="I394" t="s">
        <v>643</v>
      </c>
      <c r="J394" t="s">
        <v>643</v>
      </c>
      <c r="K394" t="s">
        <v>2380</v>
      </c>
      <c r="L394" t="s">
        <v>2431</v>
      </c>
      <c r="M394" t="s">
        <v>2432</v>
      </c>
      <c r="N394" t="s">
        <v>639</v>
      </c>
      <c r="O394" t="s">
        <v>1011</v>
      </c>
      <c r="P394" t="s">
        <v>727</v>
      </c>
      <c r="Q394" t="s">
        <v>643</v>
      </c>
      <c r="R394" t="s">
        <v>2435</v>
      </c>
      <c r="S394" t="s">
        <v>2436</v>
      </c>
      <c r="T394" t="s">
        <v>2380</v>
      </c>
      <c r="U394" t="s">
        <v>1956</v>
      </c>
    </row>
    <row r="395" spans="1:21" ht="14.25" x14ac:dyDescent="0.2">
      <c r="A395" t="s">
        <v>1721</v>
      </c>
      <c r="B395" t="s">
        <v>643</v>
      </c>
      <c r="C395" t="s">
        <v>643</v>
      </c>
      <c r="D395" t="s">
        <v>380</v>
      </c>
      <c r="E395" t="s">
        <v>1143</v>
      </c>
      <c r="F395" t="s">
        <v>649</v>
      </c>
      <c r="G395" t="s">
        <v>664</v>
      </c>
      <c r="H395" t="s">
        <v>1949</v>
      </c>
      <c r="I395" t="s">
        <v>1011</v>
      </c>
      <c r="J395" t="s">
        <v>1950</v>
      </c>
      <c r="K395" t="s">
        <v>727</v>
      </c>
      <c r="L395" t="s">
        <v>2348</v>
      </c>
      <c r="M395" t="s">
        <v>2346</v>
      </c>
      <c r="N395" t="s">
        <v>639</v>
      </c>
      <c r="O395" t="s">
        <v>1011</v>
      </c>
      <c r="P395" t="s">
        <v>727</v>
      </c>
      <c r="Q395" t="s">
        <v>1009</v>
      </c>
      <c r="R395" t="s">
        <v>1015</v>
      </c>
      <c r="S395" t="s">
        <v>1020</v>
      </c>
      <c r="T395" t="s">
        <v>676</v>
      </c>
      <c r="U395" t="s">
        <v>1949</v>
      </c>
    </row>
    <row r="396" spans="1:21" ht="14.25" x14ac:dyDescent="0.2">
      <c r="A396" t="s">
        <v>1721</v>
      </c>
      <c r="B396" t="s">
        <v>643</v>
      </c>
      <c r="C396" t="s">
        <v>643</v>
      </c>
      <c r="D396" t="s">
        <v>380</v>
      </c>
      <c r="E396" t="s">
        <v>1143</v>
      </c>
      <c r="F396" t="s">
        <v>649</v>
      </c>
      <c r="G396" t="s">
        <v>664</v>
      </c>
      <c r="H396" t="s">
        <v>1949</v>
      </c>
      <c r="I396" t="s">
        <v>1011</v>
      </c>
      <c r="J396" t="s">
        <v>1950</v>
      </c>
      <c r="K396" t="s">
        <v>727</v>
      </c>
      <c r="L396" t="s">
        <v>2348</v>
      </c>
      <c r="M396" t="s">
        <v>2346</v>
      </c>
      <c r="N396" t="s">
        <v>639</v>
      </c>
      <c r="O396" t="s">
        <v>1011</v>
      </c>
      <c r="P396" t="s">
        <v>727</v>
      </c>
      <c r="Q396" t="s">
        <v>1009</v>
      </c>
      <c r="R396" t="s">
        <v>721</v>
      </c>
      <c r="S396" t="s">
        <v>1951</v>
      </c>
      <c r="T396" t="s">
        <v>676</v>
      </c>
      <c r="U396" t="s">
        <v>1949</v>
      </c>
    </row>
    <row r="397" spans="1:21" ht="14.25" x14ac:dyDescent="0.2">
      <c r="A397" t="s">
        <v>1721</v>
      </c>
      <c r="B397" t="s">
        <v>643</v>
      </c>
      <c r="C397" t="s">
        <v>643</v>
      </c>
      <c r="D397" t="s">
        <v>380</v>
      </c>
      <c r="E397" t="s">
        <v>1143</v>
      </c>
      <c r="F397" t="s">
        <v>649</v>
      </c>
      <c r="G397" t="s">
        <v>664</v>
      </c>
      <c r="H397" t="s">
        <v>1949</v>
      </c>
      <c r="I397" t="s">
        <v>1011</v>
      </c>
      <c r="J397" t="s">
        <v>1950</v>
      </c>
      <c r="K397" t="s">
        <v>727</v>
      </c>
      <c r="L397" t="s">
        <v>2348</v>
      </c>
      <c r="M397" t="s">
        <v>2346</v>
      </c>
      <c r="N397" t="s">
        <v>639</v>
      </c>
      <c r="O397" t="s">
        <v>1011</v>
      </c>
      <c r="P397" t="s">
        <v>727</v>
      </c>
      <c r="Q397" t="s">
        <v>1009</v>
      </c>
      <c r="R397" t="s">
        <v>721</v>
      </c>
      <c r="S397" t="s">
        <v>1952</v>
      </c>
      <c r="T397" t="s">
        <v>676</v>
      </c>
      <c r="U397" t="s">
        <v>1949</v>
      </c>
    </row>
    <row r="398" spans="1:21" ht="14.25" x14ac:dyDescent="0.2">
      <c r="A398" t="s">
        <v>1721</v>
      </c>
      <c r="B398" t="s">
        <v>643</v>
      </c>
      <c r="C398" t="s">
        <v>643</v>
      </c>
      <c r="D398" t="s">
        <v>380</v>
      </c>
      <c r="E398" t="s">
        <v>1143</v>
      </c>
      <c r="F398" t="s">
        <v>649</v>
      </c>
      <c r="G398" t="s">
        <v>664</v>
      </c>
      <c r="H398" t="s">
        <v>1949</v>
      </c>
      <c r="I398" t="s">
        <v>1011</v>
      </c>
      <c r="J398" t="s">
        <v>1950</v>
      </c>
      <c r="K398" t="s">
        <v>727</v>
      </c>
      <c r="L398" t="s">
        <v>2348</v>
      </c>
      <c r="M398" t="s">
        <v>2346</v>
      </c>
      <c r="N398" t="s">
        <v>639</v>
      </c>
      <c r="O398" t="s">
        <v>1011</v>
      </c>
      <c r="P398" t="s">
        <v>727</v>
      </c>
      <c r="Q398" t="s">
        <v>1009</v>
      </c>
      <c r="R398" t="s">
        <v>721</v>
      </c>
      <c r="S398" t="s">
        <v>830</v>
      </c>
      <c r="T398" t="s">
        <v>676</v>
      </c>
      <c r="U398" t="s">
        <v>1949</v>
      </c>
    </row>
    <row r="399" spans="1:21" ht="14.25" x14ac:dyDescent="0.2">
      <c r="A399" t="s">
        <v>1721</v>
      </c>
      <c r="B399" t="s">
        <v>643</v>
      </c>
      <c r="C399" t="s">
        <v>643</v>
      </c>
      <c r="D399" t="s">
        <v>380</v>
      </c>
      <c r="E399" t="s">
        <v>1143</v>
      </c>
      <c r="F399" t="s">
        <v>649</v>
      </c>
      <c r="G399" t="s">
        <v>664</v>
      </c>
      <c r="H399" t="s">
        <v>1949</v>
      </c>
      <c r="I399" t="s">
        <v>1011</v>
      </c>
      <c r="J399" t="s">
        <v>1950</v>
      </c>
      <c r="K399" t="s">
        <v>727</v>
      </c>
      <c r="L399" t="s">
        <v>2348</v>
      </c>
      <c r="M399" t="s">
        <v>2346</v>
      </c>
      <c r="N399" t="s">
        <v>639</v>
      </c>
      <c r="O399" t="s">
        <v>1011</v>
      </c>
      <c r="P399" t="s">
        <v>727</v>
      </c>
      <c r="Q399" t="s">
        <v>1009</v>
      </c>
      <c r="R399" t="s">
        <v>721</v>
      </c>
      <c r="S399" t="s">
        <v>1953</v>
      </c>
      <c r="T399" t="s">
        <v>676</v>
      </c>
      <c r="U399" t="s">
        <v>1949</v>
      </c>
    </row>
    <row r="400" spans="1:21" ht="14.25" x14ac:dyDescent="0.2">
      <c r="A400" t="s">
        <v>1721</v>
      </c>
      <c r="B400" t="s">
        <v>643</v>
      </c>
      <c r="C400" t="s">
        <v>643</v>
      </c>
      <c r="D400" t="s">
        <v>380</v>
      </c>
      <c r="E400" t="s">
        <v>1143</v>
      </c>
      <c r="F400" t="s">
        <v>649</v>
      </c>
      <c r="G400" t="s">
        <v>664</v>
      </c>
      <c r="H400" t="s">
        <v>1949</v>
      </c>
      <c r="I400" t="s">
        <v>1011</v>
      </c>
      <c r="J400" t="s">
        <v>1950</v>
      </c>
      <c r="K400" t="s">
        <v>727</v>
      </c>
      <c r="L400" t="s">
        <v>2348</v>
      </c>
      <c r="M400" t="s">
        <v>2346</v>
      </c>
      <c r="N400" t="s">
        <v>639</v>
      </c>
      <c r="O400" t="s">
        <v>1011</v>
      </c>
      <c r="P400" t="s">
        <v>727</v>
      </c>
      <c r="Q400" t="s">
        <v>1009</v>
      </c>
      <c r="R400" t="s">
        <v>721</v>
      </c>
      <c r="S400" t="s">
        <v>1954</v>
      </c>
      <c r="T400" t="s">
        <v>676</v>
      </c>
      <c r="U400" t="s">
        <v>1949</v>
      </c>
    </row>
    <row r="401" spans="1:21" ht="14.25" x14ac:dyDescent="0.2">
      <c r="A401" t="s">
        <v>1721</v>
      </c>
      <c r="B401" t="s">
        <v>643</v>
      </c>
      <c r="C401" t="s">
        <v>643</v>
      </c>
      <c r="D401" t="s">
        <v>398</v>
      </c>
      <c r="E401" t="s">
        <v>1150</v>
      </c>
      <c r="F401" t="s">
        <v>636</v>
      </c>
      <c r="G401" t="s">
        <v>664</v>
      </c>
      <c r="H401" t="s">
        <v>1968</v>
      </c>
      <c r="I401" t="s">
        <v>1011</v>
      </c>
      <c r="J401" t="s">
        <v>1969</v>
      </c>
      <c r="K401" t="s">
        <v>727</v>
      </c>
      <c r="L401" t="s">
        <v>1970</v>
      </c>
      <c r="M401" t="s">
        <v>1971</v>
      </c>
      <c r="N401" t="s">
        <v>639</v>
      </c>
      <c r="O401" t="s">
        <v>1011</v>
      </c>
      <c r="P401" t="s">
        <v>727</v>
      </c>
      <c r="Q401" t="s">
        <v>1009</v>
      </c>
      <c r="R401" t="s">
        <v>1015</v>
      </c>
      <c r="S401" t="s">
        <v>1020</v>
      </c>
      <c r="T401" t="s">
        <v>676</v>
      </c>
      <c r="U401" t="s">
        <v>1968</v>
      </c>
    </row>
    <row r="402" spans="1:21" ht="14.25" x14ac:dyDescent="0.2">
      <c r="A402" t="s">
        <v>1721</v>
      </c>
      <c r="B402" t="s">
        <v>643</v>
      </c>
      <c r="C402" t="s">
        <v>643</v>
      </c>
      <c r="D402" t="s">
        <v>398</v>
      </c>
      <c r="E402" t="s">
        <v>1150</v>
      </c>
      <c r="F402" t="s">
        <v>636</v>
      </c>
      <c r="G402" t="s">
        <v>664</v>
      </c>
      <c r="H402" t="s">
        <v>1968</v>
      </c>
      <c r="I402" t="s">
        <v>1011</v>
      </c>
      <c r="J402" t="s">
        <v>1969</v>
      </c>
      <c r="K402" t="s">
        <v>727</v>
      </c>
      <c r="L402" t="s">
        <v>1970</v>
      </c>
      <c r="M402" t="s">
        <v>1971</v>
      </c>
      <c r="N402" t="s">
        <v>639</v>
      </c>
      <c r="O402" t="s">
        <v>1011</v>
      </c>
      <c r="P402" t="s">
        <v>727</v>
      </c>
      <c r="Q402" t="s">
        <v>1009</v>
      </c>
      <c r="R402" t="s">
        <v>721</v>
      </c>
      <c r="S402" t="s">
        <v>1136</v>
      </c>
      <c r="T402" t="s">
        <v>676</v>
      </c>
      <c r="U402" t="s">
        <v>1968</v>
      </c>
    </row>
    <row r="403" spans="1:21" ht="14.25" x14ac:dyDescent="0.2">
      <c r="A403" t="s">
        <v>1721</v>
      </c>
      <c r="B403" t="s">
        <v>643</v>
      </c>
      <c r="C403" t="s">
        <v>643</v>
      </c>
      <c r="D403" t="s">
        <v>398</v>
      </c>
      <c r="E403" t="s">
        <v>1150</v>
      </c>
      <c r="F403" t="s">
        <v>636</v>
      </c>
      <c r="G403" t="s">
        <v>664</v>
      </c>
      <c r="H403" t="s">
        <v>1968</v>
      </c>
      <c r="I403" t="s">
        <v>1011</v>
      </c>
      <c r="J403" t="s">
        <v>1969</v>
      </c>
      <c r="K403" t="s">
        <v>727</v>
      </c>
      <c r="L403" t="s">
        <v>1970</v>
      </c>
      <c r="M403" t="s">
        <v>1971</v>
      </c>
      <c r="N403" t="s">
        <v>639</v>
      </c>
      <c r="O403" t="s">
        <v>1011</v>
      </c>
      <c r="P403" t="s">
        <v>727</v>
      </c>
      <c r="Q403" t="s">
        <v>1009</v>
      </c>
      <c r="R403" t="s">
        <v>721</v>
      </c>
      <c r="S403" t="s">
        <v>1973</v>
      </c>
      <c r="T403" t="s">
        <v>676</v>
      </c>
      <c r="U403" t="s">
        <v>1968</v>
      </c>
    </row>
    <row r="404" spans="1:21" ht="14.25" x14ac:dyDescent="0.2">
      <c r="A404" t="s">
        <v>1351</v>
      </c>
      <c r="B404" t="s">
        <v>1371</v>
      </c>
      <c r="C404" t="s">
        <v>643</v>
      </c>
      <c r="D404" t="s">
        <v>432</v>
      </c>
      <c r="E404" t="s">
        <v>1116</v>
      </c>
      <c r="F404" t="s">
        <v>636</v>
      </c>
      <c r="G404" t="s">
        <v>27</v>
      </c>
      <c r="H404" t="s">
        <v>1912</v>
      </c>
      <c r="I404" t="s">
        <v>727</v>
      </c>
      <c r="J404" t="s">
        <v>1913</v>
      </c>
      <c r="K404" t="s">
        <v>673</v>
      </c>
      <c r="L404" t="s">
        <v>1914</v>
      </c>
      <c r="M404" t="s">
        <v>1386</v>
      </c>
      <c r="N404" t="s">
        <v>639</v>
      </c>
      <c r="O404" t="s">
        <v>755</v>
      </c>
      <c r="P404" t="s">
        <v>673</v>
      </c>
      <c r="Q404" t="s">
        <v>713</v>
      </c>
      <c r="R404" t="s">
        <v>643</v>
      </c>
      <c r="S404" t="s">
        <v>643</v>
      </c>
      <c r="T404" t="s">
        <v>643</v>
      </c>
      <c r="U404" t="s">
        <v>1912</v>
      </c>
    </row>
    <row r="405" spans="1:21" ht="14.25" x14ac:dyDescent="0.2">
      <c r="A405" t="s">
        <v>1351</v>
      </c>
      <c r="B405" t="s">
        <v>1371</v>
      </c>
      <c r="C405" t="s">
        <v>643</v>
      </c>
      <c r="D405" t="s">
        <v>518</v>
      </c>
      <c r="E405" t="s">
        <v>758</v>
      </c>
      <c r="F405" t="s">
        <v>649</v>
      </c>
      <c r="G405" t="s">
        <v>16</v>
      </c>
      <c r="H405" t="s">
        <v>1427</v>
      </c>
      <c r="I405" t="s">
        <v>727</v>
      </c>
      <c r="J405" t="s">
        <v>1428</v>
      </c>
      <c r="K405" t="s">
        <v>643</v>
      </c>
      <c r="L405" t="s">
        <v>643</v>
      </c>
      <c r="M405" t="s">
        <v>1429</v>
      </c>
      <c r="N405" t="s">
        <v>693</v>
      </c>
      <c r="O405" t="s">
        <v>759</v>
      </c>
      <c r="P405" t="s">
        <v>673</v>
      </c>
      <c r="Q405" t="s">
        <v>713</v>
      </c>
      <c r="R405" t="s">
        <v>721</v>
      </c>
      <c r="S405" t="s">
        <v>760</v>
      </c>
      <c r="T405" t="s">
        <v>676</v>
      </c>
      <c r="U405" t="s">
        <v>1427</v>
      </c>
    </row>
    <row r="406" spans="1:21" ht="14.25" x14ac:dyDescent="0.2">
      <c r="A406" t="s">
        <v>2016</v>
      </c>
      <c r="B406" t="s">
        <v>2017</v>
      </c>
      <c r="C406" t="s">
        <v>643</v>
      </c>
      <c r="D406" t="s">
        <v>1189</v>
      </c>
      <c r="E406" t="s">
        <v>1188</v>
      </c>
      <c r="F406" t="s">
        <v>636</v>
      </c>
      <c r="G406" t="s">
        <v>37</v>
      </c>
      <c r="H406" t="s">
        <v>1994</v>
      </c>
      <c r="I406" t="s">
        <v>643</v>
      </c>
      <c r="J406" t="s">
        <v>643</v>
      </c>
      <c r="K406" t="s">
        <v>676</v>
      </c>
      <c r="L406" t="s">
        <v>2018</v>
      </c>
      <c r="M406" t="s">
        <v>2019</v>
      </c>
      <c r="N406" t="s">
        <v>639</v>
      </c>
      <c r="O406" t="s">
        <v>1161</v>
      </c>
      <c r="P406" t="s">
        <v>656</v>
      </c>
      <c r="Q406" t="s">
        <v>643</v>
      </c>
      <c r="R406" t="s">
        <v>643</v>
      </c>
      <c r="S406" t="s">
        <v>643</v>
      </c>
      <c r="T406" t="s">
        <v>643</v>
      </c>
      <c r="U406" t="s">
        <v>1994</v>
      </c>
    </row>
    <row r="407" spans="1:21" ht="14.25" x14ac:dyDescent="0.2">
      <c r="A407" t="s">
        <v>1721</v>
      </c>
      <c r="B407" t="s">
        <v>643</v>
      </c>
      <c r="C407" t="s">
        <v>643</v>
      </c>
      <c r="D407" t="s">
        <v>416</v>
      </c>
      <c r="E407" t="s">
        <v>1152</v>
      </c>
      <c r="F407" t="s">
        <v>709</v>
      </c>
      <c r="G407" t="s">
        <v>925</v>
      </c>
      <c r="H407" t="s">
        <v>1725</v>
      </c>
      <c r="I407" t="s">
        <v>1011</v>
      </c>
      <c r="J407" t="s">
        <v>1974</v>
      </c>
      <c r="K407" t="s">
        <v>2380</v>
      </c>
      <c r="L407" t="s">
        <v>2437</v>
      </c>
      <c r="M407" t="s">
        <v>2438</v>
      </c>
      <c r="N407" t="s">
        <v>639</v>
      </c>
      <c r="O407" t="s">
        <v>1011</v>
      </c>
      <c r="P407" t="s">
        <v>727</v>
      </c>
      <c r="Q407" t="s">
        <v>1009</v>
      </c>
      <c r="R407" t="s">
        <v>721</v>
      </c>
      <c r="S407" t="s">
        <v>1153</v>
      </c>
      <c r="T407" t="s">
        <v>676</v>
      </c>
      <c r="U407" t="s">
        <v>1725</v>
      </c>
    </row>
    <row r="408" spans="1:21" ht="14.25" x14ac:dyDescent="0.2">
      <c r="A408" t="s">
        <v>1721</v>
      </c>
      <c r="B408" t="s">
        <v>643</v>
      </c>
      <c r="C408" t="s">
        <v>643</v>
      </c>
      <c r="D408" t="s">
        <v>416</v>
      </c>
      <c r="E408" t="s">
        <v>1152</v>
      </c>
      <c r="F408" t="s">
        <v>709</v>
      </c>
      <c r="G408" t="s">
        <v>925</v>
      </c>
      <c r="H408" t="s">
        <v>1725</v>
      </c>
      <c r="I408" t="s">
        <v>1011</v>
      </c>
      <c r="J408" t="s">
        <v>1974</v>
      </c>
      <c r="K408" t="s">
        <v>2380</v>
      </c>
      <c r="L408" t="s">
        <v>2437</v>
      </c>
      <c r="M408" t="s">
        <v>2438</v>
      </c>
      <c r="N408" t="s">
        <v>639</v>
      </c>
      <c r="O408" t="s">
        <v>1011</v>
      </c>
      <c r="P408" t="s">
        <v>727</v>
      </c>
      <c r="Q408" t="s">
        <v>1009</v>
      </c>
      <c r="R408" t="s">
        <v>830</v>
      </c>
      <c r="S408" t="s">
        <v>1979</v>
      </c>
      <c r="T408" t="s">
        <v>676</v>
      </c>
      <c r="U408" t="s">
        <v>1725</v>
      </c>
    </row>
    <row r="409" spans="1:21" ht="14.25" x14ac:dyDescent="0.2">
      <c r="A409" t="s">
        <v>1721</v>
      </c>
      <c r="B409" t="s">
        <v>643</v>
      </c>
      <c r="C409" t="s">
        <v>643</v>
      </c>
      <c r="D409" t="s">
        <v>416</v>
      </c>
      <c r="E409" t="s">
        <v>1152</v>
      </c>
      <c r="F409" t="s">
        <v>709</v>
      </c>
      <c r="G409" t="s">
        <v>925</v>
      </c>
      <c r="H409" t="s">
        <v>1725</v>
      </c>
      <c r="I409" t="s">
        <v>1011</v>
      </c>
      <c r="J409" t="s">
        <v>1974</v>
      </c>
      <c r="K409" t="s">
        <v>2380</v>
      </c>
      <c r="L409" t="s">
        <v>2437</v>
      </c>
      <c r="M409" t="s">
        <v>2438</v>
      </c>
      <c r="N409" t="s">
        <v>639</v>
      </c>
      <c r="O409" t="s">
        <v>1011</v>
      </c>
      <c r="P409" t="s">
        <v>727</v>
      </c>
      <c r="Q409" t="s">
        <v>1009</v>
      </c>
      <c r="R409" t="s">
        <v>2439</v>
      </c>
      <c r="S409" t="s">
        <v>2440</v>
      </c>
      <c r="T409" t="s">
        <v>2380</v>
      </c>
      <c r="U409" t="s">
        <v>1725</v>
      </c>
    </row>
    <row r="410" spans="1:21" ht="14.25" x14ac:dyDescent="0.2">
      <c r="A410" t="s">
        <v>1294</v>
      </c>
      <c r="B410" t="s">
        <v>1446</v>
      </c>
      <c r="C410" t="s">
        <v>643</v>
      </c>
      <c r="D410" t="s">
        <v>379</v>
      </c>
      <c r="E410" t="s">
        <v>1191</v>
      </c>
      <c r="F410" t="s">
        <v>649</v>
      </c>
      <c r="G410" t="s">
        <v>34</v>
      </c>
      <c r="H410" t="s">
        <v>2022</v>
      </c>
      <c r="I410" t="s">
        <v>785</v>
      </c>
      <c r="J410" t="s">
        <v>2023</v>
      </c>
      <c r="K410" t="s">
        <v>637</v>
      </c>
      <c r="L410" t="s">
        <v>2596</v>
      </c>
      <c r="M410" t="s">
        <v>2552</v>
      </c>
      <c r="N410" t="s">
        <v>639</v>
      </c>
      <c r="O410" t="s">
        <v>785</v>
      </c>
      <c r="P410" t="s">
        <v>637</v>
      </c>
      <c r="Q410" t="s">
        <v>786</v>
      </c>
      <c r="R410" t="s">
        <v>782</v>
      </c>
      <c r="S410" t="s">
        <v>783</v>
      </c>
      <c r="T410" t="s">
        <v>676</v>
      </c>
      <c r="U410" t="s">
        <v>2022</v>
      </c>
    </row>
    <row r="411" spans="1:21" ht="14.25" x14ac:dyDescent="0.2">
      <c r="A411" t="s">
        <v>1294</v>
      </c>
      <c r="B411" t="s">
        <v>1446</v>
      </c>
      <c r="C411" t="s">
        <v>643</v>
      </c>
      <c r="D411" t="s">
        <v>379</v>
      </c>
      <c r="E411" t="s">
        <v>1191</v>
      </c>
      <c r="F411" t="s">
        <v>649</v>
      </c>
      <c r="G411" t="s">
        <v>34</v>
      </c>
      <c r="H411" t="s">
        <v>2022</v>
      </c>
      <c r="I411" t="s">
        <v>785</v>
      </c>
      <c r="J411" t="s">
        <v>2023</v>
      </c>
      <c r="K411" t="s">
        <v>637</v>
      </c>
      <c r="L411" t="s">
        <v>2596</v>
      </c>
      <c r="M411" t="s">
        <v>2552</v>
      </c>
      <c r="N411" t="s">
        <v>639</v>
      </c>
      <c r="O411" t="s">
        <v>785</v>
      </c>
      <c r="P411" t="s">
        <v>637</v>
      </c>
      <c r="Q411" t="s">
        <v>786</v>
      </c>
      <c r="R411" t="s">
        <v>782</v>
      </c>
      <c r="S411" t="s">
        <v>783</v>
      </c>
      <c r="T411" t="s">
        <v>676</v>
      </c>
      <c r="U411" t="s">
        <v>2022</v>
      </c>
    </row>
    <row r="412" spans="1:21" ht="14.25" x14ac:dyDescent="0.2">
      <c r="A412" t="s">
        <v>1294</v>
      </c>
      <c r="B412" t="s">
        <v>1446</v>
      </c>
      <c r="C412" t="s">
        <v>643</v>
      </c>
      <c r="D412" t="s">
        <v>379</v>
      </c>
      <c r="E412" t="s">
        <v>1191</v>
      </c>
      <c r="F412" t="s">
        <v>649</v>
      </c>
      <c r="G412" t="s">
        <v>34</v>
      </c>
      <c r="H412" t="s">
        <v>2022</v>
      </c>
      <c r="I412" t="s">
        <v>785</v>
      </c>
      <c r="J412" t="s">
        <v>2023</v>
      </c>
      <c r="K412" t="s">
        <v>637</v>
      </c>
      <c r="L412" t="s">
        <v>2596</v>
      </c>
      <c r="M412" t="s">
        <v>2552</v>
      </c>
      <c r="N412" t="s">
        <v>639</v>
      </c>
      <c r="O412" t="s">
        <v>785</v>
      </c>
      <c r="P412" t="s">
        <v>637</v>
      </c>
      <c r="Q412" t="s">
        <v>786</v>
      </c>
      <c r="R412" t="s">
        <v>782</v>
      </c>
      <c r="S412" t="s">
        <v>2024</v>
      </c>
      <c r="T412" t="s">
        <v>676</v>
      </c>
      <c r="U412" t="s">
        <v>2022</v>
      </c>
    </row>
    <row r="413" spans="1:21" ht="14.25" x14ac:dyDescent="0.2">
      <c r="A413" t="s">
        <v>1294</v>
      </c>
      <c r="B413" t="s">
        <v>1446</v>
      </c>
      <c r="C413" t="s">
        <v>643</v>
      </c>
      <c r="D413" t="s">
        <v>379</v>
      </c>
      <c r="E413" t="s">
        <v>1191</v>
      </c>
      <c r="F413" t="s">
        <v>649</v>
      </c>
      <c r="G413" t="s">
        <v>34</v>
      </c>
      <c r="H413" t="s">
        <v>2022</v>
      </c>
      <c r="I413" t="s">
        <v>785</v>
      </c>
      <c r="J413" t="s">
        <v>2023</v>
      </c>
      <c r="K413" t="s">
        <v>637</v>
      </c>
      <c r="L413" t="s">
        <v>2596</v>
      </c>
      <c r="M413" t="s">
        <v>2552</v>
      </c>
      <c r="N413" t="s">
        <v>639</v>
      </c>
      <c r="O413" t="s">
        <v>785</v>
      </c>
      <c r="P413" t="s">
        <v>637</v>
      </c>
      <c r="Q413" t="s">
        <v>786</v>
      </c>
      <c r="R413" t="s">
        <v>721</v>
      </c>
      <c r="S413" t="s">
        <v>2025</v>
      </c>
      <c r="T413" t="s">
        <v>676</v>
      </c>
      <c r="U413" t="s">
        <v>2022</v>
      </c>
    </row>
    <row r="414" spans="1:21" ht="14.25" x14ac:dyDescent="0.2">
      <c r="A414" t="s">
        <v>1464</v>
      </c>
      <c r="B414" t="s">
        <v>1481</v>
      </c>
      <c r="C414" t="s">
        <v>643</v>
      </c>
      <c r="D414" t="s">
        <v>420</v>
      </c>
      <c r="E414" t="s">
        <v>1192</v>
      </c>
      <c r="F414" t="s">
        <v>636</v>
      </c>
      <c r="G414" t="s">
        <v>27</v>
      </c>
      <c r="H414" t="s">
        <v>2026</v>
      </c>
      <c r="I414" t="s">
        <v>855</v>
      </c>
      <c r="J414" t="s">
        <v>2027</v>
      </c>
      <c r="K414" t="s">
        <v>790</v>
      </c>
      <c r="L414" t="s">
        <v>2028</v>
      </c>
      <c r="M414" t="s">
        <v>1933</v>
      </c>
      <c r="N414" t="s">
        <v>639</v>
      </c>
      <c r="O414" t="s">
        <v>855</v>
      </c>
      <c r="P414" t="s">
        <v>790</v>
      </c>
      <c r="Q414" t="s">
        <v>857</v>
      </c>
      <c r="R414" t="s">
        <v>643</v>
      </c>
      <c r="S414" t="s">
        <v>643</v>
      </c>
      <c r="T414" t="s">
        <v>643</v>
      </c>
      <c r="U414" t="s">
        <v>2026</v>
      </c>
    </row>
    <row r="415" spans="1:21" ht="14.25" x14ac:dyDescent="0.2">
      <c r="A415" t="s">
        <v>1464</v>
      </c>
      <c r="B415" t="s">
        <v>1481</v>
      </c>
      <c r="C415" t="s">
        <v>643</v>
      </c>
      <c r="D415" t="s">
        <v>428</v>
      </c>
      <c r="E415" t="s">
        <v>1193</v>
      </c>
      <c r="F415" t="s">
        <v>636</v>
      </c>
      <c r="G415" t="s">
        <v>27</v>
      </c>
      <c r="H415" t="s">
        <v>2029</v>
      </c>
      <c r="I415" t="s">
        <v>855</v>
      </c>
      <c r="J415" t="s">
        <v>2030</v>
      </c>
      <c r="K415" t="s">
        <v>790</v>
      </c>
      <c r="L415" t="s">
        <v>2031</v>
      </c>
      <c r="M415" t="s">
        <v>1933</v>
      </c>
      <c r="N415" t="s">
        <v>639</v>
      </c>
      <c r="O415" t="s">
        <v>855</v>
      </c>
      <c r="P415" t="s">
        <v>790</v>
      </c>
      <c r="Q415" t="s">
        <v>857</v>
      </c>
      <c r="R415" t="s">
        <v>643</v>
      </c>
      <c r="S415" t="s">
        <v>643</v>
      </c>
      <c r="T415" t="s">
        <v>643</v>
      </c>
      <c r="U415" t="s">
        <v>2029</v>
      </c>
    </row>
    <row r="416" spans="1:21" ht="14.25" x14ac:dyDescent="0.2">
      <c r="A416" t="s">
        <v>1464</v>
      </c>
      <c r="B416" t="s">
        <v>1465</v>
      </c>
      <c r="C416" t="s">
        <v>643</v>
      </c>
      <c r="D416" t="s">
        <v>385</v>
      </c>
      <c r="E416" t="s">
        <v>1194</v>
      </c>
      <c r="F416" t="s">
        <v>636</v>
      </c>
      <c r="G416" t="s">
        <v>16</v>
      </c>
      <c r="H416" t="s">
        <v>2032</v>
      </c>
      <c r="I416" t="s">
        <v>789</v>
      </c>
      <c r="J416" t="s">
        <v>2033</v>
      </c>
      <c r="K416" t="s">
        <v>790</v>
      </c>
      <c r="L416" t="s">
        <v>2034</v>
      </c>
      <c r="M416" t="s">
        <v>1480</v>
      </c>
      <c r="N416" t="s">
        <v>639</v>
      </c>
      <c r="O416" t="s">
        <v>789</v>
      </c>
      <c r="P416" t="s">
        <v>790</v>
      </c>
      <c r="Q416" t="s">
        <v>796</v>
      </c>
      <c r="R416" t="s">
        <v>643</v>
      </c>
      <c r="S416" t="s">
        <v>643</v>
      </c>
      <c r="T416" t="s">
        <v>643</v>
      </c>
      <c r="U416" t="s">
        <v>2032</v>
      </c>
    </row>
    <row r="417" spans="1:21" ht="14.25" x14ac:dyDescent="0.2">
      <c r="A417" t="s">
        <v>1464</v>
      </c>
      <c r="B417" t="s">
        <v>1465</v>
      </c>
      <c r="C417" t="s">
        <v>643</v>
      </c>
      <c r="D417" t="s">
        <v>447</v>
      </c>
      <c r="E417" t="s">
        <v>1195</v>
      </c>
      <c r="F417" t="s">
        <v>636</v>
      </c>
      <c r="G417" t="s">
        <v>16</v>
      </c>
      <c r="H417" t="s">
        <v>2035</v>
      </c>
      <c r="I417" t="s">
        <v>789</v>
      </c>
      <c r="J417" t="s">
        <v>2036</v>
      </c>
      <c r="K417" t="s">
        <v>790</v>
      </c>
      <c r="L417" t="s">
        <v>2037</v>
      </c>
      <c r="M417" t="s">
        <v>1480</v>
      </c>
      <c r="N417" t="s">
        <v>639</v>
      </c>
      <c r="O417" t="s">
        <v>789</v>
      </c>
      <c r="P417" t="s">
        <v>790</v>
      </c>
      <c r="Q417" t="s">
        <v>796</v>
      </c>
      <c r="R417" t="s">
        <v>1196</v>
      </c>
      <c r="S417" t="s">
        <v>1196</v>
      </c>
      <c r="T417" t="s">
        <v>703</v>
      </c>
      <c r="U417" t="s">
        <v>2035</v>
      </c>
    </row>
    <row r="418" spans="1:21" ht="14.25" x14ac:dyDescent="0.2">
      <c r="A418" t="s">
        <v>1464</v>
      </c>
      <c r="B418" t="s">
        <v>1465</v>
      </c>
      <c r="C418" t="s">
        <v>643</v>
      </c>
      <c r="D418" t="s">
        <v>447</v>
      </c>
      <c r="E418" t="s">
        <v>1195</v>
      </c>
      <c r="F418" t="s">
        <v>636</v>
      </c>
      <c r="G418" t="s">
        <v>16</v>
      </c>
      <c r="H418" t="s">
        <v>2035</v>
      </c>
      <c r="I418" t="s">
        <v>789</v>
      </c>
      <c r="J418" t="s">
        <v>2036</v>
      </c>
      <c r="K418" t="s">
        <v>790</v>
      </c>
      <c r="L418" t="s">
        <v>2037</v>
      </c>
      <c r="M418" t="s">
        <v>1480</v>
      </c>
      <c r="N418" t="s">
        <v>639</v>
      </c>
      <c r="O418" t="s">
        <v>789</v>
      </c>
      <c r="P418" t="s">
        <v>790</v>
      </c>
      <c r="Q418" t="s">
        <v>796</v>
      </c>
      <c r="R418" t="s">
        <v>2038</v>
      </c>
      <c r="S418" t="s">
        <v>2039</v>
      </c>
      <c r="T418" t="s">
        <v>703</v>
      </c>
      <c r="U418" t="s">
        <v>2035</v>
      </c>
    </row>
    <row r="419" spans="1:21" ht="14.25" x14ac:dyDescent="0.2">
      <c r="A419" t="s">
        <v>1464</v>
      </c>
      <c r="B419" t="s">
        <v>1584</v>
      </c>
      <c r="C419" t="s">
        <v>643</v>
      </c>
      <c r="D419" t="s">
        <v>303</v>
      </c>
      <c r="E419" t="s">
        <v>1197</v>
      </c>
      <c r="F419" t="s">
        <v>636</v>
      </c>
      <c r="G419" t="s">
        <v>37</v>
      </c>
      <c r="H419" t="s">
        <v>2040</v>
      </c>
      <c r="I419" t="s">
        <v>790</v>
      </c>
      <c r="J419" t="s">
        <v>2041</v>
      </c>
      <c r="K419" t="s">
        <v>790</v>
      </c>
      <c r="L419" t="s">
        <v>2042</v>
      </c>
      <c r="M419" t="s">
        <v>1480</v>
      </c>
      <c r="N419" t="s">
        <v>639</v>
      </c>
      <c r="O419" t="s">
        <v>790</v>
      </c>
      <c r="P419" t="s">
        <v>790</v>
      </c>
      <c r="Q419" t="s">
        <v>895</v>
      </c>
      <c r="R419" t="s">
        <v>643</v>
      </c>
      <c r="S419" t="s">
        <v>643</v>
      </c>
      <c r="T419" t="s">
        <v>643</v>
      </c>
      <c r="U419" t="s">
        <v>2040</v>
      </c>
    </row>
    <row r="420" spans="1:21" ht="14.25" x14ac:dyDescent="0.2">
      <c r="A420" t="s">
        <v>1351</v>
      </c>
      <c r="B420" t="s">
        <v>1366</v>
      </c>
      <c r="C420" t="s">
        <v>643</v>
      </c>
      <c r="D420" t="s">
        <v>550</v>
      </c>
      <c r="E420" t="s">
        <v>1198</v>
      </c>
      <c r="F420" t="s">
        <v>636</v>
      </c>
      <c r="G420" t="s">
        <v>16</v>
      </c>
      <c r="H420" t="s">
        <v>1342</v>
      </c>
      <c r="I420" t="s">
        <v>727</v>
      </c>
      <c r="J420" t="s">
        <v>2043</v>
      </c>
      <c r="K420" t="s">
        <v>673</v>
      </c>
      <c r="L420" t="s">
        <v>2044</v>
      </c>
      <c r="M420" t="s">
        <v>1386</v>
      </c>
      <c r="N420" t="s">
        <v>639</v>
      </c>
      <c r="O420" t="s">
        <v>1199</v>
      </c>
      <c r="P420" t="s">
        <v>673</v>
      </c>
      <c r="Q420" t="s">
        <v>972</v>
      </c>
      <c r="R420" t="s">
        <v>643</v>
      </c>
      <c r="S420" t="s">
        <v>643</v>
      </c>
      <c r="T420" t="s">
        <v>643</v>
      </c>
      <c r="U420" t="s">
        <v>1342</v>
      </c>
    </row>
    <row r="421" spans="1:21" ht="14.25" x14ac:dyDescent="0.2">
      <c r="A421" t="s">
        <v>1294</v>
      </c>
      <c r="B421" t="s">
        <v>1446</v>
      </c>
      <c r="C421" t="s">
        <v>643</v>
      </c>
      <c r="D421" t="s">
        <v>408</v>
      </c>
      <c r="E421" t="s">
        <v>1200</v>
      </c>
      <c r="F421" t="s">
        <v>649</v>
      </c>
      <c r="G421" t="s">
        <v>34</v>
      </c>
      <c r="H421" t="s">
        <v>2045</v>
      </c>
      <c r="I421" t="s">
        <v>785</v>
      </c>
      <c r="J421" t="s">
        <v>2046</v>
      </c>
      <c r="K421" t="s">
        <v>637</v>
      </c>
      <c r="L421" t="s">
        <v>2597</v>
      </c>
      <c r="M421" t="s">
        <v>2552</v>
      </c>
      <c r="N421" t="s">
        <v>639</v>
      </c>
      <c r="O421" t="s">
        <v>785</v>
      </c>
      <c r="P421" t="s">
        <v>637</v>
      </c>
      <c r="Q421" t="s">
        <v>786</v>
      </c>
      <c r="R421" t="s">
        <v>721</v>
      </c>
      <c r="S421" t="s">
        <v>1201</v>
      </c>
      <c r="T421" t="s">
        <v>676</v>
      </c>
      <c r="U421" t="s">
        <v>2045</v>
      </c>
    </row>
    <row r="422" spans="1:21" ht="14.25" x14ac:dyDescent="0.2">
      <c r="A422" t="s">
        <v>1320</v>
      </c>
      <c r="B422" t="s">
        <v>1558</v>
      </c>
      <c r="C422" t="s">
        <v>643</v>
      </c>
      <c r="D422" t="s">
        <v>474</v>
      </c>
      <c r="E422" t="s">
        <v>1202</v>
      </c>
      <c r="F422" t="s">
        <v>636</v>
      </c>
      <c r="G422" t="s">
        <v>16</v>
      </c>
      <c r="H422" t="s">
        <v>2047</v>
      </c>
      <c r="I422" t="s">
        <v>727</v>
      </c>
      <c r="J422" t="s">
        <v>2048</v>
      </c>
      <c r="K422" t="s">
        <v>673</v>
      </c>
      <c r="L422" t="s">
        <v>2049</v>
      </c>
      <c r="M422" t="s">
        <v>1566</v>
      </c>
      <c r="N422" t="s">
        <v>639</v>
      </c>
      <c r="O422" t="s">
        <v>874</v>
      </c>
      <c r="P422" t="s">
        <v>673</v>
      </c>
      <c r="Q422" t="s">
        <v>670</v>
      </c>
      <c r="R422" t="s">
        <v>643</v>
      </c>
      <c r="S422" t="s">
        <v>643</v>
      </c>
      <c r="T422" t="s">
        <v>643</v>
      </c>
      <c r="U422" t="s">
        <v>2047</v>
      </c>
    </row>
    <row r="423" spans="1:21" ht="14.25" x14ac:dyDescent="0.2">
      <c r="A423" t="s">
        <v>1320</v>
      </c>
      <c r="B423" t="s">
        <v>1558</v>
      </c>
      <c r="C423" t="s">
        <v>643</v>
      </c>
      <c r="D423" t="s">
        <v>480</v>
      </c>
      <c r="E423" t="s">
        <v>1203</v>
      </c>
      <c r="F423" t="s">
        <v>636</v>
      </c>
      <c r="G423" t="s">
        <v>16</v>
      </c>
      <c r="H423" t="s">
        <v>2047</v>
      </c>
      <c r="I423" t="s">
        <v>727</v>
      </c>
      <c r="J423" t="s">
        <v>2050</v>
      </c>
      <c r="K423" t="s">
        <v>673</v>
      </c>
      <c r="L423" t="s">
        <v>2051</v>
      </c>
      <c r="M423" t="s">
        <v>1566</v>
      </c>
      <c r="N423" t="s">
        <v>639</v>
      </c>
      <c r="O423" t="s">
        <v>874</v>
      </c>
      <c r="P423" t="s">
        <v>673</v>
      </c>
      <c r="Q423" t="s">
        <v>670</v>
      </c>
      <c r="R423" t="s">
        <v>643</v>
      </c>
      <c r="S423" t="s">
        <v>643</v>
      </c>
      <c r="T423" t="s">
        <v>643</v>
      </c>
      <c r="U423" t="s">
        <v>2047</v>
      </c>
    </row>
    <row r="424" spans="1:21" ht="14.25" x14ac:dyDescent="0.2">
      <c r="A424" t="s">
        <v>1320</v>
      </c>
      <c r="B424" t="s">
        <v>1558</v>
      </c>
      <c r="C424" t="s">
        <v>643</v>
      </c>
      <c r="D424" t="s">
        <v>484</v>
      </c>
      <c r="E424" t="s">
        <v>1204</v>
      </c>
      <c r="F424" t="s">
        <v>636</v>
      </c>
      <c r="G424" t="s">
        <v>16</v>
      </c>
      <c r="H424" t="s">
        <v>2052</v>
      </c>
      <c r="I424" t="s">
        <v>727</v>
      </c>
      <c r="J424" t="s">
        <v>2053</v>
      </c>
      <c r="K424" t="s">
        <v>673</v>
      </c>
      <c r="L424" t="s">
        <v>2054</v>
      </c>
      <c r="M424" t="s">
        <v>1566</v>
      </c>
      <c r="N424" t="s">
        <v>639</v>
      </c>
      <c r="O424" t="s">
        <v>872</v>
      </c>
      <c r="P424" t="s">
        <v>673</v>
      </c>
      <c r="Q424" t="s">
        <v>670</v>
      </c>
      <c r="R424" t="s">
        <v>643</v>
      </c>
      <c r="S424" t="s">
        <v>643</v>
      </c>
      <c r="T424" t="s">
        <v>643</v>
      </c>
      <c r="U424" t="s">
        <v>2052</v>
      </c>
    </row>
    <row r="425" spans="1:21" ht="14.25" x14ac:dyDescent="0.2">
      <c r="A425" t="s">
        <v>1320</v>
      </c>
      <c r="B425" t="s">
        <v>1558</v>
      </c>
      <c r="C425" t="s">
        <v>643</v>
      </c>
      <c r="D425" t="s">
        <v>488</v>
      </c>
      <c r="E425" t="s">
        <v>1205</v>
      </c>
      <c r="F425" t="s">
        <v>636</v>
      </c>
      <c r="G425" t="s">
        <v>16</v>
      </c>
      <c r="H425" t="s">
        <v>2047</v>
      </c>
      <c r="I425" t="s">
        <v>727</v>
      </c>
      <c r="J425" t="s">
        <v>2055</v>
      </c>
      <c r="K425" t="s">
        <v>673</v>
      </c>
      <c r="L425" t="s">
        <v>2056</v>
      </c>
      <c r="M425" t="s">
        <v>1566</v>
      </c>
      <c r="N425" t="s">
        <v>639</v>
      </c>
      <c r="O425" t="s">
        <v>874</v>
      </c>
      <c r="P425" t="s">
        <v>673</v>
      </c>
      <c r="Q425" t="s">
        <v>670</v>
      </c>
      <c r="R425" t="s">
        <v>643</v>
      </c>
      <c r="S425" t="s">
        <v>643</v>
      </c>
      <c r="T425" t="s">
        <v>643</v>
      </c>
      <c r="U425" t="s">
        <v>2047</v>
      </c>
    </row>
    <row r="426" spans="1:21" ht="14.25" x14ac:dyDescent="0.2">
      <c r="A426" t="s">
        <v>1320</v>
      </c>
      <c r="B426" t="s">
        <v>1558</v>
      </c>
      <c r="C426" t="s">
        <v>643</v>
      </c>
      <c r="D426" t="s">
        <v>491</v>
      </c>
      <c r="E426" t="s">
        <v>1206</v>
      </c>
      <c r="F426" t="s">
        <v>636</v>
      </c>
      <c r="G426" t="s">
        <v>16</v>
      </c>
      <c r="H426" t="s">
        <v>2057</v>
      </c>
      <c r="I426" t="s">
        <v>727</v>
      </c>
      <c r="J426" t="s">
        <v>2058</v>
      </c>
      <c r="K426" t="s">
        <v>673</v>
      </c>
      <c r="L426" t="s">
        <v>2059</v>
      </c>
      <c r="M426" t="s">
        <v>1566</v>
      </c>
      <c r="N426" t="s">
        <v>639</v>
      </c>
      <c r="O426" t="s">
        <v>872</v>
      </c>
      <c r="P426" t="s">
        <v>673</v>
      </c>
      <c r="Q426" t="s">
        <v>670</v>
      </c>
      <c r="R426" t="s">
        <v>643</v>
      </c>
      <c r="S426" t="s">
        <v>643</v>
      </c>
      <c r="T426" t="s">
        <v>643</v>
      </c>
      <c r="U426" t="s">
        <v>2057</v>
      </c>
    </row>
    <row r="427" spans="1:21" ht="14.25" x14ac:dyDescent="0.2">
      <c r="A427" t="s">
        <v>1320</v>
      </c>
      <c r="B427" t="s">
        <v>1558</v>
      </c>
      <c r="C427" t="s">
        <v>643</v>
      </c>
      <c r="D427" t="s">
        <v>141</v>
      </c>
      <c r="E427" t="s">
        <v>1207</v>
      </c>
      <c r="F427" t="s">
        <v>636</v>
      </c>
      <c r="G427" t="s">
        <v>925</v>
      </c>
      <c r="H427" t="s">
        <v>2057</v>
      </c>
      <c r="I427" t="s">
        <v>727</v>
      </c>
      <c r="J427" t="s">
        <v>2060</v>
      </c>
      <c r="K427" t="s">
        <v>673</v>
      </c>
      <c r="L427" t="s">
        <v>2061</v>
      </c>
      <c r="M427" t="s">
        <v>1566</v>
      </c>
      <c r="N427" t="s">
        <v>639</v>
      </c>
      <c r="O427" t="s">
        <v>874</v>
      </c>
      <c r="P427" t="s">
        <v>673</v>
      </c>
      <c r="Q427" t="s">
        <v>670</v>
      </c>
      <c r="R427" t="s">
        <v>643</v>
      </c>
      <c r="S427" t="s">
        <v>643</v>
      </c>
      <c r="T427" t="s">
        <v>643</v>
      </c>
      <c r="U427" t="s">
        <v>2057</v>
      </c>
    </row>
    <row r="428" spans="1:21" ht="14.25" x14ac:dyDescent="0.2">
      <c r="A428" t="s">
        <v>1450</v>
      </c>
      <c r="B428" t="s">
        <v>1918</v>
      </c>
      <c r="C428" t="s">
        <v>643</v>
      </c>
      <c r="D428" t="s">
        <v>255</v>
      </c>
      <c r="E428" t="s">
        <v>1208</v>
      </c>
      <c r="F428" t="s">
        <v>636</v>
      </c>
      <c r="G428" t="s">
        <v>16</v>
      </c>
      <c r="H428" t="s">
        <v>2062</v>
      </c>
      <c r="I428" t="s">
        <v>839</v>
      </c>
      <c r="J428" t="s">
        <v>2063</v>
      </c>
      <c r="K428" t="s">
        <v>673</v>
      </c>
      <c r="L428" t="s">
        <v>2064</v>
      </c>
      <c r="M428" t="s">
        <v>2065</v>
      </c>
      <c r="N428" t="s">
        <v>639</v>
      </c>
      <c r="O428" t="s">
        <v>839</v>
      </c>
      <c r="P428" t="s">
        <v>673</v>
      </c>
      <c r="Q428" t="s">
        <v>840</v>
      </c>
      <c r="R428" t="s">
        <v>643</v>
      </c>
      <c r="S428" t="s">
        <v>643</v>
      </c>
      <c r="T428" t="s">
        <v>643</v>
      </c>
      <c r="U428" t="s">
        <v>2062</v>
      </c>
    </row>
    <row r="429" spans="1:21" ht="14.25" x14ac:dyDescent="0.2">
      <c r="A429" t="s">
        <v>1450</v>
      </c>
      <c r="B429" t="s">
        <v>1918</v>
      </c>
      <c r="C429" t="s">
        <v>643</v>
      </c>
      <c r="D429" t="s">
        <v>349</v>
      </c>
      <c r="E429" t="s">
        <v>1209</v>
      </c>
      <c r="F429" t="s">
        <v>636</v>
      </c>
      <c r="G429" t="s">
        <v>16</v>
      </c>
      <c r="H429" t="s">
        <v>2066</v>
      </c>
      <c r="I429" t="s">
        <v>839</v>
      </c>
      <c r="J429" t="s">
        <v>2067</v>
      </c>
      <c r="K429" t="s">
        <v>673</v>
      </c>
      <c r="L429" t="s">
        <v>2068</v>
      </c>
      <c r="M429" t="s">
        <v>2065</v>
      </c>
      <c r="N429" t="s">
        <v>639</v>
      </c>
      <c r="O429" t="s">
        <v>839</v>
      </c>
      <c r="P429" t="s">
        <v>673</v>
      </c>
      <c r="Q429" t="s">
        <v>840</v>
      </c>
      <c r="R429" t="s">
        <v>643</v>
      </c>
      <c r="S429" t="s">
        <v>643</v>
      </c>
      <c r="T429" t="s">
        <v>643</v>
      </c>
      <c r="U429" t="s">
        <v>2066</v>
      </c>
    </row>
    <row r="430" spans="1:21" ht="14.25" x14ac:dyDescent="0.2">
      <c r="A430" t="s">
        <v>1450</v>
      </c>
      <c r="B430" t="s">
        <v>1918</v>
      </c>
      <c r="C430" t="s">
        <v>643</v>
      </c>
      <c r="D430" t="s">
        <v>360</v>
      </c>
      <c r="E430" t="s">
        <v>1210</v>
      </c>
      <c r="F430" t="s">
        <v>649</v>
      </c>
      <c r="G430" t="s">
        <v>16</v>
      </c>
      <c r="H430" t="s">
        <v>2062</v>
      </c>
      <c r="I430" t="s">
        <v>839</v>
      </c>
      <c r="J430" t="s">
        <v>2069</v>
      </c>
      <c r="K430" t="s">
        <v>673</v>
      </c>
      <c r="L430" t="s">
        <v>2349</v>
      </c>
      <c r="M430" t="s">
        <v>2346</v>
      </c>
      <c r="N430" t="s">
        <v>639</v>
      </c>
      <c r="O430" t="s">
        <v>839</v>
      </c>
      <c r="P430" t="s">
        <v>673</v>
      </c>
      <c r="Q430" t="s">
        <v>840</v>
      </c>
      <c r="R430" t="s">
        <v>797</v>
      </c>
      <c r="S430" t="s">
        <v>1211</v>
      </c>
      <c r="T430" t="s">
        <v>703</v>
      </c>
      <c r="U430" t="s">
        <v>2062</v>
      </c>
    </row>
    <row r="431" spans="1:21" ht="14.25" x14ac:dyDescent="0.2">
      <c r="A431" t="s">
        <v>1450</v>
      </c>
      <c r="B431" t="s">
        <v>1918</v>
      </c>
      <c r="C431" t="s">
        <v>643</v>
      </c>
      <c r="D431" t="s">
        <v>360</v>
      </c>
      <c r="E431" t="s">
        <v>1210</v>
      </c>
      <c r="F431" t="s">
        <v>649</v>
      </c>
      <c r="G431" t="s">
        <v>16</v>
      </c>
      <c r="H431" t="s">
        <v>2062</v>
      </c>
      <c r="I431" t="s">
        <v>839</v>
      </c>
      <c r="J431" t="s">
        <v>2069</v>
      </c>
      <c r="K431" t="s">
        <v>673</v>
      </c>
      <c r="L431" t="s">
        <v>2349</v>
      </c>
      <c r="M431" t="s">
        <v>2346</v>
      </c>
      <c r="N431" t="s">
        <v>639</v>
      </c>
      <c r="O431" t="s">
        <v>839</v>
      </c>
      <c r="P431" t="s">
        <v>673</v>
      </c>
      <c r="Q431" t="s">
        <v>840</v>
      </c>
      <c r="R431" t="s">
        <v>2070</v>
      </c>
      <c r="S431" t="s">
        <v>2071</v>
      </c>
      <c r="T431" t="s">
        <v>703</v>
      </c>
      <c r="U431" t="s">
        <v>2062</v>
      </c>
    </row>
    <row r="432" spans="1:21" ht="14.25" x14ac:dyDescent="0.2">
      <c r="A432" t="s">
        <v>1604</v>
      </c>
      <c r="B432" t="s">
        <v>643</v>
      </c>
      <c r="C432" t="s">
        <v>643</v>
      </c>
      <c r="D432" t="s">
        <v>244</v>
      </c>
      <c r="E432" t="s">
        <v>1212</v>
      </c>
      <c r="F432" t="s">
        <v>636</v>
      </c>
      <c r="G432" t="s">
        <v>16</v>
      </c>
      <c r="H432" t="s">
        <v>2072</v>
      </c>
      <c r="I432" t="s">
        <v>643</v>
      </c>
      <c r="J432" t="s">
        <v>643</v>
      </c>
      <c r="K432" t="s">
        <v>703</v>
      </c>
      <c r="L432" t="s">
        <v>2073</v>
      </c>
      <c r="M432" t="s">
        <v>2074</v>
      </c>
      <c r="N432" t="s">
        <v>639</v>
      </c>
      <c r="O432" t="s">
        <v>1213</v>
      </c>
      <c r="P432" t="s">
        <v>910</v>
      </c>
      <c r="Q432" t="s">
        <v>643</v>
      </c>
      <c r="R432" t="s">
        <v>643</v>
      </c>
      <c r="S432" t="s">
        <v>643</v>
      </c>
      <c r="T432" t="s">
        <v>643</v>
      </c>
      <c r="U432" t="s">
        <v>2072</v>
      </c>
    </row>
    <row r="433" spans="1:21" ht="14.25" x14ac:dyDescent="0.2">
      <c r="A433" t="s">
        <v>1604</v>
      </c>
      <c r="B433" t="s">
        <v>643</v>
      </c>
      <c r="C433" t="s">
        <v>643</v>
      </c>
      <c r="D433" t="s">
        <v>270</v>
      </c>
      <c r="E433" t="s">
        <v>1214</v>
      </c>
      <c r="F433" t="s">
        <v>636</v>
      </c>
      <c r="G433" t="s">
        <v>27</v>
      </c>
      <c r="H433" t="s">
        <v>1870</v>
      </c>
      <c r="I433" t="s">
        <v>1213</v>
      </c>
      <c r="J433" t="s">
        <v>2075</v>
      </c>
      <c r="K433" t="s">
        <v>910</v>
      </c>
      <c r="L433" t="s">
        <v>2076</v>
      </c>
      <c r="M433" t="s">
        <v>2077</v>
      </c>
      <c r="N433" t="s">
        <v>672</v>
      </c>
      <c r="O433" t="s">
        <v>1213</v>
      </c>
      <c r="P433" t="s">
        <v>910</v>
      </c>
      <c r="Q433" t="s">
        <v>1215</v>
      </c>
      <c r="R433" t="s">
        <v>896</v>
      </c>
      <c r="S433" t="s">
        <v>1216</v>
      </c>
      <c r="T433" t="s">
        <v>703</v>
      </c>
      <c r="U433" t="s">
        <v>1870</v>
      </c>
    </row>
    <row r="434" spans="1:21" ht="14.25" x14ac:dyDescent="0.2">
      <c r="A434" t="s">
        <v>1604</v>
      </c>
      <c r="B434" t="s">
        <v>643</v>
      </c>
      <c r="C434" t="s">
        <v>643</v>
      </c>
      <c r="D434" t="s">
        <v>219</v>
      </c>
      <c r="E434" t="s">
        <v>1217</v>
      </c>
      <c r="F434" t="s">
        <v>636</v>
      </c>
      <c r="G434" t="s">
        <v>27</v>
      </c>
      <c r="H434" t="s">
        <v>2078</v>
      </c>
      <c r="I434" t="s">
        <v>1213</v>
      </c>
      <c r="J434" t="s">
        <v>2079</v>
      </c>
      <c r="K434" t="s">
        <v>643</v>
      </c>
      <c r="L434" t="s">
        <v>643</v>
      </c>
      <c r="M434" t="s">
        <v>1851</v>
      </c>
      <c r="N434" t="s">
        <v>672</v>
      </c>
      <c r="O434" t="s">
        <v>1213</v>
      </c>
      <c r="P434" t="s">
        <v>910</v>
      </c>
      <c r="Q434" t="s">
        <v>1215</v>
      </c>
      <c r="R434" t="s">
        <v>643</v>
      </c>
      <c r="S434" t="s">
        <v>643</v>
      </c>
      <c r="T434" t="s">
        <v>643</v>
      </c>
      <c r="U434" t="s">
        <v>2078</v>
      </c>
    </row>
    <row r="435" spans="1:21" ht="14.25" x14ac:dyDescent="0.2">
      <c r="A435" t="s">
        <v>1604</v>
      </c>
      <c r="B435" t="s">
        <v>643</v>
      </c>
      <c r="C435" t="s">
        <v>643</v>
      </c>
      <c r="D435" t="s">
        <v>245</v>
      </c>
      <c r="E435" t="s">
        <v>1218</v>
      </c>
      <c r="F435" t="s">
        <v>636</v>
      </c>
      <c r="G435" t="s">
        <v>27</v>
      </c>
      <c r="H435" t="s">
        <v>2080</v>
      </c>
      <c r="I435" t="s">
        <v>1213</v>
      </c>
      <c r="J435" t="s">
        <v>2081</v>
      </c>
      <c r="K435" t="s">
        <v>643</v>
      </c>
      <c r="L435" t="s">
        <v>643</v>
      </c>
      <c r="M435" t="s">
        <v>2082</v>
      </c>
      <c r="N435" t="s">
        <v>672</v>
      </c>
      <c r="O435" t="s">
        <v>1213</v>
      </c>
      <c r="P435" t="s">
        <v>910</v>
      </c>
      <c r="Q435" t="s">
        <v>1215</v>
      </c>
      <c r="R435" t="s">
        <v>643</v>
      </c>
      <c r="S435" t="s">
        <v>643</v>
      </c>
      <c r="T435" t="s">
        <v>643</v>
      </c>
      <c r="U435" t="s">
        <v>2080</v>
      </c>
    </row>
    <row r="436" spans="1:21" ht="14.25" x14ac:dyDescent="0.2">
      <c r="A436" t="s">
        <v>1604</v>
      </c>
      <c r="B436" t="s">
        <v>643</v>
      </c>
      <c r="C436" t="s">
        <v>643</v>
      </c>
      <c r="D436" t="s">
        <v>576</v>
      </c>
      <c r="E436" t="s">
        <v>1219</v>
      </c>
      <c r="F436" t="s">
        <v>636</v>
      </c>
      <c r="G436" t="s">
        <v>27</v>
      </c>
      <c r="H436" t="s">
        <v>1895</v>
      </c>
      <c r="I436" t="s">
        <v>1213</v>
      </c>
      <c r="J436" t="s">
        <v>2083</v>
      </c>
      <c r="K436" t="s">
        <v>643</v>
      </c>
      <c r="L436" t="s">
        <v>643</v>
      </c>
      <c r="M436" t="s">
        <v>2084</v>
      </c>
      <c r="N436" t="s">
        <v>672</v>
      </c>
      <c r="O436" t="s">
        <v>1213</v>
      </c>
      <c r="P436" t="s">
        <v>910</v>
      </c>
      <c r="Q436" t="s">
        <v>1215</v>
      </c>
      <c r="R436" t="s">
        <v>643</v>
      </c>
      <c r="S436" t="s">
        <v>643</v>
      </c>
      <c r="T436" t="s">
        <v>643</v>
      </c>
      <c r="U436" t="s">
        <v>1895</v>
      </c>
    </row>
    <row r="437" spans="1:21" ht="14.25" x14ac:dyDescent="0.2">
      <c r="A437" t="s">
        <v>1464</v>
      </c>
      <c r="B437" t="s">
        <v>1572</v>
      </c>
      <c r="C437" t="s">
        <v>643</v>
      </c>
      <c r="D437" t="s">
        <v>386</v>
      </c>
      <c r="E437" t="s">
        <v>1220</v>
      </c>
      <c r="F437" t="s">
        <v>636</v>
      </c>
      <c r="G437" t="s">
        <v>27</v>
      </c>
      <c r="H437" t="s">
        <v>2085</v>
      </c>
      <c r="I437" t="s">
        <v>878</v>
      </c>
      <c r="J437" t="s">
        <v>2086</v>
      </c>
      <c r="K437" t="s">
        <v>790</v>
      </c>
      <c r="L437" t="s">
        <v>2087</v>
      </c>
      <c r="M437" t="s">
        <v>1480</v>
      </c>
      <c r="N437" t="s">
        <v>639</v>
      </c>
      <c r="O437" t="s">
        <v>878</v>
      </c>
      <c r="P437" t="s">
        <v>790</v>
      </c>
      <c r="Q437" t="s">
        <v>1075</v>
      </c>
      <c r="R437" t="s">
        <v>643</v>
      </c>
      <c r="S437" t="s">
        <v>643</v>
      </c>
      <c r="T437" t="s">
        <v>643</v>
      </c>
      <c r="U437" t="s">
        <v>2085</v>
      </c>
    </row>
    <row r="438" spans="1:21" ht="14.25" x14ac:dyDescent="0.2">
      <c r="A438" t="s">
        <v>1320</v>
      </c>
      <c r="B438" t="s">
        <v>2088</v>
      </c>
      <c r="C438" t="s">
        <v>643</v>
      </c>
      <c r="D438" t="s">
        <v>139</v>
      </c>
      <c r="E438" t="s">
        <v>1221</v>
      </c>
      <c r="F438" t="s">
        <v>636</v>
      </c>
      <c r="G438" t="s">
        <v>664</v>
      </c>
      <c r="H438" t="s">
        <v>2089</v>
      </c>
      <c r="I438" t="s">
        <v>669</v>
      </c>
      <c r="J438" t="s">
        <v>2090</v>
      </c>
      <c r="K438" t="s">
        <v>673</v>
      </c>
      <c r="L438" t="s">
        <v>2091</v>
      </c>
      <c r="M438" t="s">
        <v>1562</v>
      </c>
      <c r="N438" t="s">
        <v>639</v>
      </c>
      <c r="O438" t="s">
        <v>1222</v>
      </c>
      <c r="P438" t="s">
        <v>673</v>
      </c>
      <c r="Q438" t="s">
        <v>1223</v>
      </c>
      <c r="R438" t="s">
        <v>1224</v>
      </c>
      <c r="S438" t="s">
        <v>1225</v>
      </c>
      <c r="T438" t="s">
        <v>703</v>
      </c>
      <c r="U438" t="s">
        <v>2089</v>
      </c>
    </row>
    <row r="439" spans="1:21" ht="14.25" x14ac:dyDescent="0.2">
      <c r="A439" t="s">
        <v>1320</v>
      </c>
      <c r="B439" t="s">
        <v>2088</v>
      </c>
      <c r="C439" t="s">
        <v>643</v>
      </c>
      <c r="D439" t="s">
        <v>140</v>
      </c>
      <c r="E439" t="s">
        <v>1226</v>
      </c>
      <c r="F439" t="s">
        <v>649</v>
      </c>
      <c r="G439" t="s">
        <v>27</v>
      </c>
      <c r="H439" t="s">
        <v>2092</v>
      </c>
      <c r="I439" t="s">
        <v>669</v>
      </c>
      <c r="J439" t="s">
        <v>2598</v>
      </c>
      <c r="K439" t="s">
        <v>643</v>
      </c>
      <c r="L439" t="s">
        <v>643</v>
      </c>
      <c r="M439" t="s">
        <v>1562</v>
      </c>
      <c r="N439" t="s">
        <v>672</v>
      </c>
      <c r="O439" t="s">
        <v>1227</v>
      </c>
      <c r="P439" t="s">
        <v>673</v>
      </c>
      <c r="Q439" t="s">
        <v>1223</v>
      </c>
      <c r="R439" t="s">
        <v>2497</v>
      </c>
      <c r="S439" t="s">
        <v>2498</v>
      </c>
      <c r="T439" t="s">
        <v>2380</v>
      </c>
      <c r="U439" t="s">
        <v>2092</v>
      </c>
    </row>
    <row r="440" spans="1:21" ht="14.25" x14ac:dyDescent="0.2">
      <c r="A440" t="s">
        <v>1320</v>
      </c>
      <c r="B440" t="s">
        <v>2088</v>
      </c>
      <c r="C440" t="s">
        <v>643</v>
      </c>
      <c r="D440" t="s">
        <v>180</v>
      </c>
      <c r="E440" t="s">
        <v>1228</v>
      </c>
      <c r="F440" t="s">
        <v>636</v>
      </c>
      <c r="G440" t="s">
        <v>27</v>
      </c>
      <c r="H440" t="s">
        <v>2092</v>
      </c>
      <c r="I440" t="s">
        <v>669</v>
      </c>
      <c r="J440" t="s">
        <v>2093</v>
      </c>
      <c r="K440" t="s">
        <v>673</v>
      </c>
      <c r="L440" t="s">
        <v>2094</v>
      </c>
      <c r="M440" t="s">
        <v>1562</v>
      </c>
      <c r="N440" t="s">
        <v>639</v>
      </c>
      <c r="O440" t="s">
        <v>1222</v>
      </c>
      <c r="P440" t="s">
        <v>673</v>
      </c>
      <c r="Q440" t="s">
        <v>1223</v>
      </c>
      <c r="R440" t="s">
        <v>643</v>
      </c>
      <c r="S440" t="s">
        <v>643</v>
      </c>
      <c r="T440" t="s">
        <v>643</v>
      </c>
      <c r="U440" t="s">
        <v>2092</v>
      </c>
    </row>
    <row r="441" spans="1:21" ht="14.25" x14ac:dyDescent="0.2">
      <c r="A441" t="s">
        <v>1320</v>
      </c>
      <c r="B441" t="s">
        <v>2088</v>
      </c>
      <c r="C441" t="s">
        <v>643</v>
      </c>
      <c r="D441" t="s">
        <v>262</v>
      </c>
      <c r="E441" t="s">
        <v>1229</v>
      </c>
      <c r="F441" t="s">
        <v>636</v>
      </c>
      <c r="G441" t="s">
        <v>34</v>
      </c>
      <c r="H441" t="s">
        <v>2089</v>
      </c>
      <c r="I441" t="s">
        <v>669</v>
      </c>
      <c r="J441" t="s">
        <v>2095</v>
      </c>
      <c r="K441" t="s">
        <v>673</v>
      </c>
      <c r="L441" t="s">
        <v>2096</v>
      </c>
      <c r="M441" t="s">
        <v>1562</v>
      </c>
      <c r="N441" t="s">
        <v>639</v>
      </c>
      <c r="O441" t="s">
        <v>1222</v>
      </c>
      <c r="P441" t="s">
        <v>673</v>
      </c>
      <c r="Q441" t="s">
        <v>1223</v>
      </c>
      <c r="R441" t="s">
        <v>643</v>
      </c>
      <c r="S441" t="s">
        <v>643</v>
      </c>
      <c r="T441" t="s">
        <v>643</v>
      </c>
      <c r="U441" t="s">
        <v>2089</v>
      </c>
    </row>
    <row r="442" spans="1:21" ht="14.25" x14ac:dyDescent="0.2">
      <c r="A442" t="s">
        <v>1464</v>
      </c>
      <c r="B442" t="s">
        <v>1481</v>
      </c>
      <c r="C442" t="s">
        <v>643</v>
      </c>
      <c r="D442" t="s">
        <v>338</v>
      </c>
      <c r="E442" t="s">
        <v>1230</v>
      </c>
      <c r="F442" t="s">
        <v>636</v>
      </c>
      <c r="G442" t="s">
        <v>34</v>
      </c>
      <c r="H442" t="s">
        <v>2097</v>
      </c>
      <c r="I442" t="s">
        <v>855</v>
      </c>
      <c r="J442" t="s">
        <v>2098</v>
      </c>
      <c r="K442" t="s">
        <v>790</v>
      </c>
      <c r="L442" t="s">
        <v>2099</v>
      </c>
      <c r="M442" t="s">
        <v>1933</v>
      </c>
      <c r="N442" t="s">
        <v>639</v>
      </c>
      <c r="O442" t="s">
        <v>855</v>
      </c>
      <c r="P442" t="s">
        <v>790</v>
      </c>
      <c r="Q442" t="s">
        <v>857</v>
      </c>
      <c r="R442" t="s">
        <v>643</v>
      </c>
      <c r="S442" t="s">
        <v>643</v>
      </c>
      <c r="T442" t="s">
        <v>643</v>
      </c>
      <c r="U442" t="s">
        <v>2097</v>
      </c>
    </row>
    <row r="443" spans="1:21" ht="14.25" x14ac:dyDescent="0.2">
      <c r="A443" t="s">
        <v>1464</v>
      </c>
      <c r="B443" t="s">
        <v>1481</v>
      </c>
      <c r="C443" t="s">
        <v>643</v>
      </c>
      <c r="D443" t="s">
        <v>2599</v>
      </c>
      <c r="E443" t="s">
        <v>1231</v>
      </c>
      <c r="F443" t="s">
        <v>636</v>
      </c>
      <c r="G443" t="s">
        <v>37</v>
      </c>
      <c r="H443" t="s">
        <v>2097</v>
      </c>
      <c r="I443" t="s">
        <v>855</v>
      </c>
      <c r="J443" t="s">
        <v>2100</v>
      </c>
      <c r="K443" t="s">
        <v>790</v>
      </c>
      <c r="L443" t="s">
        <v>2101</v>
      </c>
      <c r="M443" t="s">
        <v>1933</v>
      </c>
      <c r="N443" t="s">
        <v>639</v>
      </c>
      <c r="O443" t="s">
        <v>855</v>
      </c>
      <c r="P443" t="s">
        <v>790</v>
      </c>
      <c r="Q443" t="s">
        <v>857</v>
      </c>
      <c r="R443" t="s">
        <v>643</v>
      </c>
      <c r="S443" t="s">
        <v>643</v>
      </c>
      <c r="T443" t="s">
        <v>643</v>
      </c>
      <c r="U443" t="s">
        <v>2097</v>
      </c>
    </row>
    <row r="444" spans="1:21" ht="14.25" x14ac:dyDescent="0.2">
      <c r="A444" t="s">
        <v>1351</v>
      </c>
      <c r="B444" t="s">
        <v>1371</v>
      </c>
      <c r="C444" t="s">
        <v>643</v>
      </c>
      <c r="D444" t="s">
        <v>509</v>
      </c>
      <c r="E444" t="s">
        <v>753</v>
      </c>
      <c r="F444" t="s">
        <v>636</v>
      </c>
      <c r="G444" t="s">
        <v>16</v>
      </c>
      <c r="H444" t="s">
        <v>1421</v>
      </c>
      <c r="I444" t="s">
        <v>727</v>
      </c>
      <c r="J444" t="s">
        <v>1422</v>
      </c>
      <c r="K444" t="s">
        <v>643</v>
      </c>
      <c r="L444" t="s">
        <v>643</v>
      </c>
      <c r="M444" t="s">
        <v>1383</v>
      </c>
      <c r="N444" t="s">
        <v>693</v>
      </c>
      <c r="O444" t="s">
        <v>731</v>
      </c>
      <c r="P444" t="s">
        <v>673</v>
      </c>
      <c r="Q444" t="s">
        <v>713</v>
      </c>
      <c r="R444" t="s">
        <v>643</v>
      </c>
      <c r="S444" t="s">
        <v>643</v>
      </c>
      <c r="T444" t="s">
        <v>643</v>
      </c>
      <c r="U444" t="s">
        <v>1421</v>
      </c>
    </row>
    <row r="445" spans="1:21" ht="14.25" x14ac:dyDescent="0.2">
      <c r="A445" t="s">
        <v>1351</v>
      </c>
      <c r="B445" t="s">
        <v>1371</v>
      </c>
      <c r="C445" t="s">
        <v>643</v>
      </c>
      <c r="D445" t="s">
        <v>511</v>
      </c>
      <c r="E445" t="s">
        <v>754</v>
      </c>
      <c r="F445" t="s">
        <v>636</v>
      </c>
      <c r="G445" t="s">
        <v>16</v>
      </c>
      <c r="H445" t="s">
        <v>1421</v>
      </c>
      <c r="I445" t="s">
        <v>727</v>
      </c>
      <c r="J445" t="s">
        <v>1423</v>
      </c>
      <c r="K445" t="s">
        <v>643</v>
      </c>
      <c r="L445" t="s">
        <v>643</v>
      </c>
      <c r="M445" t="s">
        <v>1383</v>
      </c>
      <c r="N445" t="s">
        <v>693</v>
      </c>
      <c r="O445" t="s">
        <v>755</v>
      </c>
      <c r="P445" t="s">
        <v>673</v>
      </c>
      <c r="Q445" t="s">
        <v>713</v>
      </c>
      <c r="R445" t="s">
        <v>643</v>
      </c>
      <c r="S445" t="s">
        <v>643</v>
      </c>
      <c r="T445" t="s">
        <v>643</v>
      </c>
      <c r="U445" t="s">
        <v>1421</v>
      </c>
    </row>
    <row r="446" spans="1:21" ht="14.25" x14ac:dyDescent="0.2">
      <c r="A446" t="s">
        <v>1351</v>
      </c>
      <c r="B446" t="s">
        <v>1371</v>
      </c>
      <c r="C446" t="s">
        <v>643</v>
      </c>
      <c r="D446" t="s">
        <v>515</v>
      </c>
      <c r="E446" t="s">
        <v>756</v>
      </c>
      <c r="F446" t="s">
        <v>636</v>
      </c>
      <c r="G446" t="s">
        <v>16</v>
      </c>
      <c r="H446" t="s">
        <v>1421</v>
      </c>
      <c r="I446" t="s">
        <v>727</v>
      </c>
      <c r="J446" t="s">
        <v>1424</v>
      </c>
      <c r="K446" t="s">
        <v>643</v>
      </c>
      <c r="L446" t="s">
        <v>643</v>
      </c>
      <c r="M446" t="s">
        <v>1383</v>
      </c>
      <c r="N446" t="s">
        <v>693</v>
      </c>
      <c r="O446" t="s">
        <v>728</v>
      </c>
      <c r="P446" t="s">
        <v>673</v>
      </c>
      <c r="Q446" t="s">
        <v>713</v>
      </c>
      <c r="R446" t="s">
        <v>643</v>
      </c>
      <c r="S446" t="s">
        <v>643</v>
      </c>
      <c r="T446" t="s">
        <v>643</v>
      </c>
      <c r="U446" t="s">
        <v>1421</v>
      </c>
    </row>
    <row r="447" spans="1:21" ht="14.25" x14ac:dyDescent="0.2">
      <c r="A447" t="s">
        <v>1351</v>
      </c>
      <c r="B447" t="s">
        <v>1371</v>
      </c>
      <c r="C447" t="s">
        <v>643</v>
      </c>
      <c r="D447" t="s">
        <v>318</v>
      </c>
      <c r="E447" t="s">
        <v>757</v>
      </c>
      <c r="F447" t="s">
        <v>636</v>
      </c>
      <c r="G447" t="s">
        <v>16</v>
      </c>
      <c r="H447" t="s">
        <v>1421</v>
      </c>
      <c r="I447" t="s">
        <v>727</v>
      </c>
      <c r="J447" t="s">
        <v>1425</v>
      </c>
      <c r="K447" t="s">
        <v>673</v>
      </c>
      <c r="L447" t="s">
        <v>1426</v>
      </c>
      <c r="M447" t="s">
        <v>1386</v>
      </c>
      <c r="N447" t="s">
        <v>639</v>
      </c>
      <c r="O447" t="s">
        <v>748</v>
      </c>
      <c r="P447" t="s">
        <v>673</v>
      </c>
      <c r="Q447" t="s">
        <v>713</v>
      </c>
      <c r="R447" t="s">
        <v>643</v>
      </c>
      <c r="S447" t="s">
        <v>643</v>
      </c>
      <c r="T447" t="s">
        <v>643</v>
      </c>
      <c r="U447" t="s">
        <v>1421</v>
      </c>
    </row>
    <row r="448" spans="1:21" ht="14.25" x14ac:dyDescent="0.2">
      <c r="A448" t="s">
        <v>1351</v>
      </c>
      <c r="B448" t="s">
        <v>1371</v>
      </c>
      <c r="C448" t="s">
        <v>643</v>
      </c>
      <c r="D448" t="s">
        <v>198</v>
      </c>
      <c r="E448" t="s">
        <v>1163</v>
      </c>
      <c r="F448" t="s">
        <v>636</v>
      </c>
      <c r="G448" t="s">
        <v>925</v>
      </c>
      <c r="H448" t="s">
        <v>1421</v>
      </c>
      <c r="I448" t="s">
        <v>727</v>
      </c>
      <c r="J448" t="s">
        <v>1984</v>
      </c>
      <c r="K448" t="s">
        <v>673</v>
      </c>
      <c r="L448" t="s">
        <v>1985</v>
      </c>
      <c r="M448" t="s">
        <v>1386</v>
      </c>
      <c r="N448" t="s">
        <v>639</v>
      </c>
      <c r="O448" t="s">
        <v>728</v>
      </c>
      <c r="P448" t="s">
        <v>673</v>
      </c>
      <c r="Q448" t="s">
        <v>713</v>
      </c>
      <c r="R448" t="s">
        <v>643</v>
      </c>
      <c r="S448" t="s">
        <v>643</v>
      </c>
      <c r="T448" t="s">
        <v>643</v>
      </c>
      <c r="U448" t="s">
        <v>1421</v>
      </c>
    </row>
    <row r="449" spans="1:21" ht="14.25" x14ac:dyDescent="0.2">
      <c r="A449" t="s">
        <v>1351</v>
      </c>
      <c r="B449" t="s">
        <v>1371</v>
      </c>
      <c r="C449" t="s">
        <v>643</v>
      </c>
      <c r="D449" t="s">
        <v>334</v>
      </c>
      <c r="E449" t="s">
        <v>1237</v>
      </c>
      <c r="F449" t="s">
        <v>636</v>
      </c>
      <c r="G449" t="s">
        <v>34</v>
      </c>
      <c r="H449" t="s">
        <v>1421</v>
      </c>
      <c r="I449" t="s">
        <v>727</v>
      </c>
      <c r="J449" t="s">
        <v>2107</v>
      </c>
      <c r="K449" t="s">
        <v>673</v>
      </c>
      <c r="L449" t="s">
        <v>2108</v>
      </c>
      <c r="M449" t="s">
        <v>1386</v>
      </c>
      <c r="N449" t="s">
        <v>639</v>
      </c>
      <c r="O449" t="s">
        <v>755</v>
      </c>
      <c r="P449" t="s">
        <v>673</v>
      </c>
      <c r="Q449" t="s">
        <v>713</v>
      </c>
      <c r="R449" t="s">
        <v>643</v>
      </c>
      <c r="S449" t="s">
        <v>643</v>
      </c>
      <c r="T449" t="s">
        <v>643</v>
      </c>
      <c r="U449" t="s">
        <v>1421</v>
      </c>
    </row>
    <row r="450" spans="1:21" ht="14.25" x14ac:dyDescent="0.2">
      <c r="A450" t="s">
        <v>1351</v>
      </c>
      <c r="B450" t="s">
        <v>1371</v>
      </c>
      <c r="C450" t="s">
        <v>643</v>
      </c>
      <c r="D450" t="s">
        <v>439</v>
      </c>
      <c r="E450" t="s">
        <v>1184</v>
      </c>
      <c r="F450" t="s">
        <v>636</v>
      </c>
      <c r="G450" t="s">
        <v>34</v>
      </c>
      <c r="H450" t="s">
        <v>1421</v>
      </c>
      <c r="I450" t="s">
        <v>727</v>
      </c>
      <c r="J450" t="s">
        <v>2014</v>
      </c>
      <c r="K450" t="s">
        <v>673</v>
      </c>
      <c r="L450" t="s">
        <v>2015</v>
      </c>
      <c r="M450" t="s">
        <v>1386</v>
      </c>
      <c r="N450" t="s">
        <v>639</v>
      </c>
      <c r="O450" t="s">
        <v>755</v>
      </c>
      <c r="P450" t="s">
        <v>673</v>
      </c>
      <c r="Q450" t="s">
        <v>713</v>
      </c>
      <c r="R450" t="s">
        <v>911</v>
      </c>
      <c r="S450" t="s">
        <v>1185</v>
      </c>
      <c r="T450" t="s">
        <v>676</v>
      </c>
      <c r="U450" t="s">
        <v>1421</v>
      </c>
    </row>
    <row r="451" spans="1:21" ht="14.25" x14ac:dyDescent="0.2">
      <c r="A451" t="s">
        <v>1351</v>
      </c>
      <c r="B451" t="s">
        <v>1371</v>
      </c>
      <c r="C451" t="s">
        <v>643</v>
      </c>
      <c r="D451" t="s">
        <v>439</v>
      </c>
      <c r="E451" t="s">
        <v>1184</v>
      </c>
      <c r="F451" t="s">
        <v>636</v>
      </c>
      <c r="G451" t="s">
        <v>34</v>
      </c>
      <c r="H451" t="s">
        <v>1421</v>
      </c>
      <c r="I451" t="s">
        <v>727</v>
      </c>
      <c r="J451" t="s">
        <v>2014</v>
      </c>
      <c r="K451" t="s">
        <v>673</v>
      </c>
      <c r="L451" t="s">
        <v>2015</v>
      </c>
      <c r="M451" t="s">
        <v>1386</v>
      </c>
      <c r="N451" t="s">
        <v>639</v>
      </c>
      <c r="O451" t="s">
        <v>755</v>
      </c>
      <c r="P451" t="s">
        <v>673</v>
      </c>
      <c r="Q451" t="s">
        <v>713</v>
      </c>
      <c r="R451" t="s">
        <v>721</v>
      </c>
      <c r="S451" t="s">
        <v>2102</v>
      </c>
      <c r="T451" t="s">
        <v>676</v>
      </c>
      <c r="U451" t="s">
        <v>1421</v>
      </c>
    </row>
    <row r="452" spans="1:21" ht="14.25" x14ac:dyDescent="0.2">
      <c r="A452" t="s">
        <v>1294</v>
      </c>
      <c r="B452" t="s">
        <v>1684</v>
      </c>
      <c r="C452" t="s">
        <v>643</v>
      </c>
      <c r="D452" t="s">
        <v>286</v>
      </c>
      <c r="E452" t="s">
        <v>1239</v>
      </c>
      <c r="F452" t="s">
        <v>636</v>
      </c>
      <c r="G452" t="s">
        <v>664</v>
      </c>
      <c r="H452" t="s">
        <v>2112</v>
      </c>
      <c r="I452" t="s">
        <v>981</v>
      </c>
      <c r="J452" t="s">
        <v>2113</v>
      </c>
      <c r="K452" t="s">
        <v>846</v>
      </c>
      <c r="L452" t="s">
        <v>2114</v>
      </c>
      <c r="M452" t="s">
        <v>2115</v>
      </c>
      <c r="N452" t="s">
        <v>639</v>
      </c>
      <c r="O452" t="s">
        <v>981</v>
      </c>
      <c r="P452" t="s">
        <v>846</v>
      </c>
      <c r="Q452" t="s">
        <v>1057</v>
      </c>
      <c r="R452" t="s">
        <v>643</v>
      </c>
      <c r="S452" t="s">
        <v>643</v>
      </c>
      <c r="T452" t="s">
        <v>643</v>
      </c>
      <c r="U452" t="s">
        <v>2112</v>
      </c>
    </row>
    <row r="453" spans="1:21" ht="14.25" x14ac:dyDescent="0.2">
      <c r="A453" t="s">
        <v>1464</v>
      </c>
      <c r="B453" t="s">
        <v>1572</v>
      </c>
      <c r="C453" t="s">
        <v>643</v>
      </c>
      <c r="D453" t="s">
        <v>175</v>
      </c>
      <c r="E453" t="s">
        <v>1240</v>
      </c>
      <c r="F453" t="s">
        <v>649</v>
      </c>
      <c r="G453" t="s">
        <v>664</v>
      </c>
      <c r="H453" t="s">
        <v>2116</v>
      </c>
      <c r="I453" t="s">
        <v>878</v>
      </c>
      <c r="J453" t="s">
        <v>2600</v>
      </c>
      <c r="K453" t="s">
        <v>790</v>
      </c>
      <c r="L453" t="s">
        <v>2601</v>
      </c>
      <c r="M453" t="s">
        <v>1748</v>
      </c>
      <c r="N453" t="s">
        <v>639</v>
      </c>
      <c r="O453" t="s">
        <v>878</v>
      </c>
      <c r="P453" t="s">
        <v>790</v>
      </c>
      <c r="Q453" t="s">
        <v>1075</v>
      </c>
      <c r="R453" t="s">
        <v>2602</v>
      </c>
      <c r="S453" t="s">
        <v>2603</v>
      </c>
      <c r="T453" t="s">
        <v>2554</v>
      </c>
      <c r="U453" t="s">
        <v>2116</v>
      </c>
    </row>
    <row r="454" spans="1:21" ht="14.25" x14ac:dyDescent="0.2">
      <c r="A454" t="s">
        <v>1294</v>
      </c>
      <c r="B454" t="s">
        <v>1299</v>
      </c>
      <c r="C454" t="s">
        <v>643</v>
      </c>
      <c r="D454" t="s">
        <v>217</v>
      </c>
      <c r="E454" t="s">
        <v>1255</v>
      </c>
      <c r="F454" t="s">
        <v>636</v>
      </c>
      <c r="G454" t="s">
        <v>27</v>
      </c>
      <c r="H454" t="s">
        <v>1736</v>
      </c>
      <c r="I454" t="s">
        <v>646</v>
      </c>
      <c r="J454" t="s">
        <v>2134</v>
      </c>
      <c r="K454" t="s">
        <v>637</v>
      </c>
      <c r="L454" t="s">
        <v>2604</v>
      </c>
      <c r="M454" t="s">
        <v>2605</v>
      </c>
      <c r="N454" t="s">
        <v>639</v>
      </c>
      <c r="O454" t="s">
        <v>646</v>
      </c>
      <c r="P454" t="s">
        <v>637</v>
      </c>
      <c r="Q454" t="s">
        <v>647</v>
      </c>
      <c r="R454" t="s">
        <v>643</v>
      </c>
      <c r="S454" t="s">
        <v>643</v>
      </c>
      <c r="T454" t="s">
        <v>643</v>
      </c>
      <c r="U454" t="s">
        <v>1736</v>
      </c>
    </row>
    <row r="455" spans="1:21" ht="14.25" x14ac:dyDescent="0.2">
      <c r="A455" t="s">
        <v>1351</v>
      </c>
      <c r="B455" t="s">
        <v>1371</v>
      </c>
      <c r="C455" t="s">
        <v>643</v>
      </c>
      <c r="D455" t="s">
        <v>535</v>
      </c>
      <c r="E455" t="s">
        <v>915</v>
      </c>
      <c r="F455" t="s">
        <v>636</v>
      </c>
      <c r="G455" t="s">
        <v>16</v>
      </c>
      <c r="H455" t="s">
        <v>1611</v>
      </c>
      <c r="I455" t="s">
        <v>692</v>
      </c>
      <c r="J455" t="s">
        <v>1612</v>
      </c>
      <c r="K455" t="s">
        <v>673</v>
      </c>
      <c r="L455" t="s">
        <v>1613</v>
      </c>
      <c r="M455" t="s">
        <v>1386</v>
      </c>
      <c r="N455" t="s">
        <v>639</v>
      </c>
      <c r="O455" t="s">
        <v>724</v>
      </c>
      <c r="P455" t="s">
        <v>673</v>
      </c>
      <c r="Q455" t="s">
        <v>713</v>
      </c>
      <c r="R455" t="s">
        <v>643</v>
      </c>
      <c r="S455" t="s">
        <v>643</v>
      </c>
      <c r="T455" t="s">
        <v>643</v>
      </c>
      <c r="U455" t="s">
        <v>1611</v>
      </c>
    </row>
    <row r="456" spans="1:21" ht="14.25" x14ac:dyDescent="0.2">
      <c r="A456" t="s">
        <v>1351</v>
      </c>
      <c r="B456" t="s">
        <v>1371</v>
      </c>
      <c r="C456" t="s">
        <v>643</v>
      </c>
      <c r="D456" t="s">
        <v>446</v>
      </c>
      <c r="E456" t="s">
        <v>1232</v>
      </c>
      <c r="F456" t="s">
        <v>636</v>
      </c>
      <c r="G456" t="s">
        <v>34</v>
      </c>
      <c r="H456" t="s">
        <v>1611</v>
      </c>
      <c r="I456" t="s">
        <v>692</v>
      </c>
      <c r="J456" t="s">
        <v>2441</v>
      </c>
      <c r="K456" t="s">
        <v>673</v>
      </c>
      <c r="L456" t="s">
        <v>2442</v>
      </c>
      <c r="M456" t="s">
        <v>1704</v>
      </c>
      <c r="N456" t="s">
        <v>639</v>
      </c>
      <c r="O456" t="s">
        <v>712</v>
      </c>
      <c r="P456" t="s">
        <v>673</v>
      </c>
      <c r="Q456" t="s">
        <v>713</v>
      </c>
      <c r="R456" t="s">
        <v>721</v>
      </c>
      <c r="S456" t="s">
        <v>1175</v>
      </c>
      <c r="T456" t="s">
        <v>676</v>
      </c>
      <c r="U456" t="s">
        <v>1611</v>
      </c>
    </row>
    <row r="457" spans="1:21" ht="14.25" x14ac:dyDescent="0.2">
      <c r="A457" t="s">
        <v>1351</v>
      </c>
      <c r="B457" t="s">
        <v>1371</v>
      </c>
      <c r="C457" t="s">
        <v>643</v>
      </c>
      <c r="D457" t="s">
        <v>553</v>
      </c>
      <c r="E457" t="s">
        <v>1235</v>
      </c>
      <c r="F457" t="s">
        <v>636</v>
      </c>
      <c r="G457" t="s">
        <v>34</v>
      </c>
      <c r="H457" t="s">
        <v>1611</v>
      </c>
      <c r="I457" t="s">
        <v>692</v>
      </c>
      <c r="J457" t="s">
        <v>2443</v>
      </c>
      <c r="K457" t="s">
        <v>673</v>
      </c>
      <c r="L457" t="s">
        <v>2444</v>
      </c>
      <c r="M457" t="s">
        <v>1704</v>
      </c>
      <c r="N457" t="s">
        <v>639</v>
      </c>
      <c r="O457" t="s">
        <v>724</v>
      </c>
      <c r="P457" t="s">
        <v>673</v>
      </c>
      <c r="Q457" t="s">
        <v>713</v>
      </c>
      <c r="R457" t="s">
        <v>721</v>
      </c>
      <c r="S457" t="s">
        <v>1175</v>
      </c>
      <c r="T457" t="s">
        <v>676</v>
      </c>
      <c r="U457" t="s">
        <v>1611</v>
      </c>
    </row>
    <row r="458" spans="1:21" ht="14.25" x14ac:dyDescent="0.2">
      <c r="A458" t="s">
        <v>1604</v>
      </c>
      <c r="B458" t="s">
        <v>643</v>
      </c>
      <c r="C458" t="s">
        <v>643</v>
      </c>
      <c r="D458" t="s">
        <v>1245</v>
      </c>
      <c r="E458" t="s">
        <v>1244</v>
      </c>
      <c r="F458" t="s">
        <v>636</v>
      </c>
      <c r="G458" t="s">
        <v>27</v>
      </c>
      <c r="H458" t="s">
        <v>2121</v>
      </c>
      <c r="I458" t="s">
        <v>1213</v>
      </c>
      <c r="J458" t="s">
        <v>2122</v>
      </c>
      <c r="K458" t="s">
        <v>643</v>
      </c>
      <c r="L458" t="s">
        <v>643</v>
      </c>
      <c r="M458" t="s">
        <v>2123</v>
      </c>
      <c r="N458" t="s">
        <v>672</v>
      </c>
      <c r="O458" t="s">
        <v>1213</v>
      </c>
      <c r="P458" t="s">
        <v>910</v>
      </c>
      <c r="Q458" t="s">
        <v>1215</v>
      </c>
      <c r="R458" t="s">
        <v>643</v>
      </c>
      <c r="S458" t="s">
        <v>643</v>
      </c>
      <c r="T458" t="s">
        <v>643</v>
      </c>
      <c r="U458" t="s">
        <v>2121</v>
      </c>
    </row>
    <row r="459" spans="1:21" ht="14.25" x14ac:dyDescent="0.2">
      <c r="A459" t="s">
        <v>1294</v>
      </c>
      <c r="B459" t="s">
        <v>1299</v>
      </c>
      <c r="C459" t="s">
        <v>643</v>
      </c>
      <c r="D459" t="s">
        <v>288</v>
      </c>
      <c r="E459" t="s">
        <v>1279</v>
      </c>
      <c r="F459" t="s">
        <v>636</v>
      </c>
      <c r="G459" t="s">
        <v>925</v>
      </c>
      <c r="H459" t="s">
        <v>2127</v>
      </c>
      <c r="I459" t="s">
        <v>646</v>
      </c>
      <c r="J459" t="s">
        <v>2166</v>
      </c>
      <c r="K459" t="s">
        <v>637</v>
      </c>
      <c r="L459" t="s">
        <v>2606</v>
      </c>
      <c r="M459" t="s">
        <v>2129</v>
      </c>
      <c r="N459" t="s">
        <v>693</v>
      </c>
      <c r="O459" t="s">
        <v>646</v>
      </c>
      <c r="P459" t="s">
        <v>637</v>
      </c>
      <c r="Q459" t="s">
        <v>647</v>
      </c>
      <c r="R459" t="s">
        <v>643</v>
      </c>
      <c r="S459" t="s">
        <v>643</v>
      </c>
      <c r="T459" t="s">
        <v>643</v>
      </c>
      <c r="U459" t="s">
        <v>2127</v>
      </c>
    </row>
    <row r="460" spans="1:21" ht="14.25" x14ac:dyDescent="0.2">
      <c r="A460" t="s">
        <v>1294</v>
      </c>
      <c r="B460" t="s">
        <v>1299</v>
      </c>
      <c r="C460" t="s">
        <v>643</v>
      </c>
      <c r="D460" t="s">
        <v>266</v>
      </c>
      <c r="E460" t="s">
        <v>1282</v>
      </c>
      <c r="F460" t="s">
        <v>636</v>
      </c>
      <c r="G460" t="s">
        <v>925</v>
      </c>
      <c r="H460" t="s">
        <v>2127</v>
      </c>
      <c r="I460" t="s">
        <v>646</v>
      </c>
      <c r="J460" t="s">
        <v>2168</v>
      </c>
      <c r="K460" t="s">
        <v>637</v>
      </c>
      <c r="L460" t="s">
        <v>2607</v>
      </c>
      <c r="M460" t="s">
        <v>2552</v>
      </c>
      <c r="N460" t="s">
        <v>639</v>
      </c>
      <c r="O460" t="s">
        <v>646</v>
      </c>
      <c r="P460" t="s">
        <v>637</v>
      </c>
      <c r="Q460" t="s">
        <v>647</v>
      </c>
      <c r="R460" t="s">
        <v>721</v>
      </c>
      <c r="S460" t="s">
        <v>929</v>
      </c>
      <c r="T460" t="s">
        <v>676</v>
      </c>
      <c r="U460" t="s">
        <v>2127</v>
      </c>
    </row>
    <row r="461" spans="1:21" ht="14.25" x14ac:dyDescent="0.2">
      <c r="A461" t="s">
        <v>1604</v>
      </c>
      <c r="B461" t="s">
        <v>643</v>
      </c>
      <c r="C461" t="s">
        <v>643</v>
      </c>
      <c r="D461" t="s">
        <v>1249</v>
      </c>
      <c r="E461" t="s">
        <v>1248</v>
      </c>
      <c r="F461" t="s">
        <v>636</v>
      </c>
      <c r="G461" t="s">
        <v>664</v>
      </c>
      <c r="H461" t="s">
        <v>2127</v>
      </c>
      <c r="I461" t="s">
        <v>1213</v>
      </c>
      <c r="J461" t="s">
        <v>2128</v>
      </c>
      <c r="K461" t="s">
        <v>1250</v>
      </c>
      <c r="L461" t="s">
        <v>2445</v>
      </c>
      <c r="M461" t="s">
        <v>2446</v>
      </c>
      <c r="N461" t="s">
        <v>639</v>
      </c>
      <c r="O461" t="s">
        <v>1213</v>
      </c>
      <c r="P461" t="s">
        <v>1250</v>
      </c>
      <c r="Q461" t="s">
        <v>1215</v>
      </c>
      <c r="R461" t="s">
        <v>1251</v>
      </c>
      <c r="S461" t="s">
        <v>1251</v>
      </c>
      <c r="T461" t="s">
        <v>703</v>
      </c>
      <c r="U461" t="s">
        <v>2127</v>
      </c>
    </row>
    <row r="462" spans="1:21" ht="14.25" x14ac:dyDescent="0.2">
      <c r="A462" t="s">
        <v>1464</v>
      </c>
      <c r="B462" t="s">
        <v>1481</v>
      </c>
      <c r="C462" t="s">
        <v>643</v>
      </c>
      <c r="D462" t="s">
        <v>414</v>
      </c>
      <c r="E462" t="s">
        <v>1252</v>
      </c>
      <c r="F462" t="s">
        <v>636</v>
      </c>
      <c r="G462" t="s">
        <v>16</v>
      </c>
      <c r="H462" t="s">
        <v>2130</v>
      </c>
      <c r="I462" t="s">
        <v>643</v>
      </c>
      <c r="J462" t="s">
        <v>643</v>
      </c>
      <c r="K462" t="s">
        <v>703</v>
      </c>
      <c r="L462" t="s">
        <v>2131</v>
      </c>
      <c r="M462" t="s">
        <v>1577</v>
      </c>
      <c r="N462" t="s">
        <v>639</v>
      </c>
      <c r="O462" t="s">
        <v>855</v>
      </c>
      <c r="P462" t="s">
        <v>790</v>
      </c>
      <c r="Q462" t="s">
        <v>643</v>
      </c>
      <c r="R462" t="s">
        <v>643</v>
      </c>
      <c r="S462" t="s">
        <v>643</v>
      </c>
      <c r="T462" t="s">
        <v>643</v>
      </c>
      <c r="U462" t="s">
        <v>2130</v>
      </c>
    </row>
    <row r="463" spans="1:21" ht="14.25" x14ac:dyDescent="0.2">
      <c r="A463" t="s">
        <v>1464</v>
      </c>
      <c r="B463" t="s">
        <v>1481</v>
      </c>
      <c r="C463" t="s">
        <v>643</v>
      </c>
      <c r="D463" t="s">
        <v>427</v>
      </c>
      <c r="E463" t="s">
        <v>1253</v>
      </c>
      <c r="F463" t="s">
        <v>636</v>
      </c>
      <c r="G463" t="s">
        <v>16</v>
      </c>
      <c r="H463" t="s">
        <v>2130</v>
      </c>
      <c r="I463" t="s">
        <v>643</v>
      </c>
      <c r="J463" t="s">
        <v>643</v>
      </c>
      <c r="K463" t="s">
        <v>703</v>
      </c>
      <c r="L463" t="s">
        <v>2132</v>
      </c>
      <c r="M463" t="s">
        <v>1577</v>
      </c>
      <c r="N463" t="s">
        <v>639</v>
      </c>
      <c r="O463" t="s">
        <v>855</v>
      </c>
      <c r="P463" t="s">
        <v>790</v>
      </c>
      <c r="Q463" t="s">
        <v>643</v>
      </c>
      <c r="R463" t="s">
        <v>643</v>
      </c>
      <c r="S463" t="s">
        <v>643</v>
      </c>
      <c r="T463" t="s">
        <v>643</v>
      </c>
      <c r="U463" t="s">
        <v>2130</v>
      </c>
    </row>
    <row r="464" spans="1:21" ht="14.25" x14ac:dyDescent="0.2">
      <c r="A464" t="s">
        <v>1320</v>
      </c>
      <c r="B464" t="s">
        <v>1558</v>
      </c>
      <c r="C464" t="s">
        <v>643</v>
      </c>
      <c r="D464" t="s">
        <v>86</v>
      </c>
      <c r="E464" t="s">
        <v>1254</v>
      </c>
      <c r="F464" t="s">
        <v>649</v>
      </c>
      <c r="G464" t="s">
        <v>925</v>
      </c>
      <c r="H464" t="s">
        <v>2130</v>
      </c>
      <c r="I464" t="s">
        <v>669</v>
      </c>
      <c r="J464" t="s">
        <v>2608</v>
      </c>
      <c r="K464" t="s">
        <v>673</v>
      </c>
      <c r="L464" t="s">
        <v>2609</v>
      </c>
      <c r="M464" t="s">
        <v>2595</v>
      </c>
      <c r="N464" t="s">
        <v>639</v>
      </c>
      <c r="O464" t="s">
        <v>669</v>
      </c>
      <c r="P464" t="s">
        <v>673</v>
      </c>
      <c r="Q464" t="s">
        <v>670</v>
      </c>
      <c r="R464" t="s">
        <v>2610</v>
      </c>
      <c r="S464" t="s">
        <v>2611</v>
      </c>
      <c r="T464" t="s">
        <v>2380</v>
      </c>
      <c r="U464" t="s">
        <v>2130</v>
      </c>
    </row>
    <row r="465" spans="1:21" ht="14.25" x14ac:dyDescent="0.2">
      <c r="A465" t="s">
        <v>1320</v>
      </c>
      <c r="B465" t="s">
        <v>1558</v>
      </c>
      <c r="C465" t="s">
        <v>643</v>
      </c>
      <c r="D465" t="s">
        <v>86</v>
      </c>
      <c r="E465" t="s">
        <v>1254</v>
      </c>
      <c r="F465" t="s">
        <v>649</v>
      </c>
      <c r="G465" t="s">
        <v>925</v>
      </c>
      <c r="H465" t="s">
        <v>2130</v>
      </c>
      <c r="I465" t="s">
        <v>669</v>
      </c>
      <c r="J465" t="s">
        <v>2608</v>
      </c>
      <c r="K465" t="s">
        <v>673</v>
      </c>
      <c r="L465" t="s">
        <v>2609</v>
      </c>
      <c r="M465" t="s">
        <v>2595</v>
      </c>
      <c r="N465" t="s">
        <v>639</v>
      </c>
      <c r="O465" t="s">
        <v>669</v>
      </c>
      <c r="P465" t="s">
        <v>673</v>
      </c>
      <c r="Q465" t="s">
        <v>670</v>
      </c>
      <c r="R465" t="s">
        <v>2612</v>
      </c>
      <c r="S465" t="s">
        <v>2612</v>
      </c>
      <c r="T465" t="s">
        <v>2380</v>
      </c>
      <c r="U465" t="s">
        <v>2130</v>
      </c>
    </row>
    <row r="466" spans="1:21" ht="14.25" x14ac:dyDescent="0.2">
      <c r="A466" t="s">
        <v>1294</v>
      </c>
      <c r="B466" t="s">
        <v>1299</v>
      </c>
      <c r="C466" t="s">
        <v>643</v>
      </c>
      <c r="D466" t="s">
        <v>240</v>
      </c>
      <c r="E466" t="s">
        <v>1053</v>
      </c>
      <c r="F466" t="s">
        <v>636</v>
      </c>
      <c r="G466" t="s">
        <v>16</v>
      </c>
      <c r="H466" t="s">
        <v>1794</v>
      </c>
      <c r="I466" t="s">
        <v>646</v>
      </c>
      <c r="J466" t="s">
        <v>1795</v>
      </c>
      <c r="K466" t="s">
        <v>637</v>
      </c>
      <c r="L466" t="s">
        <v>2613</v>
      </c>
      <c r="M466" t="s">
        <v>2552</v>
      </c>
      <c r="N466" t="s">
        <v>639</v>
      </c>
      <c r="O466" t="s">
        <v>646</v>
      </c>
      <c r="P466" t="s">
        <v>637</v>
      </c>
      <c r="Q466" t="s">
        <v>647</v>
      </c>
      <c r="R466" t="s">
        <v>643</v>
      </c>
      <c r="S466" t="s">
        <v>643</v>
      </c>
      <c r="T466" t="s">
        <v>643</v>
      </c>
      <c r="U466" t="s">
        <v>1794</v>
      </c>
    </row>
    <row r="467" spans="1:21" ht="14.25" x14ac:dyDescent="0.2">
      <c r="A467" t="s">
        <v>1450</v>
      </c>
      <c r="B467" t="s">
        <v>1918</v>
      </c>
      <c r="C467" t="s">
        <v>643</v>
      </c>
      <c r="D467" t="s">
        <v>205</v>
      </c>
      <c r="E467" t="s">
        <v>1256</v>
      </c>
      <c r="F467" t="s">
        <v>649</v>
      </c>
      <c r="G467" t="s">
        <v>37</v>
      </c>
      <c r="H467" t="s">
        <v>2135</v>
      </c>
      <c r="I467" t="s">
        <v>839</v>
      </c>
      <c r="J467" t="s">
        <v>2136</v>
      </c>
      <c r="K467" t="s">
        <v>673</v>
      </c>
      <c r="L467" t="s">
        <v>2350</v>
      </c>
      <c r="M467" t="s">
        <v>2346</v>
      </c>
      <c r="N467" t="s">
        <v>639</v>
      </c>
      <c r="O467" t="s">
        <v>839</v>
      </c>
      <c r="P467" t="s">
        <v>673</v>
      </c>
      <c r="Q467" t="s">
        <v>840</v>
      </c>
      <c r="R467" t="s">
        <v>1257</v>
      </c>
      <c r="S467" t="s">
        <v>1258</v>
      </c>
      <c r="T467" t="s">
        <v>703</v>
      </c>
      <c r="U467" t="s">
        <v>2135</v>
      </c>
    </row>
    <row r="468" spans="1:21" ht="14.25" x14ac:dyDescent="0.2">
      <c r="A468" t="s">
        <v>1450</v>
      </c>
      <c r="B468" t="s">
        <v>1918</v>
      </c>
      <c r="C468" t="s">
        <v>643</v>
      </c>
      <c r="D468" t="s">
        <v>205</v>
      </c>
      <c r="E468" t="s">
        <v>1256</v>
      </c>
      <c r="F468" t="s">
        <v>649</v>
      </c>
      <c r="G468" t="s">
        <v>37</v>
      </c>
      <c r="H468" t="s">
        <v>2135</v>
      </c>
      <c r="I468" t="s">
        <v>839</v>
      </c>
      <c r="J468" t="s">
        <v>2136</v>
      </c>
      <c r="K468" t="s">
        <v>673</v>
      </c>
      <c r="L468" t="s">
        <v>2350</v>
      </c>
      <c r="M468" t="s">
        <v>2346</v>
      </c>
      <c r="N468" t="s">
        <v>639</v>
      </c>
      <c r="O468" t="s">
        <v>839</v>
      </c>
      <c r="P468" t="s">
        <v>673</v>
      </c>
      <c r="Q468" t="s">
        <v>840</v>
      </c>
      <c r="R468" t="s">
        <v>2137</v>
      </c>
      <c r="S468" t="s">
        <v>2138</v>
      </c>
      <c r="T468" t="s">
        <v>703</v>
      </c>
      <c r="U468" t="s">
        <v>2135</v>
      </c>
    </row>
    <row r="469" spans="1:21" ht="14.25" x14ac:dyDescent="0.2">
      <c r="A469" t="s">
        <v>1464</v>
      </c>
      <c r="B469" t="s">
        <v>1572</v>
      </c>
      <c r="C469" t="s">
        <v>643</v>
      </c>
      <c r="D469" t="s">
        <v>237</v>
      </c>
      <c r="E469" t="s">
        <v>1259</v>
      </c>
      <c r="F469" t="s">
        <v>649</v>
      </c>
      <c r="G469" t="s">
        <v>37</v>
      </c>
      <c r="H469" t="s">
        <v>2139</v>
      </c>
      <c r="I469" t="s">
        <v>878</v>
      </c>
      <c r="J469" t="s">
        <v>2614</v>
      </c>
      <c r="K469" t="s">
        <v>790</v>
      </c>
      <c r="L469" t="s">
        <v>2615</v>
      </c>
      <c r="M469" t="s">
        <v>1748</v>
      </c>
      <c r="N469" t="s">
        <v>639</v>
      </c>
      <c r="O469" t="s">
        <v>878</v>
      </c>
      <c r="P469" t="s">
        <v>790</v>
      </c>
      <c r="Q469" t="s">
        <v>1075</v>
      </c>
      <c r="R469" t="s">
        <v>1260</v>
      </c>
      <c r="S469" t="s">
        <v>1261</v>
      </c>
      <c r="T469" t="s">
        <v>703</v>
      </c>
      <c r="U469" t="s">
        <v>2139</v>
      </c>
    </row>
    <row r="470" spans="1:21" ht="14.25" x14ac:dyDescent="0.2">
      <c r="A470" t="s">
        <v>1464</v>
      </c>
      <c r="B470" t="s">
        <v>1572</v>
      </c>
      <c r="C470" t="s">
        <v>643</v>
      </c>
      <c r="D470" t="s">
        <v>237</v>
      </c>
      <c r="E470" t="s">
        <v>1259</v>
      </c>
      <c r="F470" t="s">
        <v>649</v>
      </c>
      <c r="G470" t="s">
        <v>37</v>
      </c>
      <c r="H470" t="s">
        <v>2139</v>
      </c>
      <c r="I470" t="s">
        <v>878</v>
      </c>
      <c r="J470" t="s">
        <v>2614</v>
      </c>
      <c r="K470" t="s">
        <v>790</v>
      </c>
      <c r="L470" t="s">
        <v>2615</v>
      </c>
      <c r="M470" t="s">
        <v>1748</v>
      </c>
      <c r="N470" t="s">
        <v>639</v>
      </c>
      <c r="O470" t="s">
        <v>878</v>
      </c>
      <c r="P470" t="s">
        <v>790</v>
      </c>
      <c r="Q470" t="s">
        <v>1075</v>
      </c>
      <c r="R470" t="s">
        <v>652</v>
      </c>
      <c r="S470" t="s">
        <v>2616</v>
      </c>
      <c r="T470" t="s">
        <v>2554</v>
      </c>
      <c r="U470" t="s">
        <v>2139</v>
      </c>
    </row>
    <row r="471" spans="1:21" ht="14.25" x14ac:dyDescent="0.2">
      <c r="A471" t="s">
        <v>1604</v>
      </c>
      <c r="B471" t="s">
        <v>643</v>
      </c>
      <c r="C471" t="s">
        <v>643</v>
      </c>
      <c r="D471" t="s">
        <v>290</v>
      </c>
      <c r="E471" t="s">
        <v>1262</v>
      </c>
      <c r="F471" t="s">
        <v>636</v>
      </c>
      <c r="G471" t="s">
        <v>16</v>
      </c>
      <c r="H471" t="s">
        <v>2130</v>
      </c>
      <c r="I471" t="s">
        <v>839</v>
      </c>
      <c r="J471" t="s">
        <v>2140</v>
      </c>
      <c r="K471" t="s">
        <v>673</v>
      </c>
      <c r="L471" t="s">
        <v>2141</v>
      </c>
      <c r="M471" t="s">
        <v>1562</v>
      </c>
      <c r="N471" t="s">
        <v>639</v>
      </c>
      <c r="O471" t="s">
        <v>839</v>
      </c>
      <c r="P471" t="s">
        <v>673</v>
      </c>
      <c r="Q471" t="s">
        <v>840</v>
      </c>
      <c r="R471" t="s">
        <v>1263</v>
      </c>
      <c r="S471" t="s">
        <v>1264</v>
      </c>
      <c r="T471" t="s">
        <v>703</v>
      </c>
      <c r="U471" t="s">
        <v>2130</v>
      </c>
    </row>
    <row r="472" spans="1:21" ht="14.25" x14ac:dyDescent="0.2">
      <c r="A472" t="s">
        <v>1604</v>
      </c>
      <c r="B472" t="s">
        <v>643</v>
      </c>
      <c r="C472" t="s">
        <v>643</v>
      </c>
      <c r="D472" t="s">
        <v>311</v>
      </c>
      <c r="E472" t="s">
        <v>1265</v>
      </c>
      <c r="F472" t="s">
        <v>636</v>
      </c>
      <c r="G472" t="s">
        <v>16</v>
      </c>
      <c r="H472" t="s">
        <v>2133</v>
      </c>
      <c r="I472" t="s">
        <v>839</v>
      </c>
      <c r="J472" t="s">
        <v>2142</v>
      </c>
      <c r="K472" t="s">
        <v>673</v>
      </c>
      <c r="L472" t="s">
        <v>2143</v>
      </c>
      <c r="M472" t="s">
        <v>1386</v>
      </c>
      <c r="N472" t="s">
        <v>639</v>
      </c>
      <c r="O472" t="s">
        <v>839</v>
      </c>
      <c r="P472" t="s">
        <v>673</v>
      </c>
      <c r="Q472" t="s">
        <v>840</v>
      </c>
      <c r="R472" t="s">
        <v>643</v>
      </c>
      <c r="S472" t="s">
        <v>643</v>
      </c>
      <c r="T472" t="s">
        <v>643</v>
      </c>
      <c r="U472" t="s">
        <v>2133</v>
      </c>
    </row>
    <row r="473" spans="1:21" ht="14.25" x14ac:dyDescent="0.2">
      <c r="A473" t="s">
        <v>1294</v>
      </c>
      <c r="B473" t="s">
        <v>1299</v>
      </c>
      <c r="C473" t="s">
        <v>643</v>
      </c>
      <c r="D473" t="s">
        <v>308</v>
      </c>
      <c r="E473" t="s">
        <v>1280</v>
      </c>
      <c r="F473" t="s">
        <v>636</v>
      </c>
      <c r="G473" t="s">
        <v>925</v>
      </c>
      <c r="H473" t="s">
        <v>2147</v>
      </c>
      <c r="I473" t="s">
        <v>646</v>
      </c>
      <c r="J473" t="s">
        <v>2167</v>
      </c>
      <c r="K473" t="s">
        <v>637</v>
      </c>
      <c r="L473" t="s">
        <v>2617</v>
      </c>
      <c r="M473" t="s">
        <v>2552</v>
      </c>
      <c r="N473" t="s">
        <v>639</v>
      </c>
      <c r="O473" t="s">
        <v>646</v>
      </c>
      <c r="P473" t="s">
        <v>637</v>
      </c>
      <c r="Q473" t="s">
        <v>647</v>
      </c>
      <c r="R473" t="s">
        <v>1281</v>
      </c>
      <c r="S473" t="s">
        <v>959</v>
      </c>
      <c r="T473" t="s">
        <v>676</v>
      </c>
      <c r="U473" t="s">
        <v>2147</v>
      </c>
    </row>
    <row r="474" spans="1:21" ht="14.25" x14ac:dyDescent="0.2">
      <c r="A474" t="s">
        <v>1604</v>
      </c>
      <c r="B474" t="s">
        <v>643</v>
      </c>
      <c r="C474" t="s">
        <v>643</v>
      </c>
      <c r="D474" t="s">
        <v>312</v>
      </c>
      <c r="E474" t="s">
        <v>1267</v>
      </c>
      <c r="F474" t="s">
        <v>636</v>
      </c>
      <c r="G474" t="s">
        <v>27</v>
      </c>
      <c r="H474" t="s">
        <v>2147</v>
      </c>
      <c r="I474" t="s">
        <v>1250</v>
      </c>
      <c r="J474" t="s">
        <v>2447</v>
      </c>
      <c r="K474" t="s">
        <v>643</v>
      </c>
      <c r="L474" t="s">
        <v>643</v>
      </c>
      <c r="M474" t="s">
        <v>2148</v>
      </c>
      <c r="N474" t="s">
        <v>672</v>
      </c>
      <c r="O474" t="s">
        <v>1268</v>
      </c>
      <c r="P474" t="s">
        <v>910</v>
      </c>
      <c r="Q474" t="s">
        <v>1215</v>
      </c>
      <c r="R474" t="s">
        <v>643</v>
      </c>
      <c r="S474" t="s">
        <v>643</v>
      </c>
      <c r="T474" t="s">
        <v>643</v>
      </c>
      <c r="U474" t="s">
        <v>2147</v>
      </c>
    </row>
    <row r="475" spans="1:21" ht="14.25" x14ac:dyDescent="0.2">
      <c r="A475" t="s">
        <v>1294</v>
      </c>
      <c r="B475" t="s">
        <v>1446</v>
      </c>
      <c r="C475" t="s">
        <v>643</v>
      </c>
      <c r="D475" t="s">
        <v>475</v>
      </c>
      <c r="E475" t="s">
        <v>1269</v>
      </c>
      <c r="F475" t="s">
        <v>636</v>
      </c>
      <c r="G475" t="s">
        <v>16</v>
      </c>
      <c r="H475" t="s">
        <v>2149</v>
      </c>
      <c r="I475" t="s">
        <v>785</v>
      </c>
      <c r="J475" t="s">
        <v>2150</v>
      </c>
      <c r="K475" t="s">
        <v>637</v>
      </c>
      <c r="L475" t="s">
        <v>2618</v>
      </c>
      <c r="M475" t="s">
        <v>2552</v>
      </c>
      <c r="N475" t="s">
        <v>639</v>
      </c>
      <c r="O475" t="s">
        <v>785</v>
      </c>
      <c r="P475" t="s">
        <v>637</v>
      </c>
      <c r="Q475" t="s">
        <v>786</v>
      </c>
      <c r="R475" t="s">
        <v>643</v>
      </c>
      <c r="S475" t="s">
        <v>643</v>
      </c>
      <c r="T475" t="s">
        <v>643</v>
      </c>
      <c r="U475" t="s">
        <v>2149</v>
      </c>
    </row>
    <row r="476" spans="1:21" ht="14.25" x14ac:dyDescent="0.2">
      <c r="A476" t="s">
        <v>1294</v>
      </c>
      <c r="B476" t="s">
        <v>1446</v>
      </c>
      <c r="C476" t="s">
        <v>643</v>
      </c>
      <c r="D476" t="s">
        <v>367</v>
      </c>
      <c r="E476" t="s">
        <v>1270</v>
      </c>
      <c r="F476" t="s">
        <v>636</v>
      </c>
      <c r="G476" t="s">
        <v>664</v>
      </c>
      <c r="H476" t="s">
        <v>2149</v>
      </c>
      <c r="I476" t="s">
        <v>785</v>
      </c>
      <c r="J476" t="s">
        <v>2151</v>
      </c>
      <c r="K476" t="s">
        <v>637</v>
      </c>
      <c r="L476" t="s">
        <v>2619</v>
      </c>
      <c r="M476" t="s">
        <v>2552</v>
      </c>
      <c r="N476" t="s">
        <v>639</v>
      </c>
      <c r="O476" t="s">
        <v>785</v>
      </c>
      <c r="P476" t="s">
        <v>637</v>
      </c>
      <c r="Q476" t="s">
        <v>786</v>
      </c>
      <c r="R476" t="s">
        <v>643</v>
      </c>
      <c r="S476" t="s">
        <v>643</v>
      </c>
      <c r="T476" t="s">
        <v>643</v>
      </c>
      <c r="U476" t="s">
        <v>2149</v>
      </c>
    </row>
    <row r="477" spans="1:21" ht="14.25" x14ac:dyDescent="0.2">
      <c r="A477" t="s">
        <v>1464</v>
      </c>
      <c r="B477" t="s">
        <v>1465</v>
      </c>
      <c r="C477" t="s">
        <v>643</v>
      </c>
      <c r="D477" t="s">
        <v>131</v>
      </c>
      <c r="E477" t="s">
        <v>1271</v>
      </c>
      <c r="F477" t="s">
        <v>636</v>
      </c>
      <c r="G477" t="s">
        <v>16</v>
      </c>
      <c r="H477" t="s">
        <v>2152</v>
      </c>
      <c r="I477" t="s">
        <v>789</v>
      </c>
      <c r="J477" t="s">
        <v>2153</v>
      </c>
      <c r="K477" t="s">
        <v>790</v>
      </c>
      <c r="L477" t="s">
        <v>2154</v>
      </c>
      <c r="M477" t="s">
        <v>1467</v>
      </c>
      <c r="N477" t="s">
        <v>639</v>
      </c>
      <c r="O477" t="s">
        <v>789</v>
      </c>
      <c r="P477" t="s">
        <v>790</v>
      </c>
      <c r="Q477" t="s">
        <v>796</v>
      </c>
      <c r="R477" t="s">
        <v>643</v>
      </c>
      <c r="S477" t="s">
        <v>643</v>
      </c>
      <c r="T477" t="s">
        <v>643</v>
      </c>
      <c r="U477" t="s">
        <v>2152</v>
      </c>
    </row>
    <row r="478" spans="1:21" ht="14.25" x14ac:dyDescent="0.2">
      <c r="A478" t="s">
        <v>1604</v>
      </c>
      <c r="B478" t="s">
        <v>643</v>
      </c>
      <c r="C478" t="s">
        <v>643</v>
      </c>
      <c r="D478" t="s">
        <v>328</v>
      </c>
      <c r="E478" t="s">
        <v>1272</v>
      </c>
      <c r="F478" t="s">
        <v>636</v>
      </c>
      <c r="G478" t="s">
        <v>16</v>
      </c>
      <c r="H478" t="s">
        <v>2135</v>
      </c>
      <c r="I478" t="s">
        <v>839</v>
      </c>
      <c r="J478" t="s">
        <v>2155</v>
      </c>
      <c r="K478" t="s">
        <v>673</v>
      </c>
      <c r="L478" t="s">
        <v>2351</v>
      </c>
      <c r="M478" t="s">
        <v>2346</v>
      </c>
      <c r="N478" t="s">
        <v>639</v>
      </c>
      <c r="O478" t="s">
        <v>839</v>
      </c>
      <c r="P478" t="s">
        <v>673</v>
      </c>
      <c r="Q478" t="s">
        <v>840</v>
      </c>
      <c r="R478" t="s">
        <v>643</v>
      </c>
      <c r="S478" t="s">
        <v>643</v>
      </c>
      <c r="T478" t="s">
        <v>643</v>
      </c>
      <c r="U478" t="s">
        <v>2135</v>
      </c>
    </row>
    <row r="479" spans="1:21" ht="14.25" x14ac:dyDescent="0.2">
      <c r="A479" t="s">
        <v>1450</v>
      </c>
      <c r="B479" t="s">
        <v>1918</v>
      </c>
      <c r="C479" t="s">
        <v>643</v>
      </c>
      <c r="D479" t="s">
        <v>374</v>
      </c>
      <c r="E479" t="s">
        <v>1273</v>
      </c>
      <c r="F479" t="s">
        <v>636</v>
      </c>
      <c r="G479" t="s">
        <v>16</v>
      </c>
      <c r="H479" t="s">
        <v>2156</v>
      </c>
      <c r="I479" t="s">
        <v>839</v>
      </c>
      <c r="J479" t="s">
        <v>2157</v>
      </c>
      <c r="K479" t="s">
        <v>673</v>
      </c>
      <c r="L479" t="s">
        <v>2352</v>
      </c>
      <c r="M479" t="s">
        <v>2346</v>
      </c>
      <c r="N479" t="s">
        <v>639</v>
      </c>
      <c r="O479" t="s">
        <v>839</v>
      </c>
      <c r="P479" t="s">
        <v>673</v>
      </c>
      <c r="Q479" t="s">
        <v>840</v>
      </c>
      <c r="R479" t="s">
        <v>643</v>
      </c>
      <c r="S479" t="s">
        <v>643</v>
      </c>
      <c r="T479" t="s">
        <v>643</v>
      </c>
      <c r="U479" t="s">
        <v>2156</v>
      </c>
    </row>
    <row r="480" spans="1:21" ht="14.25" x14ac:dyDescent="0.2">
      <c r="A480" t="s">
        <v>1721</v>
      </c>
      <c r="B480" t="s">
        <v>643</v>
      </c>
      <c r="C480" t="s">
        <v>643</v>
      </c>
      <c r="D480" t="s">
        <v>292</v>
      </c>
      <c r="E480" t="s">
        <v>1140</v>
      </c>
      <c r="F480" t="s">
        <v>636</v>
      </c>
      <c r="G480" t="s">
        <v>16</v>
      </c>
      <c r="H480" t="s">
        <v>1941</v>
      </c>
      <c r="I480" t="s">
        <v>1011</v>
      </c>
      <c r="J480" t="s">
        <v>1942</v>
      </c>
      <c r="K480" t="s">
        <v>727</v>
      </c>
      <c r="L480" t="s">
        <v>2353</v>
      </c>
      <c r="M480" t="s">
        <v>2346</v>
      </c>
      <c r="N480" t="s">
        <v>639</v>
      </c>
      <c r="O480" t="s">
        <v>1011</v>
      </c>
      <c r="P480" t="s">
        <v>727</v>
      </c>
      <c r="Q480" t="s">
        <v>1009</v>
      </c>
      <c r="R480" t="s">
        <v>643</v>
      </c>
      <c r="S480" t="s">
        <v>643</v>
      </c>
      <c r="T480" t="s">
        <v>643</v>
      </c>
      <c r="U480" t="s">
        <v>1941</v>
      </c>
    </row>
    <row r="481" spans="1:21" ht="14.25" x14ac:dyDescent="0.2">
      <c r="A481" t="s">
        <v>1450</v>
      </c>
      <c r="B481" t="s">
        <v>1451</v>
      </c>
      <c r="C481" t="s">
        <v>643</v>
      </c>
      <c r="D481" t="s">
        <v>170</v>
      </c>
      <c r="E481" t="s">
        <v>1003</v>
      </c>
      <c r="F481" t="s">
        <v>636</v>
      </c>
      <c r="G481" t="s">
        <v>27</v>
      </c>
      <c r="H481" t="s">
        <v>1719</v>
      </c>
      <c r="I481" t="s">
        <v>839</v>
      </c>
      <c r="J481" t="s">
        <v>1720</v>
      </c>
      <c r="K481" t="s">
        <v>673</v>
      </c>
      <c r="L481" t="s">
        <v>2354</v>
      </c>
      <c r="M481" t="s">
        <v>2346</v>
      </c>
      <c r="N481" t="s">
        <v>639</v>
      </c>
      <c r="O481" t="s">
        <v>839</v>
      </c>
      <c r="P481" t="s">
        <v>673</v>
      </c>
      <c r="Q481" t="s">
        <v>840</v>
      </c>
      <c r="R481" t="s">
        <v>1004</v>
      </c>
      <c r="S481" t="s">
        <v>1005</v>
      </c>
      <c r="T481" t="s">
        <v>703</v>
      </c>
      <c r="U481" t="s">
        <v>1719</v>
      </c>
    </row>
    <row r="482" spans="1:21" ht="14.25" x14ac:dyDescent="0.2">
      <c r="A482" t="s">
        <v>1450</v>
      </c>
      <c r="B482" t="s">
        <v>1451</v>
      </c>
      <c r="C482" t="s">
        <v>643</v>
      </c>
      <c r="D482" t="s">
        <v>203</v>
      </c>
      <c r="E482" t="s">
        <v>1021</v>
      </c>
      <c r="F482" t="s">
        <v>636</v>
      </c>
      <c r="G482" t="s">
        <v>27</v>
      </c>
      <c r="H482" t="s">
        <v>1438</v>
      </c>
      <c r="I482" t="s">
        <v>839</v>
      </c>
      <c r="J482" t="s">
        <v>1745</v>
      </c>
      <c r="K482" t="s">
        <v>673</v>
      </c>
      <c r="L482" t="s">
        <v>2355</v>
      </c>
      <c r="M482" t="s">
        <v>2346</v>
      </c>
      <c r="N482" t="s">
        <v>639</v>
      </c>
      <c r="O482" t="s">
        <v>839</v>
      </c>
      <c r="P482" t="s">
        <v>673</v>
      </c>
      <c r="Q482" t="s">
        <v>840</v>
      </c>
      <c r="R482" t="s">
        <v>1022</v>
      </c>
      <c r="S482" t="s">
        <v>1023</v>
      </c>
      <c r="T482" t="s">
        <v>703</v>
      </c>
      <c r="U482" t="s">
        <v>1438</v>
      </c>
    </row>
    <row r="483" spans="1:21" ht="14.25" x14ac:dyDescent="0.2">
      <c r="A483" t="s">
        <v>1450</v>
      </c>
      <c r="B483" t="s">
        <v>1451</v>
      </c>
      <c r="C483" t="s">
        <v>643</v>
      </c>
      <c r="D483" t="s">
        <v>123</v>
      </c>
      <c r="E483" t="s">
        <v>947</v>
      </c>
      <c r="F483" t="s">
        <v>636</v>
      </c>
      <c r="G483" t="s">
        <v>664</v>
      </c>
      <c r="H483" t="s">
        <v>1644</v>
      </c>
      <c r="I483" t="s">
        <v>839</v>
      </c>
      <c r="J483" t="s">
        <v>1645</v>
      </c>
      <c r="K483" t="s">
        <v>673</v>
      </c>
      <c r="L483" t="s">
        <v>2356</v>
      </c>
      <c r="M483" t="s">
        <v>2346</v>
      </c>
      <c r="N483" t="s">
        <v>639</v>
      </c>
      <c r="O483" t="s">
        <v>839</v>
      </c>
      <c r="P483" t="s">
        <v>673</v>
      </c>
      <c r="Q483" t="s">
        <v>840</v>
      </c>
      <c r="R483" t="s">
        <v>945</v>
      </c>
      <c r="S483" t="s">
        <v>948</v>
      </c>
      <c r="T483" t="s">
        <v>703</v>
      </c>
      <c r="U483" t="s">
        <v>1644</v>
      </c>
    </row>
    <row r="484" spans="1:21" ht="14.25" x14ac:dyDescent="0.2">
      <c r="A484" t="s">
        <v>1450</v>
      </c>
      <c r="B484" t="s">
        <v>1451</v>
      </c>
      <c r="C484" t="s">
        <v>643</v>
      </c>
      <c r="D484" t="s">
        <v>169</v>
      </c>
      <c r="E484" t="s">
        <v>944</v>
      </c>
      <c r="F484" t="s">
        <v>636</v>
      </c>
      <c r="G484" t="s">
        <v>664</v>
      </c>
      <c r="H484" t="s">
        <v>1642</v>
      </c>
      <c r="I484" t="s">
        <v>839</v>
      </c>
      <c r="J484" t="s">
        <v>1643</v>
      </c>
      <c r="K484" t="s">
        <v>673</v>
      </c>
      <c r="L484" t="s">
        <v>2357</v>
      </c>
      <c r="M484" t="s">
        <v>2346</v>
      </c>
      <c r="N484" t="s">
        <v>639</v>
      </c>
      <c r="O484" t="s">
        <v>839</v>
      </c>
      <c r="P484" t="s">
        <v>673</v>
      </c>
      <c r="Q484" t="s">
        <v>840</v>
      </c>
      <c r="R484" t="s">
        <v>945</v>
      </c>
      <c r="S484" t="s">
        <v>946</v>
      </c>
      <c r="T484" t="s">
        <v>703</v>
      </c>
      <c r="U484" t="s">
        <v>1642</v>
      </c>
    </row>
    <row r="485" spans="1:21" ht="14.25" x14ac:dyDescent="0.2">
      <c r="A485" t="s">
        <v>1450</v>
      </c>
      <c r="B485" t="s">
        <v>1451</v>
      </c>
      <c r="C485" t="s">
        <v>643</v>
      </c>
      <c r="D485" t="s">
        <v>202</v>
      </c>
      <c r="E485" t="s">
        <v>986</v>
      </c>
      <c r="F485" t="s">
        <v>636</v>
      </c>
      <c r="G485" t="s">
        <v>664</v>
      </c>
      <c r="H485" t="s">
        <v>1642</v>
      </c>
      <c r="I485" t="s">
        <v>839</v>
      </c>
      <c r="J485" t="s">
        <v>1695</v>
      </c>
      <c r="K485" t="s">
        <v>673</v>
      </c>
      <c r="L485" t="s">
        <v>2358</v>
      </c>
      <c r="M485" t="s">
        <v>2346</v>
      </c>
      <c r="N485" t="s">
        <v>639</v>
      </c>
      <c r="O485" t="s">
        <v>839</v>
      </c>
      <c r="P485" t="s">
        <v>673</v>
      </c>
      <c r="Q485" t="s">
        <v>840</v>
      </c>
      <c r="R485" t="s">
        <v>945</v>
      </c>
      <c r="S485" t="s">
        <v>946</v>
      </c>
      <c r="T485" t="s">
        <v>703</v>
      </c>
      <c r="U485" t="s">
        <v>1642</v>
      </c>
    </row>
    <row r="486" spans="1:21" ht="14.25" x14ac:dyDescent="0.2">
      <c r="A486" t="s">
        <v>1351</v>
      </c>
      <c r="B486" t="s">
        <v>1352</v>
      </c>
      <c r="C486" t="s">
        <v>643</v>
      </c>
      <c r="D486" t="s">
        <v>470</v>
      </c>
      <c r="E486" t="s">
        <v>766</v>
      </c>
      <c r="F486" t="s">
        <v>636</v>
      </c>
      <c r="G486" t="s">
        <v>16</v>
      </c>
      <c r="H486" t="s">
        <v>1438</v>
      </c>
      <c r="I486" t="s">
        <v>692</v>
      </c>
      <c r="J486" t="s">
        <v>2448</v>
      </c>
      <c r="K486" t="s">
        <v>673</v>
      </c>
      <c r="L486" t="s">
        <v>2449</v>
      </c>
      <c r="M486" t="s">
        <v>1704</v>
      </c>
      <c r="N486" t="s">
        <v>639</v>
      </c>
      <c r="O486" t="s">
        <v>692</v>
      </c>
      <c r="P486" t="s">
        <v>673</v>
      </c>
      <c r="Q486" t="s">
        <v>700</v>
      </c>
      <c r="R486" t="s">
        <v>643</v>
      </c>
      <c r="S486" t="s">
        <v>643</v>
      </c>
      <c r="T486" t="s">
        <v>643</v>
      </c>
      <c r="U486" t="s">
        <v>1438</v>
      </c>
    </row>
    <row r="487" spans="1:21" ht="14.25" x14ac:dyDescent="0.2">
      <c r="A487" t="s">
        <v>1294</v>
      </c>
      <c r="B487" t="s">
        <v>1299</v>
      </c>
      <c r="C487" t="s">
        <v>643</v>
      </c>
      <c r="D487" t="s">
        <v>818</v>
      </c>
      <c r="E487" t="s">
        <v>817</v>
      </c>
      <c r="F487" t="s">
        <v>636</v>
      </c>
      <c r="G487" t="s">
        <v>16</v>
      </c>
      <c r="H487" t="s">
        <v>1438</v>
      </c>
      <c r="I487" t="s">
        <v>643</v>
      </c>
      <c r="J487" t="s">
        <v>643</v>
      </c>
      <c r="K487" t="s">
        <v>676</v>
      </c>
      <c r="L487" t="s">
        <v>1491</v>
      </c>
      <c r="M487" t="s">
        <v>1492</v>
      </c>
      <c r="N487" t="s">
        <v>639</v>
      </c>
      <c r="O487" t="s">
        <v>646</v>
      </c>
      <c r="P487" t="s">
        <v>637</v>
      </c>
      <c r="Q487" t="s">
        <v>643</v>
      </c>
      <c r="R487" t="s">
        <v>643</v>
      </c>
      <c r="S487" t="s">
        <v>643</v>
      </c>
      <c r="T487" t="s">
        <v>643</v>
      </c>
      <c r="U487" t="s">
        <v>1438</v>
      </c>
    </row>
    <row r="488" spans="1:21" ht="14.25" x14ac:dyDescent="0.2">
      <c r="A488" t="s">
        <v>1294</v>
      </c>
      <c r="B488" t="s">
        <v>1299</v>
      </c>
      <c r="C488" t="s">
        <v>643</v>
      </c>
      <c r="D488" t="s">
        <v>991</v>
      </c>
      <c r="E488" t="s">
        <v>990</v>
      </c>
      <c r="F488" t="s">
        <v>636</v>
      </c>
      <c r="G488" t="s">
        <v>16</v>
      </c>
      <c r="H488" t="s">
        <v>1438</v>
      </c>
      <c r="I488" t="s">
        <v>643</v>
      </c>
      <c r="J488" t="s">
        <v>643</v>
      </c>
      <c r="K488" t="s">
        <v>676</v>
      </c>
      <c r="L488" t="s">
        <v>1701</v>
      </c>
      <c r="M488" t="s">
        <v>1492</v>
      </c>
      <c r="N488" t="s">
        <v>639</v>
      </c>
      <c r="O488" t="s">
        <v>646</v>
      </c>
      <c r="P488" t="s">
        <v>637</v>
      </c>
      <c r="Q488" t="s">
        <v>643</v>
      </c>
      <c r="R488" t="s">
        <v>643</v>
      </c>
      <c r="S488" t="s">
        <v>643</v>
      </c>
      <c r="T488" t="s">
        <v>643</v>
      </c>
      <c r="U488" t="s">
        <v>1438</v>
      </c>
    </row>
    <row r="489" spans="1:21" ht="14.25" x14ac:dyDescent="0.2">
      <c r="A489" t="s">
        <v>1294</v>
      </c>
      <c r="B489" t="s">
        <v>1299</v>
      </c>
      <c r="C489" t="s">
        <v>643</v>
      </c>
      <c r="D489" t="s">
        <v>1027</v>
      </c>
      <c r="E489" t="s">
        <v>1026</v>
      </c>
      <c r="F489" t="s">
        <v>636</v>
      </c>
      <c r="G489" t="s">
        <v>16</v>
      </c>
      <c r="H489" t="s">
        <v>1438</v>
      </c>
      <c r="I489" t="s">
        <v>643</v>
      </c>
      <c r="J489" t="s">
        <v>643</v>
      </c>
      <c r="K489" t="s">
        <v>676</v>
      </c>
      <c r="L489" t="s">
        <v>1749</v>
      </c>
      <c r="M489" t="s">
        <v>1492</v>
      </c>
      <c r="N489" t="s">
        <v>639</v>
      </c>
      <c r="O489" t="s">
        <v>646</v>
      </c>
      <c r="P489" t="s">
        <v>637</v>
      </c>
      <c r="Q489" t="s">
        <v>643</v>
      </c>
      <c r="R489" t="s">
        <v>643</v>
      </c>
      <c r="S489" t="s">
        <v>643</v>
      </c>
      <c r="T489" t="s">
        <v>643</v>
      </c>
      <c r="U489" t="s">
        <v>1438</v>
      </c>
    </row>
    <row r="490" spans="1:21" ht="14.25" x14ac:dyDescent="0.2">
      <c r="A490" t="s">
        <v>1351</v>
      </c>
      <c r="B490" t="s">
        <v>1352</v>
      </c>
      <c r="C490" t="s">
        <v>643</v>
      </c>
      <c r="D490" t="s">
        <v>357</v>
      </c>
      <c r="E490" t="s">
        <v>701</v>
      </c>
      <c r="F490" t="s">
        <v>649</v>
      </c>
      <c r="G490" t="s">
        <v>16</v>
      </c>
      <c r="H490" t="s">
        <v>1361</v>
      </c>
      <c r="I490" t="s">
        <v>692</v>
      </c>
      <c r="J490" t="s">
        <v>2450</v>
      </c>
      <c r="K490" t="s">
        <v>673</v>
      </c>
      <c r="L490" t="s">
        <v>2451</v>
      </c>
      <c r="M490" t="s">
        <v>1704</v>
      </c>
      <c r="N490" t="s">
        <v>639</v>
      </c>
      <c r="O490" t="s">
        <v>692</v>
      </c>
      <c r="P490" t="s">
        <v>673</v>
      </c>
      <c r="Q490" t="s">
        <v>700</v>
      </c>
      <c r="R490" t="s">
        <v>643</v>
      </c>
      <c r="S490" t="s">
        <v>643</v>
      </c>
      <c r="T490" t="s">
        <v>643</v>
      </c>
      <c r="U490" t="s">
        <v>1361</v>
      </c>
    </row>
    <row r="491" spans="1:21" ht="14.25" x14ac:dyDescent="0.2">
      <c r="A491" t="s">
        <v>1450</v>
      </c>
      <c r="B491" t="s">
        <v>1451</v>
      </c>
      <c r="C491" t="s">
        <v>643</v>
      </c>
      <c r="D491" t="s">
        <v>988</v>
      </c>
      <c r="E491" t="s">
        <v>987</v>
      </c>
      <c r="F491" t="s">
        <v>636</v>
      </c>
      <c r="G491" t="s">
        <v>27</v>
      </c>
      <c r="H491" t="s">
        <v>1696</v>
      </c>
      <c r="I491" t="s">
        <v>839</v>
      </c>
      <c r="J491" t="s">
        <v>1697</v>
      </c>
      <c r="K491" t="s">
        <v>673</v>
      </c>
      <c r="L491" t="s">
        <v>2359</v>
      </c>
      <c r="M491" t="s">
        <v>2346</v>
      </c>
      <c r="N491" t="s">
        <v>639</v>
      </c>
      <c r="O491" t="s">
        <v>839</v>
      </c>
      <c r="P491" t="s">
        <v>673</v>
      </c>
      <c r="Q491" t="s">
        <v>840</v>
      </c>
      <c r="R491" t="s">
        <v>643</v>
      </c>
      <c r="S491" t="s">
        <v>643</v>
      </c>
      <c r="T491" t="s">
        <v>643</v>
      </c>
      <c r="U491" t="s">
        <v>1696</v>
      </c>
    </row>
    <row r="492" spans="1:21" ht="14.25" x14ac:dyDescent="0.2">
      <c r="A492" t="s">
        <v>1320</v>
      </c>
      <c r="B492" t="s">
        <v>1558</v>
      </c>
      <c r="C492" t="s">
        <v>643</v>
      </c>
      <c r="D492" t="s">
        <v>181</v>
      </c>
      <c r="E492" t="s">
        <v>1285</v>
      </c>
      <c r="F492" t="s">
        <v>636</v>
      </c>
      <c r="G492" t="s">
        <v>925</v>
      </c>
      <c r="H492" t="s">
        <v>2171</v>
      </c>
      <c r="I492" t="s">
        <v>669</v>
      </c>
      <c r="J492" t="s">
        <v>2620</v>
      </c>
      <c r="K492" t="s">
        <v>673</v>
      </c>
      <c r="L492" t="s">
        <v>2621</v>
      </c>
      <c r="M492" t="s">
        <v>2595</v>
      </c>
      <c r="N492" t="s">
        <v>639</v>
      </c>
      <c r="O492" t="s">
        <v>669</v>
      </c>
      <c r="P492" t="s">
        <v>673</v>
      </c>
      <c r="Q492" t="s">
        <v>670</v>
      </c>
      <c r="R492" t="s">
        <v>643</v>
      </c>
      <c r="S492" t="s">
        <v>643</v>
      </c>
      <c r="T492" t="s">
        <v>643</v>
      </c>
      <c r="U492" t="s">
        <v>2171</v>
      </c>
    </row>
    <row r="493" spans="1:21" ht="14.25" x14ac:dyDescent="0.2">
      <c r="A493" t="s">
        <v>1320</v>
      </c>
      <c r="B493" t="s">
        <v>1558</v>
      </c>
      <c r="C493" t="s">
        <v>643</v>
      </c>
      <c r="D493" t="s">
        <v>406</v>
      </c>
      <c r="E493" t="s">
        <v>865</v>
      </c>
      <c r="F493" t="s">
        <v>649</v>
      </c>
      <c r="G493" t="s">
        <v>16</v>
      </c>
      <c r="H493" t="s">
        <v>2193</v>
      </c>
      <c r="I493" t="s">
        <v>643</v>
      </c>
      <c r="J493" t="s">
        <v>643</v>
      </c>
      <c r="K493" t="s">
        <v>643</v>
      </c>
      <c r="L493" t="s">
        <v>643</v>
      </c>
      <c r="M493" t="s">
        <v>2194</v>
      </c>
      <c r="N493" t="s">
        <v>1098</v>
      </c>
      <c r="O493" t="s">
        <v>669</v>
      </c>
      <c r="P493" t="s">
        <v>673</v>
      </c>
      <c r="Q493" t="s">
        <v>643</v>
      </c>
      <c r="R493" t="s">
        <v>643</v>
      </c>
      <c r="S493" t="s">
        <v>643</v>
      </c>
      <c r="T493" t="s">
        <v>643</v>
      </c>
      <c r="U493" t="s">
        <v>2193</v>
      </c>
    </row>
    <row r="494" spans="1:21" ht="14.25" x14ac:dyDescent="0.2">
      <c r="A494" t="s">
        <v>1320</v>
      </c>
      <c r="B494" t="s">
        <v>1558</v>
      </c>
      <c r="C494" t="s">
        <v>643</v>
      </c>
      <c r="D494" t="s">
        <v>429</v>
      </c>
      <c r="E494" t="s">
        <v>869</v>
      </c>
      <c r="F494" t="s">
        <v>636</v>
      </c>
      <c r="G494" t="s">
        <v>16</v>
      </c>
      <c r="H494" t="s">
        <v>2193</v>
      </c>
      <c r="I494" t="s">
        <v>643</v>
      </c>
      <c r="J494" t="s">
        <v>643</v>
      </c>
      <c r="K494" t="s">
        <v>643</v>
      </c>
      <c r="L494" t="s">
        <v>643</v>
      </c>
      <c r="M494" t="s">
        <v>2194</v>
      </c>
      <c r="N494" t="s">
        <v>1098</v>
      </c>
      <c r="O494" t="s">
        <v>669</v>
      </c>
      <c r="P494" t="s">
        <v>673</v>
      </c>
      <c r="Q494" t="s">
        <v>643</v>
      </c>
      <c r="R494" t="s">
        <v>643</v>
      </c>
      <c r="S494" t="s">
        <v>643</v>
      </c>
      <c r="T494" t="s">
        <v>643</v>
      </c>
      <c r="U494" t="s">
        <v>2193</v>
      </c>
    </row>
    <row r="495" spans="1:21" ht="14.25" x14ac:dyDescent="0.2">
      <c r="A495" t="s">
        <v>1351</v>
      </c>
      <c r="B495" t="s">
        <v>1352</v>
      </c>
      <c r="C495" t="s">
        <v>643</v>
      </c>
      <c r="D495" t="s">
        <v>557</v>
      </c>
      <c r="E495" t="s">
        <v>2221</v>
      </c>
      <c r="F495" t="s">
        <v>636</v>
      </c>
      <c r="G495" t="s">
        <v>16</v>
      </c>
      <c r="H495" t="s">
        <v>2222</v>
      </c>
      <c r="I495" t="s">
        <v>692</v>
      </c>
      <c r="J495" t="s">
        <v>2452</v>
      </c>
      <c r="K495" t="s">
        <v>673</v>
      </c>
      <c r="L495" t="s">
        <v>2453</v>
      </c>
      <c r="M495" t="s">
        <v>1704</v>
      </c>
      <c r="N495" t="s">
        <v>639</v>
      </c>
      <c r="O495" t="s">
        <v>692</v>
      </c>
      <c r="P495" t="s">
        <v>673</v>
      </c>
      <c r="Q495" t="s">
        <v>700</v>
      </c>
      <c r="R495" t="s">
        <v>643</v>
      </c>
      <c r="S495" t="s">
        <v>643</v>
      </c>
      <c r="T495" t="s">
        <v>643</v>
      </c>
      <c r="U495" t="s">
        <v>2222</v>
      </c>
    </row>
    <row r="496" spans="1:21" ht="14.25" x14ac:dyDescent="0.2">
      <c r="A496" t="s">
        <v>1351</v>
      </c>
      <c r="B496" t="s">
        <v>1352</v>
      </c>
      <c r="C496" t="s">
        <v>643</v>
      </c>
      <c r="D496" t="s">
        <v>555</v>
      </c>
      <c r="E496" t="s">
        <v>2224</v>
      </c>
      <c r="F496" t="s">
        <v>636</v>
      </c>
      <c r="G496" t="s">
        <v>16</v>
      </c>
      <c r="H496" t="s">
        <v>2222</v>
      </c>
      <c r="I496" t="s">
        <v>692</v>
      </c>
      <c r="J496" t="s">
        <v>2454</v>
      </c>
      <c r="K496" t="s">
        <v>673</v>
      </c>
      <c r="L496" t="s">
        <v>2455</v>
      </c>
      <c r="M496" t="s">
        <v>1704</v>
      </c>
      <c r="N496" t="s">
        <v>639</v>
      </c>
      <c r="O496" t="s">
        <v>692</v>
      </c>
      <c r="P496" t="s">
        <v>673</v>
      </c>
      <c r="Q496" t="s">
        <v>700</v>
      </c>
      <c r="R496" t="s">
        <v>643</v>
      </c>
      <c r="S496" t="s">
        <v>643</v>
      </c>
      <c r="T496" t="s">
        <v>643</v>
      </c>
      <c r="U496" t="s">
        <v>2222</v>
      </c>
    </row>
    <row r="497" spans="1:21" ht="14.25" x14ac:dyDescent="0.2">
      <c r="A497" t="s">
        <v>1351</v>
      </c>
      <c r="B497" t="s">
        <v>1352</v>
      </c>
      <c r="C497" t="s">
        <v>643</v>
      </c>
      <c r="D497" t="s">
        <v>556</v>
      </c>
      <c r="E497" t="s">
        <v>2225</v>
      </c>
      <c r="F497" t="s">
        <v>636</v>
      </c>
      <c r="G497" t="s">
        <v>16</v>
      </c>
      <c r="H497" t="s">
        <v>2222</v>
      </c>
      <c r="I497" t="s">
        <v>692</v>
      </c>
      <c r="J497" t="s">
        <v>2456</v>
      </c>
      <c r="K497" t="s">
        <v>643</v>
      </c>
      <c r="L497" t="s">
        <v>643</v>
      </c>
      <c r="M497" t="s">
        <v>2223</v>
      </c>
      <c r="N497" t="s">
        <v>693</v>
      </c>
      <c r="O497" t="s">
        <v>692</v>
      </c>
      <c r="P497" t="s">
        <v>673</v>
      </c>
      <c r="Q497" t="s">
        <v>643</v>
      </c>
      <c r="R497" t="s">
        <v>643</v>
      </c>
      <c r="S497" t="s">
        <v>643</v>
      </c>
      <c r="T497" t="s">
        <v>643</v>
      </c>
      <c r="U497" t="s">
        <v>2222</v>
      </c>
    </row>
    <row r="498" spans="1:21" ht="14.25" x14ac:dyDescent="0.2">
      <c r="A498" t="s">
        <v>1351</v>
      </c>
      <c r="B498" t="s">
        <v>1352</v>
      </c>
      <c r="C498" t="s">
        <v>643</v>
      </c>
      <c r="D498" t="s">
        <v>558</v>
      </c>
      <c r="E498" t="s">
        <v>2226</v>
      </c>
      <c r="F498" t="s">
        <v>636</v>
      </c>
      <c r="G498" t="s">
        <v>16</v>
      </c>
      <c r="H498" t="s">
        <v>2222</v>
      </c>
      <c r="I498" t="s">
        <v>692</v>
      </c>
      <c r="J498" t="s">
        <v>2457</v>
      </c>
      <c r="K498" t="s">
        <v>673</v>
      </c>
      <c r="L498" t="s">
        <v>2458</v>
      </c>
      <c r="M498" t="s">
        <v>1704</v>
      </c>
      <c r="N498" t="s">
        <v>639</v>
      </c>
      <c r="O498" t="s">
        <v>692</v>
      </c>
      <c r="P498" t="s">
        <v>673</v>
      </c>
      <c r="Q498" t="s">
        <v>700</v>
      </c>
      <c r="R498" t="s">
        <v>643</v>
      </c>
      <c r="S498" t="s">
        <v>643</v>
      </c>
      <c r="T498" t="s">
        <v>643</v>
      </c>
      <c r="U498" t="s">
        <v>2222</v>
      </c>
    </row>
    <row r="499" spans="1:21" ht="14.25" x14ac:dyDescent="0.2">
      <c r="A499" t="s">
        <v>1351</v>
      </c>
      <c r="B499" t="s">
        <v>1352</v>
      </c>
      <c r="C499" t="s">
        <v>643</v>
      </c>
      <c r="D499" t="s">
        <v>165</v>
      </c>
      <c r="E499" t="s">
        <v>2227</v>
      </c>
      <c r="F499" t="s">
        <v>636</v>
      </c>
      <c r="G499" t="s">
        <v>40</v>
      </c>
      <c r="H499" t="s">
        <v>2222</v>
      </c>
      <c r="I499" t="s">
        <v>692</v>
      </c>
      <c r="J499" t="s">
        <v>2459</v>
      </c>
      <c r="K499" t="s">
        <v>673</v>
      </c>
      <c r="L499" t="s">
        <v>2460</v>
      </c>
      <c r="M499" t="s">
        <v>1704</v>
      </c>
      <c r="N499" t="s">
        <v>639</v>
      </c>
      <c r="O499" t="s">
        <v>692</v>
      </c>
      <c r="P499" t="s">
        <v>673</v>
      </c>
      <c r="Q499" t="s">
        <v>700</v>
      </c>
      <c r="R499" t="s">
        <v>643</v>
      </c>
      <c r="S499" t="s">
        <v>643</v>
      </c>
      <c r="T499" t="s">
        <v>643</v>
      </c>
      <c r="U499" t="s">
        <v>2222</v>
      </c>
    </row>
    <row r="500" spans="1:21" ht="14.25" x14ac:dyDescent="0.2">
      <c r="A500" t="s">
        <v>1351</v>
      </c>
      <c r="B500" t="s">
        <v>1352</v>
      </c>
      <c r="C500" t="s">
        <v>643</v>
      </c>
      <c r="D500" t="s">
        <v>2220</v>
      </c>
      <c r="E500" t="s">
        <v>2360</v>
      </c>
      <c r="F500" t="s">
        <v>636</v>
      </c>
      <c r="G500" t="s">
        <v>664</v>
      </c>
      <c r="H500" t="s">
        <v>2222</v>
      </c>
      <c r="I500" t="s">
        <v>692</v>
      </c>
      <c r="J500" t="s">
        <v>2461</v>
      </c>
      <c r="K500" t="s">
        <v>673</v>
      </c>
      <c r="L500" t="s">
        <v>2462</v>
      </c>
      <c r="M500" t="s">
        <v>1704</v>
      </c>
      <c r="N500" t="s">
        <v>639</v>
      </c>
      <c r="O500" t="s">
        <v>692</v>
      </c>
      <c r="P500" t="s">
        <v>673</v>
      </c>
      <c r="Q500" t="s">
        <v>700</v>
      </c>
      <c r="R500" t="s">
        <v>643</v>
      </c>
      <c r="S500" t="s">
        <v>643</v>
      </c>
      <c r="T500" t="s">
        <v>643</v>
      </c>
      <c r="U500" t="s">
        <v>2222</v>
      </c>
    </row>
    <row r="501" spans="1:21" ht="14.25" x14ac:dyDescent="0.2">
      <c r="A501" t="s">
        <v>1351</v>
      </c>
      <c r="B501" t="s">
        <v>1352</v>
      </c>
      <c r="C501" t="s">
        <v>643</v>
      </c>
      <c r="D501" t="s">
        <v>2219</v>
      </c>
      <c r="E501" t="s">
        <v>2361</v>
      </c>
      <c r="F501" t="s">
        <v>636</v>
      </c>
      <c r="G501" t="s">
        <v>664</v>
      </c>
      <c r="H501" t="s">
        <v>2222</v>
      </c>
      <c r="I501" t="s">
        <v>692</v>
      </c>
      <c r="J501" t="s">
        <v>2463</v>
      </c>
      <c r="K501" t="s">
        <v>673</v>
      </c>
      <c r="L501" t="s">
        <v>2464</v>
      </c>
      <c r="M501" t="s">
        <v>1704</v>
      </c>
      <c r="N501" t="s">
        <v>639</v>
      </c>
      <c r="O501" t="s">
        <v>692</v>
      </c>
      <c r="P501" t="s">
        <v>673</v>
      </c>
      <c r="Q501" t="s">
        <v>700</v>
      </c>
      <c r="R501" t="s">
        <v>643</v>
      </c>
      <c r="S501" t="s">
        <v>643</v>
      </c>
      <c r="T501" t="s">
        <v>643</v>
      </c>
      <c r="U501" t="s">
        <v>2222</v>
      </c>
    </row>
    <row r="502" spans="1:21" ht="14.25" x14ac:dyDescent="0.2">
      <c r="A502" t="s">
        <v>2465</v>
      </c>
      <c r="B502" t="s">
        <v>643</v>
      </c>
      <c r="C502" t="s">
        <v>643</v>
      </c>
      <c r="D502" t="s">
        <v>2466</v>
      </c>
      <c r="E502" t="s">
        <v>2467</v>
      </c>
      <c r="F502" t="s">
        <v>636</v>
      </c>
      <c r="G502" t="s">
        <v>37</v>
      </c>
      <c r="H502" t="s">
        <v>2468</v>
      </c>
      <c r="I502" t="s">
        <v>811</v>
      </c>
      <c r="J502" t="s">
        <v>2469</v>
      </c>
      <c r="K502" t="s">
        <v>2470</v>
      </c>
      <c r="L502" t="s">
        <v>2499</v>
      </c>
      <c r="M502" t="s">
        <v>2500</v>
      </c>
      <c r="N502" t="s">
        <v>639</v>
      </c>
      <c r="O502" t="s">
        <v>811</v>
      </c>
      <c r="P502" t="s">
        <v>2470</v>
      </c>
      <c r="Q502" t="s">
        <v>792</v>
      </c>
      <c r="R502" t="s">
        <v>643</v>
      </c>
      <c r="S502" t="s">
        <v>643</v>
      </c>
      <c r="T502" t="s">
        <v>643</v>
      </c>
      <c r="U502" t="s">
        <v>2468</v>
      </c>
    </row>
    <row r="503" spans="1:21" ht="14.25" x14ac:dyDescent="0.2">
      <c r="A503" t="s">
        <v>2016</v>
      </c>
      <c r="B503" t="s">
        <v>2017</v>
      </c>
      <c r="C503" t="s">
        <v>643</v>
      </c>
      <c r="D503" t="s">
        <v>2501</v>
      </c>
      <c r="E503" t="s">
        <v>2502</v>
      </c>
      <c r="F503" t="s">
        <v>636</v>
      </c>
      <c r="G503" t="s">
        <v>925</v>
      </c>
      <c r="H503" t="s">
        <v>2503</v>
      </c>
      <c r="I503" t="s">
        <v>643</v>
      </c>
      <c r="J503" t="s">
        <v>643</v>
      </c>
      <c r="K503" t="s">
        <v>2380</v>
      </c>
      <c r="L503" t="s">
        <v>2504</v>
      </c>
      <c r="M503" t="s">
        <v>2505</v>
      </c>
      <c r="N503" t="s">
        <v>639</v>
      </c>
      <c r="O503" t="s">
        <v>673</v>
      </c>
      <c r="P503" t="s">
        <v>839</v>
      </c>
      <c r="Q503" t="s">
        <v>643</v>
      </c>
      <c r="R503" t="s">
        <v>2506</v>
      </c>
      <c r="S503" t="s">
        <v>2507</v>
      </c>
      <c r="T503" t="s">
        <v>2380</v>
      </c>
      <c r="U503" t="s">
        <v>2503</v>
      </c>
    </row>
    <row r="504" spans="1:21" ht="14.25" x14ac:dyDescent="0.2">
      <c r="A504" t="s">
        <v>2016</v>
      </c>
      <c r="B504" t="s">
        <v>2017</v>
      </c>
      <c r="C504" t="s">
        <v>643</v>
      </c>
      <c r="D504" t="s">
        <v>2501</v>
      </c>
      <c r="E504" t="s">
        <v>2502</v>
      </c>
      <c r="F504" t="s">
        <v>636</v>
      </c>
      <c r="G504" t="s">
        <v>925</v>
      </c>
      <c r="H504" t="s">
        <v>2503</v>
      </c>
      <c r="I504" t="s">
        <v>643</v>
      </c>
      <c r="J504" t="s">
        <v>643</v>
      </c>
      <c r="K504" t="s">
        <v>2380</v>
      </c>
      <c r="L504" t="s">
        <v>2504</v>
      </c>
      <c r="M504" t="s">
        <v>2505</v>
      </c>
      <c r="N504" t="s">
        <v>639</v>
      </c>
      <c r="O504" t="s">
        <v>673</v>
      </c>
      <c r="P504" t="s">
        <v>839</v>
      </c>
      <c r="Q504" t="s">
        <v>643</v>
      </c>
      <c r="R504" t="s">
        <v>2508</v>
      </c>
      <c r="S504" t="s">
        <v>2509</v>
      </c>
      <c r="T504" t="s">
        <v>2380</v>
      </c>
      <c r="U504" t="s">
        <v>2503</v>
      </c>
    </row>
    <row r="505" spans="1:21" ht="14.25" x14ac:dyDescent="0.2">
      <c r="A505" t="s">
        <v>2016</v>
      </c>
      <c r="B505" t="s">
        <v>2017</v>
      </c>
      <c r="C505" t="s">
        <v>643</v>
      </c>
      <c r="D505" t="s">
        <v>2501</v>
      </c>
      <c r="E505" t="s">
        <v>2502</v>
      </c>
      <c r="F505" t="s">
        <v>636</v>
      </c>
      <c r="G505" t="s">
        <v>925</v>
      </c>
      <c r="H505" t="s">
        <v>2503</v>
      </c>
      <c r="I505" t="s">
        <v>643</v>
      </c>
      <c r="J505" t="s">
        <v>643</v>
      </c>
      <c r="K505" t="s">
        <v>2380</v>
      </c>
      <c r="L505" t="s">
        <v>2504</v>
      </c>
      <c r="M505" t="s">
        <v>2505</v>
      </c>
      <c r="N505" t="s">
        <v>639</v>
      </c>
      <c r="O505" t="s">
        <v>673</v>
      </c>
      <c r="P505" t="s">
        <v>839</v>
      </c>
      <c r="Q505" t="s">
        <v>643</v>
      </c>
      <c r="R505" t="s">
        <v>2508</v>
      </c>
      <c r="S505" t="s">
        <v>2509</v>
      </c>
      <c r="T505" t="s">
        <v>2380</v>
      </c>
      <c r="U505" t="s">
        <v>2503</v>
      </c>
    </row>
    <row r="506" spans="1:21" ht="14.25" x14ac:dyDescent="0.2">
      <c r="A506" t="s">
        <v>1351</v>
      </c>
      <c r="B506" t="s">
        <v>1352</v>
      </c>
      <c r="C506" t="s">
        <v>643</v>
      </c>
      <c r="D506" t="s">
        <v>2510</v>
      </c>
      <c r="E506" t="s">
        <v>2360</v>
      </c>
      <c r="F506" t="s">
        <v>636</v>
      </c>
      <c r="G506" t="s">
        <v>664</v>
      </c>
      <c r="H506" t="s">
        <v>1401</v>
      </c>
      <c r="I506" t="s">
        <v>643</v>
      </c>
      <c r="J506" t="s">
        <v>643</v>
      </c>
      <c r="K506" t="s">
        <v>643</v>
      </c>
      <c r="L506" t="s">
        <v>643</v>
      </c>
      <c r="M506" t="s">
        <v>2511</v>
      </c>
      <c r="N506" t="s">
        <v>1098</v>
      </c>
      <c r="O506" t="s">
        <v>2512</v>
      </c>
      <c r="P506" t="s">
        <v>692</v>
      </c>
      <c r="Q506" t="s">
        <v>643</v>
      </c>
      <c r="R506" t="s">
        <v>643</v>
      </c>
      <c r="S506" t="s">
        <v>643</v>
      </c>
      <c r="T506" t="s">
        <v>643</v>
      </c>
      <c r="U506" t="s">
        <v>1401</v>
      </c>
    </row>
    <row r="507" spans="1:21" ht="14.25" x14ac:dyDescent="0.2">
      <c r="A507" t="s">
        <v>1351</v>
      </c>
      <c r="B507" t="s">
        <v>1352</v>
      </c>
      <c r="C507" t="s">
        <v>643</v>
      </c>
      <c r="D507" t="s">
        <v>2228</v>
      </c>
      <c r="E507" t="s">
        <v>2513</v>
      </c>
      <c r="F507" t="s">
        <v>636</v>
      </c>
      <c r="G507" t="s">
        <v>664</v>
      </c>
      <c r="H507" t="s">
        <v>1401</v>
      </c>
      <c r="I507" t="s">
        <v>2512</v>
      </c>
      <c r="J507" t="s">
        <v>2622</v>
      </c>
      <c r="K507" t="s">
        <v>643</v>
      </c>
      <c r="L507" t="s">
        <v>643</v>
      </c>
      <c r="M507" t="s">
        <v>2511</v>
      </c>
      <c r="N507" t="s">
        <v>672</v>
      </c>
      <c r="O507" t="s">
        <v>2512</v>
      </c>
      <c r="P507" t="s">
        <v>692</v>
      </c>
      <c r="Q507" t="s">
        <v>2623</v>
      </c>
      <c r="R507" t="s">
        <v>643</v>
      </c>
      <c r="S507" t="s">
        <v>643</v>
      </c>
      <c r="T507" t="s">
        <v>643</v>
      </c>
      <c r="U507" t="s">
        <v>1401</v>
      </c>
    </row>
    <row r="508" spans="1:21" ht="14.25" x14ac:dyDescent="0.2">
      <c r="A508" t="s">
        <v>1351</v>
      </c>
      <c r="B508" t="s">
        <v>1352</v>
      </c>
      <c r="C508" t="s">
        <v>643</v>
      </c>
      <c r="D508" t="s">
        <v>2514</v>
      </c>
      <c r="E508" t="s">
        <v>2624</v>
      </c>
      <c r="F508" t="s">
        <v>636</v>
      </c>
      <c r="G508" t="s">
        <v>16</v>
      </c>
      <c r="H508" t="s">
        <v>1401</v>
      </c>
      <c r="I508" t="s">
        <v>2512</v>
      </c>
      <c r="J508" t="s">
        <v>2625</v>
      </c>
      <c r="K508" t="s">
        <v>643</v>
      </c>
      <c r="L508" t="s">
        <v>643</v>
      </c>
      <c r="M508" t="s">
        <v>1401</v>
      </c>
      <c r="N508" t="s">
        <v>672</v>
      </c>
      <c r="O508" t="s">
        <v>2512</v>
      </c>
      <c r="P508" t="s">
        <v>692</v>
      </c>
      <c r="Q508" t="s">
        <v>2623</v>
      </c>
      <c r="R508" t="s">
        <v>643</v>
      </c>
      <c r="S508" t="s">
        <v>643</v>
      </c>
      <c r="T508" t="s">
        <v>643</v>
      </c>
      <c r="U508" t="s">
        <v>1401</v>
      </c>
    </row>
    <row r="509" spans="1:21" ht="14.25" x14ac:dyDescent="0.2">
      <c r="A509" t="s">
        <v>1464</v>
      </c>
      <c r="B509" t="s">
        <v>1465</v>
      </c>
      <c r="C509" t="s">
        <v>643</v>
      </c>
      <c r="D509" t="s">
        <v>2626</v>
      </c>
      <c r="E509" t="s">
        <v>2627</v>
      </c>
      <c r="F509" t="s">
        <v>636</v>
      </c>
      <c r="G509" t="s">
        <v>37</v>
      </c>
      <c r="H509" t="s">
        <v>2628</v>
      </c>
      <c r="I509" t="s">
        <v>2629</v>
      </c>
      <c r="J509" t="s">
        <v>2630</v>
      </c>
      <c r="K509" t="s">
        <v>643</v>
      </c>
      <c r="L509" t="s">
        <v>643</v>
      </c>
      <c r="M509" t="s">
        <v>2628</v>
      </c>
      <c r="N509" t="s">
        <v>681</v>
      </c>
      <c r="O509" t="s">
        <v>2631</v>
      </c>
      <c r="P509" t="s">
        <v>839</v>
      </c>
      <c r="Q509" t="s">
        <v>796</v>
      </c>
      <c r="R509" t="s">
        <v>2632</v>
      </c>
      <c r="S509" t="s">
        <v>2633</v>
      </c>
      <c r="T509" t="s">
        <v>2380</v>
      </c>
      <c r="U509" t="s">
        <v>2628</v>
      </c>
    </row>
    <row r="510" spans="1:21" ht="14.25" x14ac:dyDescent="0.2">
      <c r="A510" t="s">
        <v>1464</v>
      </c>
      <c r="B510" t="s">
        <v>1465</v>
      </c>
      <c r="C510" t="s">
        <v>643</v>
      </c>
      <c r="D510" t="s">
        <v>2626</v>
      </c>
      <c r="E510" t="s">
        <v>2627</v>
      </c>
      <c r="F510" t="s">
        <v>636</v>
      </c>
      <c r="G510" t="s">
        <v>37</v>
      </c>
      <c r="H510" t="s">
        <v>2634</v>
      </c>
      <c r="I510" t="s">
        <v>2629</v>
      </c>
      <c r="J510" t="s">
        <v>2635</v>
      </c>
      <c r="K510" t="s">
        <v>839</v>
      </c>
      <c r="L510" t="s">
        <v>2636</v>
      </c>
      <c r="M510" t="s">
        <v>2003</v>
      </c>
      <c r="N510" t="s">
        <v>639</v>
      </c>
      <c r="O510" t="s">
        <v>2631</v>
      </c>
      <c r="P510" t="s">
        <v>839</v>
      </c>
      <c r="Q510" t="s">
        <v>796</v>
      </c>
      <c r="R510" t="s">
        <v>643</v>
      </c>
      <c r="S510" t="s">
        <v>643</v>
      </c>
      <c r="T510" t="s">
        <v>643</v>
      </c>
      <c r="U510" t="s">
        <v>2634</v>
      </c>
    </row>
    <row r="511" spans="1:21" ht="14.25" x14ac:dyDescent="0.2">
      <c r="A511" t="s">
        <v>2016</v>
      </c>
      <c r="B511" t="s">
        <v>2017</v>
      </c>
      <c r="C511" t="s">
        <v>643</v>
      </c>
      <c r="D511" t="s">
        <v>156</v>
      </c>
      <c r="E511" t="s">
        <v>2637</v>
      </c>
      <c r="F511" t="s">
        <v>636</v>
      </c>
      <c r="G511" t="s">
        <v>37</v>
      </c>
      <c r="H511" t="s">
        <v>1314</v>
      </c>
      <c r="I511" t="s">
        <v>839</v>
      </c>
      <c r="J511" t="s">
        <v>2638</v>
      </c>
      <c r="K511" t="s">
        <v>727</v>
      </c>
      <c r="L511" t="s">
        <v>2639</v>
      </c>
      <c r="M511" t="s">
        <v>2640</v>
      </c>
      <c r="N511" t="s">
        <v>639</v>
      </c>
      <c r="O511" t="s">
        <v>839</v>
      </c>
      <c r="P511" t="s">
        <v>727</v>
      </c>
      <c r="Q511" t="s">
        <v>840</v>
      </c>
      <c r="R511" t="s">
        <v>643</v>
      </c>
      <c r="S511" t="s">
        <v>643</v>
      </c>
      <c r="T511" t="s">
        <v>643</v>
      </c>
      <c r="U511" t="s">
        <v>1314</v>
      </c>
    </row>
    <row r="512" spans="1:21" ht="14.25" x14ac:dyDescent="0.2">
      <c r="A512" t="s">
        <v>1464</v>
      </c>
      <c r="B512" t="s">
        <v>1465</v>
      </c>
      <c r="C512" t="s">
        <v>643</v>
      </c>
      <c r="D512" t="s">
        <v>2641</v>
      </c>
      <c r="E512" t="s">
        <v>2642</v>
      </c>
      <c r="F512" t="s">
        <v>636</v>
      </c>
      <c r="G512" t="s">
        <v>27</v>
      </c>
      <c r="H512" t="s">
        <v>2575</v>
      </c>
      <c r="I512" t="s">
        <v>789</v>
      </c>
      <c r="J512" t="s">
        <v>2643</v>
      </c>
      <c r="K512" t="s">
        <v>790</v>
      </c>
      <c r="L512" t="s">
        <v>2644</v>
      </c>
      <c r="M512" t="s">
        <v>2645</v>
      </c>
      <c r="N512" t="s">
        <v>639</v>
      </c>
      <c r="O512" t="s">
        <v>789</v>
      </c>
      <c r="P512" t="s">
        <v>790</v>
      </c>
      <c r="Q512" t="s">
        <v>796</v>
      </c>
      <c r="R512" t="s">
        <v>643</v>
      </c>
      <c r="S512" t="s">
        <v>643</v>
      </c>
      <c r="T512" t="s">
        <v>643</v>
      </c>
      <c r="U512" t="s">
        <v>2575</v>
      </c>
    </row>
    <row r="513" spans="1:21" ht="14.25" x14ac:dyDescent="0.2">
      <c r="A513" t="s">
        <v>1464</v>
      </c>
      <c r="B513" t="s">
        <v>1465</v>
      </c>
      <c r="C513" t="s">
        <v>643</v>
      </c>
      <c r="D513" t="s">
        <v>2646</v>
      </c>
      <c r="E513" t="s">
        <v>2647</v>
      </c>
      <c r="F513" t="s">
        <v>636</v>
      </c>
      <c r="G513" t="s">
        <v>27</v>
      </c>
      <c r="H513" t="s">
        <v>2575</v>
      </c>
      <c r="I513" t="s">
        <v>789</v>
      </c>
      <c r="J513" t="s">
        <v>2648</v>
      </c>
      <c r="K513" t="s">
        <v>790</v>
      </c>
      <c r="L513" t="s">
        <v>2649</v>
      </c>
      <c r="M513" t="s">
        <v>2645</v>
      </c>
      <c r="N513" t="s">
        <v>639</v>
      </c>
      <c r="O513" t="s">
        <v>789</v>
      </c>
      <c r="P513" t="s">
        <v>790</v>
      </c>
      <c r="Q513" t="s">
        <v>796</v>
      </c>
      <c r="R513" t="s">
        <v>643</v>
      </c>
      <c r="S513" t="s">
        <v>643</v>
      </c>
      <c r="T513" t="s">
        <v>643</v>
      </c>
      <c r="U513" t="s">
        <v>2575</v>
      </c>
    </row>
    <row r="514" spans="1:21" ht="14.25" x14ac:dyDescent="0.2">
      <c r="A514" t="s">
        <v>1464</v>
      </c>
      <c r="B514" t="s">
        <v>1465</v>
      </c>
      <c r="C514" t="s">
        <v>643</v>
      </c>
      <c r="D514" t="s">
        <v>2650</v>
      </c>
      <c r="E514" t="s">
        <v>2651</v>
      </c>
      <c r="F514" t="s">
        <v>636</v>
      </c>
      <c r="G514" t="s">
        <v>27</v>
      </c>
      <c r="H514" t="s">
        <v>2575</v>
      </c>
      <c r="I514" t="s">
        <v>789</v>
      </c>
      <c r="J514" t="s">
        <v>2652</v>
      </c>
      <c r="K514" t="s">
        <v>790</v>
      </c>
      <c r="L514" t="s">
        <v>2653</v>
      </c>
      <c r="M514" t="s">
        <v>2645</v>
      </c>
      <c r="N514" t="s">
        <v>639</v>
      </c>
      <c r="O514" t="s">
        <v>789</v>
      </c>
      <c r="P514" t="s">
        <v>790</v>
      </c>
      <c r="Q514" t="s">
        <v>796</v>
      </c>
      <c r="R514" t="s">
        <v>643</v>
      </c>
      <c r="S514" t="s">
        <v>643</v>
      </c>
      <c r="T514" t="s">
        <v>643</v>
      </c>
      <c r="U514" t="s">
        <v>2575</v>
      </c>
    </row>
    <row r="515" spans="1:21" ht="14.25" x14ac:dyDescent="0.2">
      <c r="A515" t="s">
        <v>1464</v>
      </c>
      <c r="B515" t="s">
        <v>1465</v>
      </c>
      <c r="C515" t="s">
        <v>643</v>
      </c>
      <c r="D515" t="s">
        <v>2654</v>
      </c>
      <c r="E515" t="s">
        <v>2655</v>
      </c>
      <c r="F515" t="s">
        <v>636</v>
      </c>
      <c r="G515" t="s">
        <v>27</v>
      </c>
      <c r="H515" t="s">
        <v>2575</v>
      </c>
      <c r="I515" t="s">
        <v>789</v>
      </c>
      <c r="J515" t="s">
        <v>2656</v>
      </c>
      <c r="K515" t="s">
        <v>790</v>
      </c>
      <c r="L515" t="s">
        <v>2657</v>
      </c>
      <c r="M515" t="s">
        <v>2645</v>
      </c>
      <c r="N515" t="s">
        <v>639</v>
      </c>
      <c r="O515" t="s">
        <v>789</v>
      </c>
      <c r="P515" t="s">
        <v>790</v>
      </c>
      <c r="Q515" t="s">
        <v>796</v>
      </c>
      <c r="R515" t="s">
        <v>643</v>
      </c>
      <c r="S515" t="s">
        <v>643</v>
      </c>
      <c r="T515" t="s">
        <v>643</v>
      </c>
      <c r="U515" t="s">
        <v>2575</v>
      </c>
    </row>
    <row r="516" spans="1:21" ht="14.25" x14ac:dyDescent="0.2">
      <c r="A516" t="s">
        <v>1464</v>
      </c>
      <c r="B516" t="s">
        <v>1465</v>
      </c>
      <c r="C516" t="s">
        <v>643</v>
      </c>
      <c r="D516" t="s">
        <v>2658</v>
      </c>
      <c r="E516" t="s">
        <v>2659</v>
      </c>
      <c r="F516" t="s">
        <v>636</v>
      </c>
      <c r="G516" t="s">
        <v>27</v>
      </c>
      <c r="H516" t="s">
        <v>2575</v>
      </c>
      <c r="I516" t="s">
        <v>789</v>
      </c>
      <c r="J516" t="s">
        <v>2660</v>
      </c>
      <c r="K516" t="s">
        <v>790</v>
      </c>
      <c r="L516" t="s">
        <v>2661</v>
      </c>
      <c r="M516" t="s">
        <v>2645</v>
      </c>
      <c r="N516" t="s">
        <v>639</v>
      </c>
      <c r="O516" t="s">
        <v>789</v>
      </c>
      <c r="P516" t="s">
        <v>790</v>
      </c>
      <c r="Q516" t="s">
        <v>796</v>
      </c>
      <c r="R516" t="s">
        <v>643</v>
      </c>
      <c r="S516" t="s">
        <v>643</v>
      </c>
      <c r="T516" t="s">
        <v>643</v>
      </c>
      <c r="U516" t="s">
        <v>2575</v>
      </c>
    </row>
    <row r="517" spans="1:21" ht="14.25" x14ac:dyDescent="0.2">
      <c r="A517" t="s">
        <v>1464</v>
      </c>
      <c r="B517" t="s">
        <v>1465</v>
      </c>
      <c r="C517" t="s">
        <v>643</v>
      </c>
      <c r="D517" t="s">
        <v>2524</v>
      </c>
      <c r="E517" t="s">
        <v>2662</v>
      </c>
      <c r="F517" t="s">
        <v>636</v>
      </c>
      <c r="G517" t="s">
        <v>925</v>
      </c>
      <c r="H517" t="s">
        <v>2575</v>
      </c>
      <c r="I517" t="s">
        <v>789</v>
      </c>
      <c r="J517" t="s">
        <v>2663</v>
      </c>
      <c r="K517" t="s">
        <v>790</v>
      </c>
      <c r="L517" t="s">
        <v>2664</v>
      </c>
      <c r="M517" t="s">
        <v>2645</v>
      </c>
      <c r="N517" t="s">
        <v>639</v>
      </c>
      <c r="O517" t="s">
        <v>789</v>
      </c>
      <c r="P517" t="s">
        <v>790</v>
      </c>
      <c r="Q517" t="s">
        <v>796</v>
      </c>
      <c r="R517" t="s">
        <v>643</v>
      </c>
      <c r="S517" t="s">
        <v>643</v>
      </c>
      <c r="T517" t="s">
        <v>643</v>
      </c>
      <c r="U517" t="s">
        <v>2575</v>
      </c>
    </row>
    <row r="518" spans="1:21" ht="14.25" x14ac:dyDescent="0.2">
      <c r="A518" t="s">
        <v>1464</v>
      </c>
      <c r="B518" t="s">
        <v>1465</v>
      </c>
      <c r="C518" t="s">
        <v>643</v>
      </c>
      <c r="D518" t="s">
        <v>2665</v>
      </c>
      <c r="E518" t="s">
        <v>2666</v>
      </c>
      <c r="F518" t="s">
        <v>636</v>
      </c>
      <c r="G518" t="s">
        <v>37</v>
      </c>
      <c r="H518" t="s">
        <v>2575</v>
      </c>
      <c r="I518" t="s">
        <v>789</v>
      </c>
      <c r="J518" t="s">
        <v>2667</v>
      </c>
      <c r="K518" t="s">
        <v>790</v>
      </c>
      <c r="L518" t="s">
        <v>2668</v>
      </c>
      <c r="M518" t="s">
        <v>2645</v>
      </c>
      <c r="N518" t="s">
        <v>639</v>
      </c>
      <c r="O518" t="s">
        <v>789</v>
      </c>
      <c r="P518" t="s">
        <v>790</v>
      </c>
      <c r="Q518" t="s">
        <v>796</v>
      </c>
      <c r="R518" t="s">
        <v>643</v>
      </c>
      <c r="S518" t="s">
        <v>643</v>
      </c>
      <c r="T518" t="s">
        <v>643</v>
      </c>
      <c r="U518" t="s">
        <v>2575</v>
      </c>
    </row>
    <row r="519" spans="1:21" ht="14.25" x14ac:dyDescent="0.2">
      <c r="A519" t="s">
        <v>1464</v>
      </c>
      <c r="B519" t="s">
        <v>1481</v>
      </c>
      <c r="C519" t="s">
        <v>643</v>
      </c>
      <c r="D519" t="s">
        <v>2669</v>
      </c>
      <c r="E519" t="s">
        <v>1151</v>
      </c>
      <c r="F519" t="s">
        <v>636</v>
      </c>
      <c r="G519" t="s">
        <v>34</v>
      </c>
      <c r="H519" t="s">
        <v>2575</v>
      </c>
      <c r="I519" t="s">
        <v>855</v>
      </c>
      <c r="J519" t="s">
        <v>2670</v>
      </c>
      <c r="K519" t="s">
        <v>790</v>
      </c>
      <c r="L519" t="s">
        <v>2671</v>
      </c>
      <c r="M519" t="s">
        <v>1748</v>
      </c>
      <c r="N519" t="s">
        <v>639</v>
      </c>
      <c r="O519" t="s">
        <v>855</v>
      </c>
      <c r="P519" t="s">
        <v>790</v>
      </c>
      <c r="Q519" t="s">
        <v>857</v>
      </c>
      <c r="R519" t="s">
        <v>643</v>
      </c>
      <c r="S519" t="s">
        <v>643</v>
      </c>
      <c r="T519" t="s">
        <v>643</v>
      </c>
      <c r="U519" t="s">
        <v>2575</v>
      </c>
    </row>
    <row r="520" spans="1:21" ht="14.25" x14ac:dyDescent="0.2">
      <c r="A520" t="s">
        <v>1464</v>
      </c>
      <c r="B520" t="s">
        <v>1481</v>
      </c>
      <c r="C520" t="s">
        <v>643</v>
      </c>
      <c r="D520" t="s">
        <v>2538</v>
      </c>
      <c r="E520" t="s">
        <v>2672</v>
      </c>
      <c r="F520" t="s">
        <v>636</v>
      </c>
      <c r="G520" t="s">
        <v>34</v>
      </c>
      <c r="H520" t="s">
        <v>2575</v>
      </c>
      <c r="I520" t="s">
        <v>643</v>
      </c>
      <c r="J520" t="s">
        <v>643</v>
      </c>
      <c r="K520" t="s">
        <v>643</v>
      </c>
      <c r="L520" t="s">
        <v>643</v>
      </c>
      <c r="M520" t="s">
        <v>2673</v>
      </c>
      <c r="N520" t="s">
        <v>687</v>
      </c>
      <c r="O520" t="s">
        <v>855</v>
      </c>
      <c r="P520" t="s">
        <v>790</v>
      </c>
      <c r="Q520" t="s">
        <v>643</v>
      </c>
      <c r="R520" t="s">
        <v>643</v>
      </c>
      <c r="S520" t="s">
        <v>643</v>
      </c>
      <c r="T520" t="s">
        <v>643</v>
      </c>
      <c r="U520" t="s">
        <v>2575</v>
      </c>
    </row>
    <row r="521" spans="1:21" ht="14.25" x14ac:dyDescent="0.2">
      <c r="A521" t="s">
        <v>1464</v>
      </c>
      <c r="B521" t="s">
        <v>1481</v>
      </c>
      <c r="C521" t="s">
        <v>643</v>
      </c>
      <c r="D521" t="s">
        <v>2533</v>
      </c>
      <c r="E521" t="s">
        <v>2674</v>
      </c>
      <c r="F521" t="s">
        <v>636</v>
      </c>
      <c r="G521" t="s">
        <v>34</v>
      </c>
      <c r="H521" t="s">
        <v>2575</v>
      </c>
      <c r="I521" t="s">
        <v>643</v>
      </c>
      <c r="J521" t="s">
        <v>643</v>
      </c>
      <c r="K521" t="s">
        <v>643</v>
      </c>
      <c r="L521" t="s">
        <v>643</v>
      </c>
      <c r="M521" t="s">
        <v>2675</v>
      </c>
      <c r="N521" t="s">
        <v>687</v>
      </c>
      <c r="O521" t="s">
        <v>855</v>
      </c>
      <c r="P521" t="s">
        <v>790</v>
      </c>
      <c r="Q521" t="s">
        <v>643</v>
      </c>
      <c r="R521" t="s">
        <v>643</v>
      </c>
      <c r="S521" t="s">
        <v>643</v>
      </c>
      <c r="T521" t="s">
        <v>643</v>
      </c>
      <c r="U521" t="s">
        <v>2575</v>
      </c>
    </row>
    <row r="522" spans="1:21" ht="14.25" x14ac:dyDescent="0.2">
      <c r="A522" t="s">
        <v>1464</v>
      </c>
      <c r="B522" t="s">
        <v>1481</v>
      </c>
      <c r="C522" t="s">
        <v>643</v>
      </c>
      <c r="D522" t="s">
        <v>2676</v>
      </c>
      <c r="E522" t="s">
        <v>2677</v>
      </c>
      <c r="F522" t="s">
        <v>636</v>
      </c>
      <c r="G522" t="s">
        <v>37</v>
      </c>
      <c r="H522" t="s">
        <v>2575</v>
      </c>
      <c r="I522" t="s">
        <v>643</v>
      </c>
      <c r="J522" t="s">
        <v>643</v>
      </c>
      <c r="K522" t="s">
        <v>643</v>
      </c>
      <c r="L522" t="s">
        <v>643</v>
      </c>
      <c r="M522" t="s">
        <v>2678</v>
      </c>
      <c r="N522" t="s">
        <v>681</v>
      </c>
      <c r="O522" t="s">
        <v>855</v>
      </c>
      <c r="P522" t="s">
        <v>790</v>
      </c>
      <c r="Q522" t="s">
        <v>643</v>
      </c>
      <c r="R522" t="s">
        <v>643</v>
      </c>
      <c r="S522" t="s">
        <v>643</v>
      </c>
      <c r="T522" t="s">
        <v>643</v>
      </c>
      <c r="U522" t="s">
        <v>2575</v>
      </c>
    </row>
    <row r="523" spans="1:21" ht="14.25" x14ac:dyDescent="0.2">
      <c r="A523" t="s">
        <v>1464</v>
      </c>
      <c r="B523" t="s">
        <v>1572</v>
      </c>
      <c r="C523" t="s">
        <v>643</v>
      </c>
      <c r="D523" t="s">
        <v>2541</v>
      </c>
      <c r="E523" t="s">
        <v>2679</v>
      </c>
      <c r="F523" t="s">
        <v>636</v>
      </c>
      <c r="G523" t="s">
        <v>34</v>
      </c>
      <c r="H523" t="s">
        <v>2575</v>
      </c>
      <c r="I523" t="s">
        <v>878</v>
      </c>
      <c r="J523" t="s">
        <v>2680</v>
      </c>
      <c r="K523" t="s">
        <v>790</v>
      </c>
      <c r="L523" t="s">
        <v>2681</v>
      </c>
      <c r="M523" t="s">
        <v>1748</v>
      </c>
      <c r="N523" t="s">
        <v>639</v>
      </c>
      <c r="O523" t="s">
        <v>878</v>
      </c>
      <c r="P523" t="s">
        <v>790</v>
      </c>
      <c r="Q523" t="s">
        <v>1075</v>
      </c>
      <c r="R523" t="s">
        <v>643</v>
      </c>
      <c r="S523" t="s">
        <v>643</v>
      </c>
      <c r="T523" t="s">
        <v>643</v>
      </c>
      <c r="U523" t="s">
        <v>2575</v>
      </c>
    </row>
    <row r="524" spans="1:21" ht="14.25" x14ac:dyDescent="0.2">
      <c r="A524" t="s">
        <v>1464</v>
      </c>
      <c r="B524" t="s">
        <v>1572</v>
      </c>
      <c r="C524" t="s">
        <v>643</v>
      </c>
      <c r="D524" t="s">
        <v>2682</v>
      </c>
      <c r="E524" t="s">
        <v>2683</v>
      </c>
      <c r="F524" t="s">
        <v>636</v>
      </c>
      <c r="G524" t="s">
        <v>34</v>
      </c>
      <c r="H524" t="s">
        <v>2575</v>
      </c>
      <c r="I524" t="s">
        <v>878</v>
      </c>
      <c r="J524" t="s">
        <v>2684</v>
      </c>
      <c r="K524" t="s">
        <v>790</v>
      </c>
      <c r="L524" t="s">
        <v>2685</v>
      </c>
      <c r="M524" t="s">
        <v>1748</v>
      </c>
      <c r="N524" t="s">
        <v>639</v>
      </c>
      <c r="O524" t="s">
        <v>878</v>
      </c>
      <c r="P524" t="s">
        <v>790</v>
      </c>
      <c r="Q524" t="s">
        <v>1075</v>
      </c>
      <c r="R524" t="s">
        <v>643</v>
      </c>
      <c r="S524" t="s">
        <v>643</v>
      </c>
      <c r="T524" t="s">
        <v>643</v>
      </c>
      <c r="U524" t="s">
        <v>2575</v>
      </c>
    </row>
    <row r="525" spans="1:21" ht="14.25" x14ac:dyDescent="0.2">
      <c r="A525" t="s">
        <v>1464</v>
      </c>
      <c r="B525" t="s">
        <v>1572</v>
      </c>
      <c r="C525" t="s">
        <v>643</v>
      </c>
      <c r="D525" t="s">
        <v>2539</v>
      </c>
      <c r="E525" t="s">
        <v>2686</v>
      </c>
      <c r="F525" t="s">
        <v>636</v>
      </c>
      <c r="G525" t="s">
        <v>34</v>
      </c>
      <c r="H525" t="s">
        <v>2575</v>
      </c>
      <c r="I525" t="s">
        <v>878</v>
      </c>
      <c r="J525" t="s">
        <v>2687</v>
      </c>
      <c r="K525" t="s">
        <v>790</v>
      </c>
      <c r="L525" t="s">
        <v>2688</v>
      </c>
      <c r="M525" t="s">
        <v>1748</v>
      </c>
      <c r="N525" t="s">
        <v>639</v>
      </c>
      <c r="O525" t="s">
        <v>878</v>
      </c>
      <c r="P525" t="s">
        <v>790</v>
      </c>
      <c r="Q525" t="s">
        <v>1075</v>
      </c>
      <c r="R525" t="s">
        <v>643</v>
      </c>
      <c r="S525" t="s">
        <v>643</v>
      </c>
      <c r="T525" t="s">
        <v>643</v>
      </c>
      <c r="U525" t="s">
        <v>2575</v>
      </c>
    </row>
    <row r="526" spans="1:21" ht="14.25" x14ac:dyDescent="0.2">
      <c r="A526" t="s">
        <v>1464</v>
      </c>
      <c r="B526" t="s">
        <v>1572</v>
      </c>
      <c r="C526" t="s">
        <v>643</v>
      </c>
      <c r="D526" t="s">
        <v>2689</v>
      </c>
      <c r="E526" t="s">
        <v>2690</v>
      </c>
      <c r="F526" t="s">
        <v>636</v>
      </c>
      <c r="G526" t="s">
        <v>34</v>
      </c>
      <c r="H526" t="s">
        <v>2575</v>
      </c>
      <c r="I526" t="s">
        <v>878</v>
      </c>
      <c r="J526" t="s">
        <v>2691</v>
      </c>
      <c r="K526" t="s">
        <v>790</v>
      </c>
      <c r="L526" t="s">
        <v>2692</v>
      </c>
      <c r="M526" t="s">
        <v>1748</v>
      </c>
      <c r="N526" t="s">
        <v>639</v>
      </c>
      <c r="O526" t="s">
        <v>878</v>
      </c>
      <c r="P526" t="s">
        <v>790</v>
      </c>
      <c r="Q526" t="s">
        <v>1075</v>
      </c>
      <c r="R526" t="s">
        <v>643</v>
      </c>
      <c r="S526" t="s">
        <v>643</v>
      </c>
      <c r="T526" t="s">
        <v>643</v>
      </c>
      <c r="U526" t="s">
        <v>2575</v>
      </c>
    </row>
    <row r="527" spans="1:21" ht="14.25" x14ac:dyDescent="0.2">
      <c r="A527" t="s">
        <v>1464</v>
      </c>
      <c r="B527" t="s">
        <v>1572</v>
      </c>
      <c r="C527" t="s">
        <v>643</v>
      </c>
      <c r="D527" t="s">
        <v>2693</v>
      </c>
      <c r="E527" t="s">
        <v>2694</v>
      </c>
      <c r="F527" t="s">
        <v>636</v>
      </c>
      <c r="G527" t="s">
        <v>34</v>
      </c>
      <c r="H527" t="s">
        <v>2575</v>
      </c>
      <c r="I527" t="s">
        <v>878</v>
      </c>
      <c r="J527" t="s">
        <v>2695</v>
      </c>
      <c r="K527" t="s">
        <v>790</v>
      </c>
      <c r="L527" t="s">
        <v>2696</v>
      </c>
      <c r="M527" t="s">
        <v>1748</v>
      </c>
      <c r="N527" t="s">
        <v>639</v>
      </c>
      <c r="O527" t="s">
        <v>878</v>
      </c>
      <c r="P527" t="s">
        <v>790</v>
      </c>
      <c r="Q527" t="s">
        <v>1075</v>
      </c>
      <c r="R527" t="s">
        <v>643</v>
      </c>
      <c r="S527" t="s">
        <v>643</v>
      </c>
      <c r="T527" t="s">
        <v>643</v>
      </c>
      <c r="U527" t="s">
        <v>2575</v>
      </c>
    </row>
    <row r="528" spans="1:21" ht="14.25" x14ac:dyDescent="0.2">
      <c r="A528" t="s">
        <v>1464</v>
      </c>
      <c r="B528" t="s">
        <v>1572</v>
      </c>
      <c r="C528" t="s">
        <v>643</v>
      </c>
      <c r="D528" t="s">
        <v>2697</v>
      </c>
      <c r="E528" t="s">
        <v>2698</v>
      </c>
      <c r="F528" t="s">
        <v>636</v>
      </c>
      <c r="G528" t="s">
        <v>34</v>
      </c>
      <c r="H528" t="s">
        <v>2575</v>
      </c>
      <c r="I528" t="s">
        <v>878</v>
      </c>
      <c r="J528" t="s">
        <v>2699</v>
      </c>
      <c r="K528" t="s">
        <v>790</v>
      </c>
      <c r="L528" t="s">
        <v>2700</v>
      </c>
      <c r="M528" t="s">
        <v>1748</v>
      </c>
      <c r="N528" t="s">
        <v>639</v>
      </c>
      <c r="O528" t="s">
        <v>878</v>
      </c>
      <c r="P528" t="s">
        <v>790</v>
      </c>
      <c r="Q528" t="s">
        <v>1075</v>
      </c>
      <c r="R528" t="s">
        <v>643</v>
      </c>
      <c r="S528" t="s">
        <v>643</v>
      </c>
      <c r="T528" t="s">
        <v>643</v>
      </c>
      <c r="U528" t="s">
        <v>2575</v>
      </c>
    </row>
    <row r="529" spans="1:21" ht="14.25" x14ac:dyDescent="0.2">
      <c r="A529" t="s">
        <v>1464</v>
      </c>
      <c r="B529" t="s">
        <v>1572</v>
      </c>
      <c r="C529" t="s">
        <v>643</v>
      </c>
      <c r="D529" t="s">
        <v>2701</v>
      </c>
      <c r="E529" t="s">
        <v>2702</v>
      </c>
      <c r="F529" t="s">
        <v>636</v>
      </c>
      <c r="G529" t="s">
        <v>27</v>
      </c>
      <c r="H529" t="s">
        <v>2575</v>
      </c>
      <c r="I529" t="s">
        <v>878</v>
      </c>
      <c r="J529" t="s">
        <v>2703</v>
      </c>
      <c r="K529" t="s">
        <v>790</v>
      </c>
      <c r="L529" t="s">
        <v>2704</v>
      </c>
      <c r="M529" t="s">
        <v>1748</v>
      </c>
      <c r="N529" t="s">
        <v>639</v>
      </c>
      <c r="O529" t="s">
        <v>878</v>
      </c>
      <c r="P529" t="s">
        <v>790</v>
      </c>
      <c r="Q529" t="s">
        <v>1075</v>
      </c>
      <c r="R529" t="s">
        <v>643</v>
      </c>
      <c r="S529" t="s">
        <v>643</v>
      </c>
      <c r="T529" t="s">
        <v>643</v>
      </c>
      <c r="U529" t="s">
        <v>2575</v>
      </c>
    </row>
    <row r="530" spans="1:21" ht="14.25" x14ac:dyDescent="0.2">
      <c r="A530" t="s">
        <v>1464</v>
      </c>
      <c r="B530" t="s">
        <v>1572</v>
      </c>
      <c r="C530" t="s">
        <v>643</v>
      </c>
      <c r="D530" t="s">
        <v>2705</v>
      </c>
      <c r="E530" t="s">
        <v>2706</v>
      </c>
      <c r="F530" t="s">
        <v>636</v>
      </c>
      <c r="G530" t="s">
        <v>27</v>
      </c>
      <c r="H530" t="s">
        <v>2575</v>
      </c>
      <c r="I530" t="s">
        <v>878</v>
      </c>
      <c r="J530" t="s">
        <v>2707</v>
      </c>
      <c r="K530" t="s">
        <v>790</v>
      </c>
      <c r="L530" t="s">
        <v>2708</v>
      </c>
      <c r="M530" t="s">
        <v>1748</v>
      </c>
      <c r="N530" t="s">
        <v>639</v>
      </c>
      <c r="O530" t="s">
        <v>878</v>
      </c>
      <c r="P530" t="s">
        <v>790</v>
      </c>
      <c r="Q530" t="s">
        <v>1075</v>
      </c>
      <c r="R530" t="s">
        <v>643</v>
      </c>
      <c r="S530" t="s">
        <v>643</v>
      </c>
      <c r="T530" t="s">
        <v>643</v>
      </c>
      <c r="U530" t="s">
        <v>2575</v>
      </c>
    </row>
    <row r="531" spans="1:21" ht="14.25" x14ac:dyDescent="0.2">
      <c r="A531" t="s">
        <v>1464</v>
      </c>
      <c r="B531" t="s">
        <v>1572</v>
      </c>
      <c r="C531" t="s">
        <v>643</v>
      </c>
      <c r="D531" t="s">
        <v>2709</v>
      </c>
      <c r="E531" t="s">
        <v>2710</v>
      </c>
      <c r="F531" t="s">
        <v>636</v>
      </c>
      <c r="G531" t="s">
        <v>664</v>
      </c>
      <c r="H531" t="s">
        <v>2575</v>
      </c>
      <c r="I531" t="s">
        <v>878</v>
      </c>
      <c r="J531" t="s">
        <v>2711</v>
      </c>
      <c r="K531" t="s">
        <v>790</v>
      </c>
      <c r="L531" t="s">
        <v>2712</v>
      </c>
      <c r="M531" t="s">
        <v>1748</v>
      </c>
      <c r="N531" t="s">
        <v>639</v>
      </c>
      <c r="O531" t="s">
        <v>878</v>
      </c>
      <c r="P531" t="s">
        <v>790</v>
      </c>
      <c r="Q531" t="s">
        <v>1075</v>
      </c>
      <c r="R531" t="s">
        <v>643</v>
      </c>
      <c r="S531" t="s">
        <v>643</v>
      </c>
      <c r="T531" t="s">
        <v>643</v>
      </c>
      <c r="U531" t="s">
        <v>2575</v>
      </c>
    </row>
    <row r="532" spans="1:21" ht="14.25" x14ac:dyDescent="0.2">
      <c r="A532" t="s">
        <v>1464</v>
      </c>
      <c r="B532" t="s">
        <v>1572</v>
      </c>
      <c r="C532" t="s">
        <v>643</v>
      </c>
      <c r="D532" t="s">
        <v>2713</v>
      </c>
      <c r="E532" t="s">
        <v>2714</v>
      </c>
      <c r="F532" t="s">
        <v>636</v>
      </c>
      <c r="G532" t="s">
        <v>664</v>
      </c>
      <c r="H532" t="s">
        <v>2575</v>
      </c>
      <c r="I532" t="s">
        <v>878</v>
      </c>
      <c r="J532" t="s">
        <v>2715</v>
      </c>
      <c r="K532" t="s">
        <v>790</v>
      </c>
      <c r="L532" t="s">
        <v>2716</v>
      </c>
      <c r="M532" t="s">
        <v>1748</v>
      </c>
      <c r="N532" t="s">
        <v>639</v>
      </c>
      <c r="O532" t="s">
        <v>878</v>
      </c>
      <c r="P532" t="s">
        <v>790</v>
      </c>
      <c r="Q532" t="s">
        <v>1075</v>
      </c>
      <c r="R532" t="s">
        <v>643</v>
      </c>
      <c r="S532" t="s">
        <v>643</v>
      </c>
      <c r="T532" t="s">
        <v>643</v>
      </c>
      <c r="U532" t="s">
        <v>2575</v>
      </c>
    </row>
    <row r="533" spans="1:21" ht="14.25" x14ac:dyDescent="0.2">
      <c r="A533" t="s">
        <v>1464</v>
      </c>
      <c r="B533" t="s">
        <v>1572</v>
      </c>
      <c r="C533" t="s">
        <v>643</v>
      </c>
      <c r="D533" t="s">
        <v>2717</v>
      </c>
      <c r="E533" t="s">
        <v>2718</v>
      </c>
      <c r="F533" t="s">
        <v>636</v>
      </c>
      <c r="G533" t="s">
        <v>925</v>
      </c>
      <c r="H533" t="s">
        <v>2575</v>
      </c>
      <c r="I533" t="s">
        <v>878</v>
      </c>
      <c r="J533" t="s">
        <v>2719</v>
      </c>
      <c r="K533" t="s">
        <v>790</v>
      </c>
      <c r="L533" t="s">
        <v>2720</v>
      </c>
      <c r="M533" t="s">
        <v>1748</v>
      </c>
      <c r="N533" t="s">
        <v>639</v>
      </c>
      <c r="O533" t="s">
        <v>878</v>
      </c>
      <c r="P533" t="s">
        <v>790</v>
      </c>
      <c r="Q533" t="s">
        <v>1075</v>
      </c>
      <c r="R533" t="s">
        <v>643</v>
      </c>
      <c r="S533" t="s">
        <v>643</v>
      </c>
      <c r="T533" t="s">
        <v>643</v>
      </c>
      <c r="U533" t="s">
        <v>2575</v>
      </c>
    </row>
    <row r="534" spans="1:21" ht="14.25" x14ac:dyDescent="0.2">
      <c r="A534" t="s">
        <v>1464</v>
      </c>
      <c r="B534" t="s">
        <v>1572</v>
      </c>
      <c r="C534" t="s">
        <v>643</v>
      </c>
      <c r="D534" t="s">
        <v>2721</v>
      </c>
      <c r="E534" t="s">
        <v>1097</v>
      </c>
      <c r="F534" t="s">
        <v>636</v>
      </c>
      <c r="G534" t="s">
        <v>37</v>
      </c>
      <c r="H534" t="s">
        <v>2575</v>
      </c>
      <c r="I534" t="s">
        <v>643</v>
      </c>
      <c r="J534" t="s">
        <v>643</v>
      </c>
      <c r="K534" t="s">
        <v>643</v>
      </c>
      <c r="L534" t="s">
        <v>643</v>
      </c>
      <c r="M534" t="s">
        <v>2575</v>
      </c>
      <c r="N534" t="s">
        <v>1098</v>
      </c>
      <c r="O534" t="s">
        <v>878</v>
      </c>
      <c r="P534" t="s">
        <v>790</v>
      </c>
      <c r="Q534" t="s">
        <v>643</v>
      </c>
      <c r="R534" t="s">
        <v>643</v>
      </c>
      <c r="S534" t="s">
        <v>643</v>
      </c>
      <c r="T534" t="s">
        <v>643</v>
      </c>
      <c r="U534" t="s">
        <v>2575</v>
      </c>
    </row>
    <row r="535" spans="1:21" ht="14.25" x14ac:dyDescent="0.2">
      <c r="A535" t="s">
        <v>1464</v>
      </c>
      <c r="B535" t="s">
        <v>1572</v>
      </c>
      <c r="C535" t="s">
        <v>643</v>
      </c>
      <c r="D535" t="s">
        <v>2722</v>
      </c>
      <c r="E535" t="s">
        <v>1099</v>
      </c>
      <c r="F535" t="s">
        <v>636</v>
      </c>
      <c r="G535" t="s">
        <v>37</v>
      </c>
      <c r="H535" t="s">
        <v>2575</v>
      </c>
      <c r="I535" t="s">
        <v>643</v>
      </c>
      <c r="J535" t="s">
        <v>643</v>
      </c>
      <c r="K535" t="s">
        <v>643</v>
      </c>
      <c r="L535" t="s">
        <v>643</v>
      </c>
      <c r="M535" t="s">
        <v>2575</v>
      </c>
      <c r="N535" t="s">
        <v>1098</v>
      </c>
      <c r="O535" t="s">
        <v>878</v>
      </c>
      <c r="P535" t="s">
        <v>790</v>
      </c>
      <c r="Q535" t="s">
        <v>643</v>
      </c>
      <c r="R535" t="s">
        <v>643</v>
      </c>
      <c r="S535" t="s">
        <v>643</v>
      </c>
      <c r="T535" t="s">
        <v>643</v>
      </c>
      <c r="U535" t="s">
        <v>2575</v>
      </c>
    </row>
    <row r="536" spans="1:21" ht="14.25" x14ac:dyDescent="0.2">
      <c r="A536" t="s">
        <v>1351</v>
      </c>
      <c r="B536" t="s">
        <v>1352</v>
      </c>
      <c r="C536" t="s">
        <v>643</v>
      </c>
      <c r="D536" t="s">
        <v>2723</v>
      </c>
      <c r="E536" t="s">
        <v>2724</v>
      </c>
      <c r="F536" t="s">
        <v>636</v>
      </c>
      <c r="G536" t="s">
        <v>37</v>
      </c>
      <c r="H536" t="s">
        <v>2725</v>
      </c>
      <c r="I536" t="s">
        <v>839</v>
      </c>
      <c r="J536" t="s">
        <v>2726</v>
      </c>
      <c r="K536" t="s">
        <v>692</v>
      </c>
      <c r="L536" t="s">
        <v>2727</v>
      </c>
      <c r="M536" t="s">
        <v>2003</v>
      </c>
      <c r="N536" t="s">
        <v>639</v>
      </c>
      <c r="O536" t="s">
        <v>839</v>
      </c>
      <c r="P536" t="s">
        <v>692</v>
      </c>
      <c r="Q536" t="s">
        <v>840</v>
      </c>
      <c r="R536" t="s">
        <v>2728</v>
      </c>
      <c r="S536" t="s">
        <v>2729</v>
      </c>
      <c r="T536" t="s">
        <v>2380</v>
      </c>
      <c r="U536" t="s">
        <v>2725</v>
      </c>
    </row>
    <row r="537" spans="1:21" ht="14.25" x14ac:dyDescent="0.2">
      <c r="A537" t="s">
        <v>1464</v>
      </c>
      <c r="B537" t="s">
        <v>1481</v>
      </c>
      <c r="C537" t="s">
        <v>643</v>
      </c>
      <c r="D537" t="s">
        <v>2730</v>
      </c>
      <c r="E537" t="s">
        <v>2677</v>
      </c>
      <c r="F537" t="s">
        <v>636</v>
      </c>
      <c r="G537" t="s">
        <v>37</v>
      </c>
      <c r="H537" t="s">
        <v>2725</v>
      </c>
      <c r="I537" t="s">
        <v>643</v>
      </c>
      <c r="J537" t="s">
        <v>643</v>
      </c>
      <c r="K537" t="s">
        <v>643</v>
      </c>
      <c r="L537" t="s">
        <v>643</v>
      </c>
      <c r="M537" t="s">
        <v>2731</v>
      </c>
      <c r="N537" t="s">
        <v>687</v>
      </c>
      <c r="O537" t="s">
        <v>855</v>
      </c>
      <c r="P537" t="s">
        <v>790</v>
      </c>
      <c r="Q537" t="s">
        <v>643</v>
      </c>
      <c r="R537" t="s">
        <v>643</v>
      </c>
      <c r="S537" t="s">
        <v>643</v>
      </c>
      <c r="T537" t="s">
        <v>643</v>
      </c>
      <c r="U537" t="s">
        <v>2725</v>
      </c>
    </row>
    <row r="538" spans="1:21" ht="14.25" x14ac:dyDescent="0.2">
      <c r="A538" t="s">
        <v>1351</v>
      </c>
      <c r="B538" t="s">
        <v>1352</v>
      </c>
      <c r="C538" t="s">
        <v>643</v>
      </c>
      <c r="D538" t="s">
        <v>2732</v>
      </c>
      <c r="E538" t="s">
        <v>2733</v>
      </c>
      <c r="F538" t="s">
        <v>636</v>
      </c>
      <c r="G538" t="s">
        <v>37</v>
      </c>
      <c r="H538" t="s">
        <v>2734</v>
      </c>
      <c r="I538" t="s">
        <v>839</v>
      </c>
      <c r="J538" t="s">
        <v>2735</v>
      </c>
      <c r="K538" t="s">
        <v>692</v>
      </c>
      <c r="L538" t="s">
        <v>2736</v>
      </c>
      <c r="M538" t="s">
        <v>2737</v>
      </c>
      <c r="N538" t="s">
        <v>639</v>
      </c>
      <c r="O538" t="s">
        <v>839</v>
      </c>
      <c r="P538" t="s">
        <v>692</v>
      </c>
      <c r="Q538" t="s">
        <v>840</v>
      </c>
      <c r="R538" t="s">
        <v>643</v>
      </c>
      <c r="S538" t="s">
        <v>643</v>
      </c>
      <c r="T538" t="s">
        <v>643</v>
      </c>
      <c r="U538" t="s">
        <v>2734</v>
      </c>
    </row>
    <row r="539" spans="1:21" ht="14.25" x14ac:dyDescent="0.2">
      <c r="A539" t="s">
        <v>1464</v>
      </c>
      <c r="B539" t="s">
        <v>1584</v>
      </c>
      <c r="C539" t="s">
        <v>643</v>
      </c>
      <c r="D539" t="s">
        <v>2738</v>
      </c>
      <c r="E539" t="s">
        <v>2739</v>
      </c>
      <c r="F539" t="s">
        <v>636</v>
      </c>
      <c r="G539" t="s">
        <v>10</v>
      </c>
      <c r="H539" t="s">
        <v>2740</v>
      </c>
      <c r="I539" t="s">
        <v>643</v>
      </c>
      <c r="J539" t="s">
        <v>643</v>
      </c>
      <c r="K539" t="s">
        <v>643</v>
      </c>
      <c r="L539" t="s">
        <v>643</v>
      </c>
      <c r="M539" t="s">
        <v>2740</v>
      </c>
      <c r="N539" t="s">
        <v>687</v>
      </c>
      <c r="O539" t="s">
        <v>839</v>
      </c>
      <c r="P539" t="s">
        <v>790</v>
      </c>
      <c r="Q539" t="s">
        <v>643</v>
      </c>
      <c r="R539" t="s">
        <v>643</v>
      </c>
      <c r="S539" t="s">
        <v>643</v>
      </c>
      <c r="T539" t="s">
        <v>643</v>
      </c>
      <c r="U539" t="s">
        <v>2740</v>
      </c>
    </row>
    <row r="540" spans="1:21" ht="14.25" x14ac:dyDescent="0.2">
      <c r="A540" t="s">
        <v>1464</v>
      </c>
      <c r="B540" t="s">
        <v>1584</v>
      </c>
      <c r="C540" t="s">
        <v>643</v>
      </c>
      <c r="D540" t="s">
        <v>136</v>
      </c>
      <c r="E540" t="s">
        <v>2741</v>
      </c>
      <c r="F540" t="s">
        <v>636</v>
      </c>
      <c r="G540" t="s">
        <v>40</v>
      </c>
      <c r="H540" t="s">
        <v>2740</v>
      </c>
      <c r="I540" t="s">
        <v>643</v>
      </c>
      <c r="J540" t="s">
        <v>643</v>
      </c>
      <c r="K540" t="s">
        <v>643</v>
      </c>
      <c r="L540" t="s">
        <v>643</v>
      </c>
      <c r="M540" t="s">
        <v>2740</v>
      </c>
      <c r="N540" t="s">
        <v>687</v>
      </c>
      <c r="O540" t="s">
        <v>839</v>
      </c>
      <c r="P540" t="s">
        <v>790</v>
      </c>
      <c r="Q540" t="s">
        <v>643</v>
      </c>
      <c r="R540" t="s">
        <v>643</v>
      </c>
      <c r="S540" t="s">
        <v>643</v>
      </c>
      <c r="T540" t="s">
        <v>643</v>
      </c>
      <c r="U540" t="s">
        <v>2740</v>
      </c>
    </row>
  </sheetData>
  <pageMargins left="0.75" right="0.75" top="1" bottom="1" header="0.5" footer="0.5"/>
  <pageSetup paperSize="9" firstPageNumber="0" fitToWidth="0" fitToHeight="0" pageOrder="overThenDown" orientation="portrait" horizontalDpi="300" verticalDpi="300" r:id="rId1"/>
  <headerFooter alignWithMargins="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F1CAD-FE4F-4D97-9AB2-7D0FD9D08EF4}">
  <sheetPr codeName="Hoja7"/>
  <dimension ref="A1:H29"/>
  <sheetViews>
    <sheetView showGridLines="0" zoomScale="82" zoomScaleNormal="82" workbookViewId="0">
      <selection activeCell="G13" sqref="G13"/>
    </sheetView>
  </sheetViews>
  <sheetFormatPr baseColWidth="10" defaultColWidth="11" defaultRowHeight="14.25" x14ac:dyDescent="0.2"/>
  <cols>
    <col min="1" max="1" width="23.5" customWidth="1"/>
    <col min="2" max="2" width="27.625" customWidth="1"/>
    <col min="3" max="3" width="31" customWidth="1"/>
    <col min="4" max="4" width="2.875" customWidth="1"/>
  </cols>
  <sheetData>
    <row r="1" spans="1:8" ht="16.5" x14ac:dyDescent="0.3">
      <c r="A1" s="19" t="s">
        <v>2172</v>
      </c>
      <c r="B1" s="19" t="s">
        <v>0</v>
      </c>
      <c r="C1" s="19" t="s">
        <v>66</v>
      </c>
      <c r="D1" s="59"/>
    </row>
    <row r="2" spans="1:8" ht="16.5" x14ac:dyDescent="0.3">
      <c r="A2" s="117" t="s">
        <v>2173</v>
      </c>
      <c r="B2" s="118" t="s">
        <v>19</v>
      </c>
      <c r="C2" s="118" t="s">
        <v>43</v>
      </c>
      <c r="D2" s="59"/>
    </row>
    <row r="3" spans="1:8" ht="16.5" x14ac:dyDescent="0.3">
      <c r="A3" s="119" t="s">
        <v>2174</v>
      </c>
      <c r="B3" s="120" t="s">
        <v>2175</v>
      </c>
      <c r="C3" s="120" t="s">
        <v>2176</v>
      </c>
      <c r="D3" s="59"/>
    </row>
    <row r="4" spans="1:8" ht="16.5" x14ac:dyDescent="0.3">
      <c r="A4" s="277" t="s">
        <v>2177</v>
      </c>
      <c r="B4" s="278" t="s">
        <v>7</v>
      </c>
      <c r="C4" s="120" t="s">
        <v>9</v>
      </c>
      <c r="D4" s="59"/>
    </row>
    <row r="5" spans="1:8" ht="16.5" x14ac:dyDescent="0.3">
      <c r="A5" s="277"/>
      <c r="B5" s="278"/>
      <c r="C5" s="120" t="s">
        <v>15</v>
      </c>
      <c r="D5" s="59"/>
    </row>
    <row r="6" spans="1:8" ht="16.5" x14ac:dyDescent="0.3">
      <c r="A6" s="277"/>
      <c r="B6" s="278"/>
      <c r="C6" s="120" t="s">
        <v>52</v>
      </c>
      <c r="D6" s="59"/>
    </row>
    <row r="7" spans="1:8" ht="16.5" x14ac:dyDescent="0.3">
      <c r="A7" s="277"/>
      <c r="B7" s="278"/>
      <c r="C7" s="120" t="s">
        <v>53</v>
      </c>
      <c r="D7" s="59"/>
    </row>
    <row r="8" spans="1:8" ht="16.5" x14ac:dyDescent="0.3">
      <c r="A8" s="277"/>
      <c r="B8" s="278"/>
      <c r="C8" s="120" t="s">
        <v>56</v>
      </c>
      <c r="D8" s="59"/>
    </row>
    <row r="9" spans="1:8" ht="16.5" x14ac:dyDescent="0.3">
      <c r="A9" s="277"/>
      <c r="B9" s="278"/>
      <c r="C9" s="120" t="s">
        <v>61</v>
      </c>
      <c r="D9" s="59"/>
      <c r="H9" s="22"/>
    </row>
    <row r="10" spans="1:8" ht="16.5" x14ac:dyDescent="0.3">
      <c r="A10" s="277"/>
      <c r="B10" s="281" t="s">
        <v>45</v>
      </c>
      <c r="C10" s="120" t="s">
        <v>2178</v>
      </c>
      <c r="D10" s="59"/>
      <c r="H10" s="23"/>
    </row>
    <row r="11" spans="1:8" ht="16.5" x14ac:dyDescent="0.3">
      <c r="A11" s="277"/>
      <c r="B11" s="281"/>
      <c r="C11" s="120" t="s">
        <v>63</v>
      </c>
      <c r="D11" s="59"/>
    </row>
    <row r="12" spans="1:8" ht="16.5" x14ac:dyDescent="0.3">
      <c r="A12" s="277"/>
      <c r="B12" s="281"/>
      <c r="C12" s="120" t="s">
        <v>54</v>
      </c>
      <c r="D12" s="59"/>
    </row>
    <row r="13" spans="1:8" ht="16.5" x14ac:dyDescent="0.3">
      <c r="A13" s="277"/>
      <c r="B13" s="281"/>
      <c r="C13" s="120" t="s">
        <v>30</v>
      </c>
      <c r="D13" s="59"/>
      <c r="G13" s="25">
        <f>14/36</f>
        <v>0.3888888888888889</v>
      </c>
    </row>
    <row r="14" spans="1:8" ht="16.5" x14ac:dyDescent="0.3">
      <c r="A14" s="277"/>
      <c r="B14" s="279" t="s">
        <v>41</v>
      </c>
      <c r="C14" s="118" t="s">
        <v>58</v>
      </c>
      <c r="D14" s="59"/>
    </row>
    <row r="15" spans="1:8" ht="16.5" x14ac:dyDescent="0.3">
      <c r="A15" s="277"/>
      <c r="B15" s="279"/>
      <c r="C15" s="118" t="s">
        <v>47</v>
      </c>
      <c r="D15" s="59"/>
    </row>
    <row r="16" spans="1:8" ht="16.5" x14ac:dyDescent="0.3">
      <c r="A16" s="277"/>
      <c r="B16" s="279"/>
      <c r="C16" s="118" t="s">
        <v>33</v>
      </c>
      <c r="D16" s="59"/>
    </row>
    <row r="17" spans="1:4" ht="16.5" x14ac:dyDescent="0.3">
      <c r="A17" s="280" t="s">
        <v>2179</v>
      </c>
      <c r="B17" s="282" t="s">
        <v>13</v>
      </c>
      <c r="C17" s="118" t="s">
        <v>50</v>
      </c>
      <c r="D17" s="59"/>
    </row>
    <row r="18" spans="1:4" ht="16.5" x14ac:dyDescent="0.3">
      <c r="A18" s="280"/>
      <c r="B18" s="283"/>
      <c r="C18" s="118" t="s">
        <v>2180</v>
      </c>
      <c r="D18" s="59"/>
    </row>
    <row r="19" spans="1:4" ht="16.5" x14ac:dyDescent="0.3">
      <c r="A19" s="280"/>
      <c r="B19" s="283"/>
      <c r="C19" s="118" t="s">
        <v>60</v>
      </c>
      <c r="D19" s="59"/>
    </row>
    <row r="20" spans="1:4" ht="16.5" x14ac:dyDescent="0.3">
      <c r="A20" s="280"/>
      <c r="B20" s="283"/>
      <c r="C20" s="118" t="s">
        <v>62</v>
      </c>
      <c r="D20" s="59"/>
    </row>
    <row r="21" spans="1:4" ht="16.5" x14ac:dyDescent="0.3">
      <c r="A21" s="280"/>
      <c r="B21" s="284"/>
      <c r="C21" s="118" t="s">
        <v>2181</v>
      </c>
      <c r="D21" s="59"/>
    </row>
    <row r="22" spans="1:4" ht="16.5" x14ac:dyDescent="0.3">
      <c r="A22" s="280"/>
      <c r="B22" s="281" t="s">
        <v>32</v>
      </c>
      <c r="C22" s="120" t="s">
        <v>51</v>
      </c>
      <c r="D22" s="59"/>
    </row>
    <row r="23" spans="1:4" ht="16.5" x14ac:dyDescent="0.3">
      <c r="A23" s="280"/>
      <c r="B23" s="281"/>
      <c r="C23" s="120" t="s">
        <v>57</v>
      </c>
      <c r="D23" s="59"/>
    </row>
    <row r="24" spans="1:4" ht="16.5" x14ac:dyDescent="0.3">
      <c r="A24" s="280"/>
      <c r="B24" s="281"/>
      <c r="C24" s="120" t="s">
        <v>59</v>
      </c>
      <c r="D24" s="59"/>
    </row>
    <row r="25" spans="1:4" ht="16.5" x14ac:dyDescent="0.3">
      <c r="A25" s="280"/>
      <c r="B25" s="279" t="s">
        <v>38</v>
      </c>
      <c r="C25" s="118" t="s">
        <v>26</v>
      </c>
      <c r="D25" s="59"/>
    </row>
    <row r="26" spans="1:4" ht="16.5" x14ac:dyDescent="0.3">
      <c r="A26" s="280"/>
      <c r="B26" s="279"/>
      <c r="C26" s="118" t="s">
        <v>39</v>
      </c>
      <c r="D26" s="59"/>
    </row>
    <row r="27" spans="1:4" ht="16.5" x14ac:dyDescent="0.3">
      <c r="A27" s="280"/>
      <c r="B27" s="121" t="s">
        <v>24</v>
      </c>
      <c r="C27" s="122"/>
      <c r="D27" s="59"/>
    </row>
    <row r="28" spans="1:4" ht="16.5" x14ac:dyDescent="0.3">
      <c r="A28" s="280"/>
      <c r="B28" s="118" t="s">
        <v>35</v>
      </c>
      <c r="C28" s="122"/>
      <c r="D28" s="59"/>
    </row>
    <row r="29" spans="1:4" ht="16.5" x14ac:dyDescent="0.3">
      <c r="A29" s="280"/>
      <c r="B29" s="118" t="s">
        <v>49</v>
      </c>
      <c r="C29" s="122"/>
      <c r="D29" s="59"/>
    </row>
  </sheetData>
  <mergeCells count="8">
    <mergeCell ref="A4:A16"/>
    <mergeCell ref="B4:B9"/>
    <mergeCell ref="B14:B16"/>
    <mergeCell ref="A17:A29"/>
    <mergeCell ref="B22:B24"/>
    <mergeCell ref="B25:B26"/>
    <mergeCell ref="B10:B13"/>
    <mergeCell ref="B17:B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C470F-9D64-4BA5-8B90-1476F4BBA988}">
  <sheetPr codeName="Hoja4"/>
  <dimension ref="A1:G32"/>
  <sheetViews>
    <sheetView zoomScale="66" zoomScaleNormal="66" workbookViewId="0">
      <selection activeCell="B17" sqref="B17:B21"/>
    </sheetView>
  </sheetViews>
  <sheetFormatPr baseColWidth="10" defaultColWidth="11" defaultRowHeight="14.25" x14ac:dyDescent="0.2"/>
  <cols>
    <col min="1" max="1" width="18" bestFit="1" customWidth="1"/>
    <col min="2" max="2" width="38.375" bestFit="1" customWidth="1"/>
    <col min="3" max="3" width="78.75" customWidth="1"/>
  </cols>
  <sheetData>
    <row r="1" spans="1:7" ht="25.5" customHeight="1" x14ac:dyDescent="0.2">
      <c r="A1" s="14" t="s">
        <v>2172</v>
      </c>
      <c r="B1" s="15" t="s">
        <v>0</v>
      </c>
      <c r="C1" s="15" t="s">
        <v>66</v>
      </c>
    </row>
    <row r="2" spans="1:7" ht="20.100000000000001" customHeight="1" thickBot="1" x14ac:dyDescent="0.25">
      <c r="A2" s="123" t="s">
        <v>2173</v>
      </c>
      <c r="B2" s="124" t="s">
        <v>19</v>
      </c>
      <c r="C2" s="124" t="s">
        <v>43</v>
      </c>
    </row>
    <row r="3" spans="1:7" ht="20.100000000000001" customHeight="1" thickTop="1" thickBot="1" x14ac:dyDescent="0.25">
      <c r="A3" s="125"/>
      <c r="B3" s="126"/>
      <c r="C3" s="127" t="s">
        <v>2182</v>
      </c>
    </row>
    <row r="4" spans="1:7" ht="20.100000000000001" customHeight="1" thickTop="1" thickBot="1" x14ac:dyDescent="0.25">
      <c r="A4" s="128" t="s">
        <v>2174</v>
      </c>
      <c r="B4" s="126" t="s">
        <v>2175</v>
      </c>
      <c r="C4" s="129" t="s">
        <v>2176</v>
      </c>
    </row>
    <row r="5" spans="1:7" ht="15.6" customHeight="1" thickTop="1" x14ac:dyDescent="0.2">
      <c r="A5" s="285" t="s">
        <v>2177</v>
      </c>
      <c r="B5" s="289" t="s">
        <v>7</v>
      </c>
      <c r="C5" s="130" t="s">
        <v>9</v>
      </c>
      <c r="G5" s="54"/>
    </row>
    <row r="6" spans="1:7" ht="15.6" customHeight="1" x14ac:dyDescent="0.2">
      <c r="A6" s="286"/>
      <c r="B6" s="290"/>
      <c r="C6" s="131" t="s">
        <v>15</v>
      </c>
    </row>
    <row r="7" spans="1:7" ht="15.6" customHeight="1" x14ac:dyDescent="0.2">
      <c r="A7" s="286"/>
      <c r="B7" s="290"/>
      <c r="C7" s="131" t="s">
        <v>52</v>
      </c>
    </row>
    <row r="8" spans="1:7" ht="15.6" customHeight="1" x14ac:dyDescent="0.2">
      <c r="A8" s="286"/>
      <c r="B8" s="290"/>
      <c r="C8" s="54" t="s">
        <v>53</v>
      </c>
    </row>
    <row r="9" spans="1:7" ht="15.6" customHeight="1" x14ac:dyDescent="0.2">
      <c r="A9" s="286"/>
      <c r="B9" s="291"/>
      <c r="C9" s="132" t="s">
        <v>56</v>
      </c>
    </row>
    <row r="10" spans="1:7" ht="15.6" customHeight="1" thickBot="1" x14ac:dyDescent="0.25">
      <c r="A10" s="286"/>
      <c r="B10" s="291"/>
      <c r="C10" s="133" t="s">
        <v>61</v>
      </c>
    </row>
    <row r="11" spans="1:7" ht="15.6" customHeight="1" thickTop="1" x14ac:dyDescent="0.2">
      <c r="A11" s="286"/>
      <c r="B11" s="289" t="s">
        <v>45</v>
      </c>
      <c r="C11" s="131" t="s">
        <v>2178</v>
      </c>
    </row>
    <row r="12" spans="1:7" ht="15.6" customHeight="1" thickBot="1" x14ac:dyDescent="0.25">
      <c r="A12" s="286"/>
      <c r="B12" s="290"/>
      <c r="C12" s="134" t="s">
        <v>63</v>
      </c>
      <c r="E12" s="133" t="s">
        <v>30</v>
      </c>
    </row>
    <row r="13" spans="1:7" ht="15.6" customHeight="1" thickTop="1" thickBot="1" x14ac:dyDescent="0.25">
      <c r="A13" s="286"/>
      <c r="B13" s="290"/>
      <c r="C13" s="131" t="s">
        <v>54</v>
      </c>
    </row>
    <row r="14" spans="1:7" ht="15.6" customHeight="1" thickTop="1" x14ac:dyDescent="0.2">
      <c r="A14" s="286"/>
      <c r="B14" s="293" t="s">
        <v>41</v>
      </c>
      <c r="C14" s="130" t="s">
        <v>58</v>
      </c>
    </row>
    <row r="15" spans="1:7" ht="15.6" customHeight="1" x14ac:dyDescent="0.2">
      <c r="A15" s="286"/>
      <c r="B15" s="294"/>
      <c r="C15" s="54" t="s">
        <v>47</v>
      </c>
    </row>
    <row r="16" spans="1:7" ht="15.6" customHeight="1" thickBot="1" x14ac:dyDescent="0.25">
      <c r="A16" s="287"/>
      <c r="B16" s="295"/>
      <c r="C16" s="124" t="s">
        <v>33</v>
      </c>
    </row>
    <row r="17" spans="1:3" ht="15.6" customHeight="1" thickTop="1" x14ac:dyDescent="0.2">
      <c r="A17" s="288" t="s">
        <v>2179</v>
      </c>
      <c r="B17" s="292" t="s">
        <v>13</v>
      </c>
      <c r="C17" s="130" t="s">
        <v>50</v>
      </c>
    </row>
    <row r="18" spans="1:3" ht="15.6" customHeight="1" x14ac:dyDescent="0.2">
      <c r="A18" s="288"/>
      <c r="B18" s="292"/>
      <c r="C18" s="54" t="s">
        <v>55</v>
      </c>
    </row>
    <row r="19" spans="1:3" ht="15.6" customHeight="1" x14ac:dyDescent="0.2">
      <c r="A19" s="288"/>
      <c r="B19" s="292"/>
      <c r="C19" s="54" t="s">
        <v>2183</v>
      </c>
    </row>
    <row r="20" spans="1:3" ht="15.6" customHeight="1" x14ac:dyDescent="0.2">
      <c r="A20" s="288"/>
      <c r="B20" s="292"/>
      <c r="C20" s="132" t="s">
        <v>2184</v>
      </c>
    </row>
    <row r="21" spans="1:3" ht="15.6" customHeight="1" thickBot="1" x14ac:dyDescent="0.25">
      <c r="A21" s="288"/>
      <c r="B21" s="292"/>
      <c r="C21" s="124" t="s">
        <v>2185</v>
      </c>
    </row>
    <row r="22" spans="1:3" ht="15.6" customHeight="1" thickTop="1" x14ac:dyDescent="0.2">
      <c r="A22" s="288"/>
      <c r="B22" s="293" t="s">
        <v>32</v>
      </c>
      <c r="C22" s="134" t="s">
        <v>51</v>
      </c>
    </row>
    <row r="23" spans="1:3" ht="15.6" customHeight="1" x14ac:dyDescent="0.2">
      <c r="A23" s="288"/>
      <c r="B23" s="294"/>
      <c r="C23" s="131" t="s">
        <v>57</v>
      </c>
    </row>
    <row r="24" spans="1:3" ht="15.6" customHeight="1" thickBot="1" x14ac:dyDescent="0.25">
      <c r="A24" s="288"/>
      <c r="B24" s="295"/>
      <c r="C24" s="133" t="s">
        <v>59</v>
      </c>
    </row>
    <row r="25" spans="1:3" ht="15.6" customHeight="1" thickTop="1" x14ac:dyDescent="0.2">
      <c r="A25" s="288"/>
      <c r="B25" s="293" t="s">
        <v>38</v>
      </c>
      <c r="C25" s="54" t="s">
        <v>26</v>
      </c>
    </row>
    <row r="26" spans="1:3" ht="15.6" customHeight="1" x14ac:dyDescent="0.2">
      <c r="A26" s="288"/>
      <c r="B26" s="294"/>
      <c r="C26" s="126" t="s">
        <v>2186</v>
      </c>
    </row>
    <row r="27" spans="1:3" ht="15.6" customHeight="1" thickBot="1" x14ac:dyDescent="0.25">
      <c r="A27" s="288"/>
      <c r="B27" s="295"/>
      <c r="C27" s="124" t="s">
        <v>39</v>
      </c>
    </row>
    <row r="28" spans="1:3" ht="18" thickTop="1" thickBot="1" x14ac:dyDescent="0.25">
      <c r="A28" s="288"/>
      <c r="B28" s="296" t="s">
        <v>24</v>
      </c>
      <c r="C28" s="135" t="s">
        <v>2187</v>
      </c>
    </row>
    <row r="29" spans="1:3" ht="18" thickTop="1" thickBot="1" x14ac:dyDescent="0.25">
      <c r="A29" s="288"/>
      <c r="B29" s="297"/>
      <c r="C29" s="135" t="s">
        <v>2188</v>
      </c>
    </row>
    <row r="30" spans="1:3" ht="124.5" customHeight="1" thickTop="1" thickBot="1" x14ac:dyDescent="0.25">
      <c r="A30" s="288"/>
      <c r="B30" s="129" t="s">
        <v>35</v>
      </c>
      <c r="C30" s="135" t="s">
        <v>2189</v>
      </c>
    </row>
    <row r="31" spans="1:3" ht="252" customHeight="1" thickTop="1" thickBot="1" x14ac:dyDescent="0.25">
      <c r="A31" s="288"/>
      <c r="B31" s="126" t="s">
        <v>49</v>
      </c>
      <c r="C31" s="135" t="s">
        <v>2190</v>
      </c>
    </row>
    <row r="32" spans="1:3" ht="17.25" thickTop="1" x14ac:dyDescent="0.2">
      <c r="A32" s="16"/>
      <c r="B32" s="16"/>
      <c r="C32" s="136"/>
    </row>
  </sheetData>
  <mergeCells count="9">
    <mergeCell ref="A5:A16"/>
    <mergeCell ref="A17:A31"/>
    <mergeCell ref="B5:B10"/>
    <mergeCell ref="B17:B21"/>
    <mergeCell ref="B11:B13"/>
    <mergeCell ref="B14:B16"/>
    <mergeCell ref="B22:B24"/>
    <mergeCell ref="B25:B27"/>
    <mergeCell ref="B28:B2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54B76C-89FA-4394-AC2F-E8F55C742D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vt:i4>
      </vt:variant>
    </vt:vector>
  </HeadingPairs>
  <TitlesOfParts>
    <vt:vector size="9" baseType="lpstr">
      <vt:lpstr>DATOS</vt:lpstr>
      <vt:lpstr>LIBRO MAESTRO</vt:lpstr>
      <vt:lpstr>Doc.pdte.GH</vt:lpstr>
      <vt:lpstr>Binaps</vt:lpstr>
      <vt:lpstr>Registro Binaps</vt:lpstr>
      <vt:lpstr>ESQUEMA DE PROCESOS ACTUAL</vt:lpstr>
      <vt:lpstr>ESQUEMA DE PROCESOS - PROPUESTO</vt:lpstr>
      <vt:lpstr>PROCESOS</vt:lpstr>
      <vt:lpstr>TIPO_DOCUMENTO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Jenifer Ortiz</dc:creator>
  <cp:keywords/>
  <dc:description/>
  <cp:lastModifiedBy>Juan Montoya</cp:lastModifiedBy>
  <cp:revision/>
  <dcterms:created xsi:type="dcterms:W3CDTF">2023-10-23T19:28:17Z</dcterms:created>
  <dcterms:modified xsi:type="dcterms:W3CDTF">2026-07-30T14:20:26Z</dcterms:modified>
  <cp:category/>
  <cp:contentStatus/>
</cp:coreProperties>
</file>